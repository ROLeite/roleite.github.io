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i\Downloads\"/>
    </mc:Choice>
  </mc:AlternateContent>
  <xr:revisionPtr revIDLastSave="0" documentId="8_{60A0CB66-4269-43D8-B746-734C24A3270E}" xr6:coauthVersionLast="47" xr6:coauthVersionMax="47" xr10:uidLastSave="{00000000-0000-0000-0000-000000000000}"/>
  <bookViews>
    <workbookView xWindow="-120" yWindow="-120" windowWidth="20730" windowHeight="11160" firstSheet="1" activeTab="4" xr2:uid="{888F0801-89EF-41F0-96EE-BD1F87E47A3B}"/>
  </bookViews>
  <sheets>
    <sheet name="Exemplo Hora 2" sheetId="1" r:id="rId1"/>
    <sheet name="Exercicio Hora 2" sheetId="2" r:id="rId2"/>
    <sheet name="Exemplo Hora 3" sheetId="3" r:id="rId3"/>
    <sheet name="Exercicio Hora 4" sheetId="4" r:id="rId4"/>
    <sheet name="Exercício Hora 5" sheetId="5" r:id="rId5"/>
  </sheets>
  <definedNames>
    <definedName name="solver_adj" localSheetId="2" hidden="1">'Exemplo Hora 3'!$D$27</definedName>
    <definedName name="solver_adj" localSheetId="3" hidden="1">'Exercicio Hora 4'!$E$7</definedName>
    <definedName name="solver_adj" localSheetId="4" hidden="1">'Exercício Hora 5'!$B$8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2" hidden="1">'Exemplo Hora 3'!$H$26</definedName>
    <definedName name="solver_opt" localSheetId="3" hidden="1">'Exercicio Hora 4'!$E$8</definedName>
    <definedName name="solver_opt" localSheetId="4" hidden="1">'Exercício Hora 5'!$B$6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2" hidden="1">3</definedName>
    <definedName name="solver_typ" localSheetId="3" hidden="1">3</definedName>
    <definedName name="solver_typ" localSheetId="4" hidden="1">3</definedName>
    <definedName name="solver_val" localSheetId="2" hidden="1">0.001</definedName>
    <definedName name="solver_val" localSheetId="3" hidden="1">0</definedName>
    <definedName name="solver_val" localSheetId="4" hidden="1">80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5" l="1"/>
  <c r="B2" i="5"/>
  <c r="E4" i="4"/>
  <c r="E8" i="4"/>
  <c r="E3" i="4"/>
  <c r="E2" i="4"/>
  <c r="B4" i="4"/>
  <c r="E19" i="3"/>
  <c r="H19" i="3" s="1"/>
  <c r="H20" i="3" s="1"/>
  <c r="H12" i="3"/>
  <c r="B22" i="3"/>
  <c r="H18" i="3" s="1"/>
  <c r="H10" i="3"/>
  <c r="H11" i="3"/>
  <c r="H2" i="3"/>
  <c r="H3" i="3"/>
  <c r="H4" i="3" s="1"/>
  <c r="B14" i="3"/>
  <c r="B6" i="3"/>
  <c r="J2" i="2"/>
  <c r="I3" i="2"/>
  <c r="I2" i="2"/>
  <c r="G4" i="2"/>
  <c r="G5" i="2" s="1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1"/>
  <c r="I4" i="1"/>
  <c r="I5" i="1"/>
  <c r="I6" i="1"/>
  <c r="I7" i="1"/>
  <c r="I8" i="1"/>
  <c r="I9" i="1"/>
  <c r="I10" i="1"/>
  <c r="I11" i="1"/>
  <c r="I12" i="1"/>
  <c r="I13" i="1"/>
  <c r="I2" i="1"/>
  <c r="H3" i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  <c r="E10" i="1"/>
  <c r="E9" i="1"/>
  <c r="E5" i="1"/>
  <c r="E4" i="1"/>
  <c r="G10" i="2" l="1"/>
  <c r="G9" i="2"/>
  <c r="C2" i="2" l="1"/>
  <c r="D2" i="2" s="1"/>
  <c r="K2" i="2"/>
  <c r="C5" i="2"/>
  <c r="D5" i="2" s="1"/>
  <c r="C9" i="2"/>
  <c r="D9" i="2" s="1"/>
  <c r="C13" i="2"/>
  <c r="D13" i="2" s="1"/>
  <c r="C6" i="2"/>
  <c r="D6" i="2" s="1"/>
  <c r="C10" i="2"/>
  <c r="D10" i="2" s="1"/>
  <c r="C3" i="2"/>
  <c r="D3" i="2" s="1"/>
  <c r="C7" i="2"/>
  <c r="D7" i="2" s="1"/>
  <c r="C11" i="2"/>
  <c r="D11" i="2" s="1"/>
  <c r="C4" i="2"/>
  <c r="D4" i="2" s="1"/>
  <c r="C8" i="2"/>
  <c r="D8" i="2" s="1"/>
  <c r="C12" i="2"/>
  <c r="D12" i="2" s="1"/>
  <c r="K13" i="2"/>
  <c r="K9" i="2"/>
  <c r="K5" i="2"/>
  <c r="K6" i="2"/>
  <c r="K10" i="2"/>
  <c r="K11" i="2"/>
  <c r="K7" i="2"/>
  <c r="K3" i="2"/>
  <c r="K8" i="2"/>
  <c r="K4" i="2"/>
  <c r="K12" i="2"/>
</calcChain>
</file>

<file path=xl/sharedStrings.xml><?xml version="1.0" encoding="utf-8"?>
<sst xmlns="http://schemas.openxmlformats.org/spreadsheetml/2006/main" count="99" uniqueCount="52">
  <si>
    <t>Mês</t>
  </si>
  <si>
    <t>Valor Caixa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</si>
  <si>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</si>
  <si>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</si>
  <si>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</si>
  <si>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</si>
  <si>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</si>
  <si>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</si>
  <si>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</si>
  <si>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</si>
  <si>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</si>
  <si>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</si>
  <si>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</si>
  <si>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</si>
  <si>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Juros</t>
  </si>
  <si>
    <t>Custos</t>
  </si>
  <si>
    <t>Var</t>
  </si>
  <si>
    <t>Z</t>
  </si>
  <si>
    <t>hmin</t>
  </si>
  <si>
    <t>h*</t>
  </si>
  <si>
    <t>hmax</t>
  </si>
  <si>
    <t>Real</t>
  </si>
  <si>
    <t>Mínimo</t>
  </si>
  <si>
    <t>Máx</t>
  </si>
  <si>
    <t>Máximo</t>
  </si>
  <si>
    <t>Passou do Máximo?</t>
  </si>
  <si>
    <t>Quanto Passou?</t>
  </si>
  <si>
    <t xml:space="preserve">Valor </t>
  </si>
  <si>
    <t>Ativos</t>
  </si>
  <si>
    <t>Passivos</t>
  </si>
  <si>
    <t>PL</t>
  </si>
  <si>
    <t>Fin. Imob.</t>
  </si>
  <si>
    <t>Outros</t>
  </si>
  <si>
    <t>Duration</t>
  </si>
  <si>
    <t>Duration Ativos</t>
  </si>
  <si>
    <t>Caixa</t>
  </si>
  <si>
    <t>DGAP</t>
  </si>
  <si>
    <t>Efeito 1%</t>
  </si>
  <si>
    <t>DEq</t>
  </si>
  <si>
    <t>Ativo</t>
  </si>
  <si>
    <t>Passivo</t>
  </si>
  <si>
    <t>DA</t>
  </si>
  <si>
    <t>DL</t>
  </si>
  <si>
    <t>DGap</t>
  </si>
  <si>
    <t>Imunização</t>
  </si>
  <si>
    <t>Nova DA</t>
  </si>
  <si>
    <t>a)</t>
  </si>
  <si>
    <t>b)</t>
  </si>
  <si>
    <t>EL</t>
  </si>
  <si>
    <t>EAD</t>
  </si>
  <si>
    <t>PD</t>
  </si>
  <si>
    <t>LGD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</si>
</sst>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7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9" fontId="0" fillId="0" borderId="0" xfId="0" applyNumberFormat="1"/>
    <xf numFmtId="44" fontId="0" fillId="0" borderId="0" xfId="0" applyNumberFormat="1"/>
    <xf numFmtId="44" fontId="0" fillId="0" borderId="0" xfId="1" applyFont="1" applyAlignment="1">
      <alignment horizontal="center"/>
    </xf>
    <xf numFmtId="0" fontId="0" fillId="2" borderId="1" xfId="0" applyFill="1" applyBorder="1"/>
    <xf numFmtId="44" fontId="0" fillId="2" borderId="1" xfId="1" applyFont="1" applyFill="1" applyBorder="1"/>
    <xf numFmtId="0" fontId="2" fillId="2" borderId="1" xfId="0" applyFont="1" applyFill="1" applyBorder="1"/>
    <xf numFmtId="44" fontId="2" fillId="2" borderId="1" xfId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74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2" borderId="0" xfId="0" applyFill="1"/>
    <xf numFmtId="9" fontId="0" fillId="0" borderId="0" xfId="2" applyFont="1"/>
    <xf numFmtId="10" fontId="0" fillId="2" borderId="0" xfId="2" applyNumberFormat="1" applyFont="1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'Exemplo Hora 2'!$G$1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'Exemplo Hora 2'!$A$2:$A$13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'Exemplo Hora 2'!$G$2:$G$13</c:f>
              <c:numCache>
                <c:formatCode>_("R$"* #,##0.00_);_("R$"* \(#,##0.00\);_("R$"* "-"??_);_(@_)</c:formatCode>
                <c:ptCount val="12"/>
                <c:pt idx="0">
                  <c:v>330105.33</c:v>
                </c:pt>
                <c:pt idx="1">
                  <c:v>361902.67</c:v>
                </c:pt>
                <c:pt idx="2">
                  <c:v>453865.29</c:v>
                </c:pt>
                <c:pt idx="3">
                  <c:v>543560.52</c:v>
                </c:pt>
                <c:pt idx="4">
                  <c:v>147716.45000000001</c:v>
                </c:pt>
                <c:pt idx="5">
                  <c:v>150806.97</c:v>
                </c:pt>
                <c:pt idx="6">
                  <c:v>518198.87</c:v>
                </c:pt>
                <c:pt idx="7">
                  <c:v>137612.75</c:v>
                </c:pt>
                <c:pt idx="8">
                  <c:v>131278.82999999999</c:v>
                </c:pt>
                <c:pt idx="9">
                  <c:v>139222.03</c:v>
                </c:pt>
                <c:pt idx="10">
                  <c:v>303724.92</c:v>
                </c:pt>
                <c:pt idx="11">
                  <c:v>119834.2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BF-4E65-B963-1DA56F7A1B84}"/>
            </c:ext>
          </c:extLst>
        </c:ser>
        <c:ser>
          <c:idx val="1"/>
          <c:order val="1"/>
          <c:tx>
            <c:strRef>
              <c:f>'Exemplo Hora 2'!$H$1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'Exemplo Hora 2'!$A$2:$A$13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'Exemplo Hora 2'!$H$2:$H$13</c:f>
              <c:numCache>
                <c:formatCode>_("R$"* #,##0.00_);_("R$"* \(#,##0.00\);_("R$"* "-"??_);_(@_)</c:formatCode>
                <c:ptCount val="12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BF-4E65-B963-1DA56F7A1B84}"/>
            </c:ext>
          </c:extLst>
        </c:ser>
        <c:ser>
          <c:idx val="2"/>
          <c:order val="2"/>
          <c:tx>
            <c:strRef>
              <c:f>'Exemplo Hora 2'!$I$1</c:f>
              <c:strCache>
                <c:ptCount val="1"/>
                <c:pt idx="0">
                  <c:v>Máx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'Exemplo Hora 2'!$A$2:$A$13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'Exemplo Hora 2'!$I$2:$I$13</c:f>
              <c:numCache>
                <c:formatCode>_("R$"* #,##0.00_);_("R$"* \(#,##0.00\);_("R$"* "-"??_);_(@_)</c:formatCode>
                <c:ptCount val="12"/>
                <c:pt idx="0">
                  <c:v>240822.02402460817</c:v>
                </c:pt>
                <c:pt idx="1">
                  <c:v>240822.02402460817</c:v>
                </c:pt>
                <c:pt idx="2">
                  <c:v>240822.02402460817</c:v>
                </c:pt>
                <c:pt idx="3">
                  <c:v>240822.02402460817</c:v>
                </c:pt>
                <c:pt idx="4">
                  <c:v>240822.02402460817</c:v>
                </c:pt>
                <c:pt idx="5">
                  <c:v>240822.02402460817</c:v>
                </c:pt>
                <c:pt idx="6">
                  <c:v>240822.02402460817</c:v>
                </c:pt>
                <c:pt idx="7">
                  <c:v>240822.02402460817</c:v>
                </c:pt>
                <c:pt idx="8">
                  <c:v>240822.02402460817</c:v>
                </c:pt>
                <c:pt idx="9">
                  <c:v>240822.02402460817</c:v>
                </c:pt>
                <c:pt idx="10">
                  <c:v>240822.02402460817</c:v>
                </c:pt>
                <c:pt idx="11">
                  <c:v>240822.02402460817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BF-4E65-B963-1DA56F7A1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951472"/>
        <c:axId val="883950032"/>
      </c:lineChart>
      <c:catAx>
        <c:axId val="88395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3950032"/>
        <c:crosses val="autoZero"/>
        <c:auto val="1"/>
        <c:lblAlgn val="ctr"/>
        <c:lblOffset val="100"/>
        <c:noMultiLvlLbl val="0"/>
      </c:catAx>
      <c:valAx>
        <c:axId val="88395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395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'Exercicio Hora 2'!$I$1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'Exercicio Hora 2'!$A$2:$A$13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'Exercicio Hora 2'!$I$2:$I$13</c:f>
              <c:numCache>
                <c:formatCode>_("R$"* #,##0.00_);_("R$"* \(#,##0.00\);_("R$"* "-"??_);_(@_)</c:formatCode>
                <c:ptCount val="12"/>
                <c:pt idx="0">
                  <c:v>759971.97</c:v>
                </c:pt>
                <c:pt idx="1">
                  <c:v>1692461.13</c:v>
                </c:pt>
                <c:pt idx="2">
                  <c:v>558112.02</c:v>
                </c:pt>
                <c:pt idx="3">
                  <c:v>268102.65999999997</c:v>
                </c:pt>
                <c:pt idx="4">
                  <c:v>1009655.4</c:v>
                </c:pt>
                <c:pt idx="5">
                  <c:v>506254.61</c:v>
                </c:pt>
                <c:pt idx="6">
                  <c:v>268711.92</c:v>
                </c:pt>
                <c:pt idx="7">
                  <c:v>729684.11</c:v>
                </c:pt>
                <c:pt idx="8">
                  <c:v>287498.67</c:v>
                </c:pt>
                <c:pt idx="9">
                  <c:v>375330.86</c:v>
                </c:pt>
                <c:pt idx="10">
                  <c:v>926791.33</c:v>
                </c:pt>
                <c:pt idx="11">
                  <c:v>846572.27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4-4542-B2E2-61B25365339F}"/>
            </c:ext>
          </c:extLst>
        </c:ser>
        <c:ser>
          <c:idx val="1"/>
          <c:order val="1"/>
          <c:tx>
            <c:strRef>
              <c:f>'Exercicio Hora 2'!$J$1</c:f>
              <c:strCache>
                <c:ptCount val="1"/>
                <c:pt idx="0">
                  <c:v>Mínimo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'Exercicio Hora 2'!$A$2:$A$13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'Exercicio Hora 2'!$J$2:$J$13</c:f>
              <c:numCache>
                <c:formatCode>_("R$"* #,##0.00_);_("R$"* \(#,##0.00\);_("R$"* "-"??_);_(@_)</c:formatCode>
                <c:ptCount val="12"/>
                <c:pt idx="0">
                  <c:v>200000</c:v>
                </c:pt>
                <c:pt idx="1">
                  <c:v>200000</c:v>
                </c:pt>
                <c:pt idx="2">
                  <c:v>200000</c:v>
                </c:pt>
                <c:pt idx="3">
                  <c:v>200000</c:v>
                </c:pt>
                <c:pt idx="4">
                  <c:v>200000</c:v>
                </c:pt>
                <c:pt idx="5">
                  <c:v>200000</c:v>
                </c:pt>
                <c:pt idx="6">
                  <c:v>200000</c:v>
                </c:pt>
                <c:pt idx="7">
                  <c:v>200000</c:v>
                </c:pt>
                <c:pt idx="8">
                  <c:v>200000</c:v>
                </c:pt>
                <c:pt idx="9">
                  <c:v>200000</c:v>
                </c:pt>
                <c:pt idx="10">
                  <c:v>200000</c:v>
                </c:pt>
                <c:pt idx="11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44-4542-B2E2-61B25365339F}"/>
            </c:ext>
          </c:extLst>
        </c:ser>
        <c:ser>
          <c:idx val="2"/>
          <c:order val="2"/>
          <c:tx>
            <c:strRef>
              <c:f>'Exercicio Hora 2'!$K$1</c:f>
              <c:strCache>
                <c:ptCount val="1"/>
                <c:pt idx="0">
                  <c:v>Máximo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'Exercicio Hora 2'!$A$2:$A$13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'Exercicio Hora 2'!$K$2:$K$13</c:f>
              <c:numCache>
                <c:formatCode>_("R$"* #,##0.00_);_("R$"* \(#,##0.00\);_("R$"* "-"??_);_(@_)</c:formatCode>
                <c:ptCount val="12"/>
                <c:pt idx="0">
                  <c:v>924813.35600508749</c:v>
                </c:pt>
                <c:pt idx="1">
                  <c:v>924813.35600508749</c:v>
                </c:pt>
                <c:pt idx="2">
                  <c:v>924813.35600508749</c:v>
                </c:pt>
                <c:pt idx="3">
                  <c:v>924813.35600508749</c:v>
                </c:pt>
                <c:pt idx="4">
                  <c:v>924813.35600508749</c:v>
                </c:pt>
                <c:pt idx="5">
                  <c:v>924813.35600508749</c:v>
                </c:pt>
                <c:pt idx="6">
                  <c:v>924813.35600508749</c:v>
                </c:pt>
                <c:pt idx="7">
                  <c:v>924813.35600508749</c:v>
                </c:pt>
                <c:pt idx="8">
                  <c:v>924813.35600508749</c:v>
                </c:pt>
                <c:pt idx="9">
                  <c:v>924813.35600508749</c:v>
                </c:pt>
                <c:pt idx="10">
                  <c:v>924813.35600508749</c:v>
                </c:pt>
                <c:pt idx="11">
                  <c:v>924813.35600508749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44-4542-B2E2-61B253653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744239"/>
        <c:axId val="1046753359"/>
      </c:lineChart>
      <c:catAx>
        <c:axId val="104674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6753359"/>
        <c:crosses val="autoZero"/>
        <c:auto val="1"/>
        <c:lblAlgn val="ctr"/>
        <c:lblOffset val="100"/>
        <c:noMultiLvlLbl val="0"/>
      </c:catAx>
      <c:valAx>
        <c:axId val="104675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67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443508</xdr:colOff>
      <xdr:row>14</xdr:row>
      <xdr:rowOff>595</xdr:rowOff>
    </xdr:from>
    <xdr:to>
      <xdr:col>7</xdr:col>
      <xdr:colOff>741164</xdr:colOff>
      <xdr:row>28</xdr:row>
      <xdr:rowOff>76795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78DC31-AE92-BFFC-9A35-9E13AE990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595312</xdr:colOff>
      <xdr:row>14</xdr:row>
      <xdr:rowOff>185737</xdr:rowOff>
    </xdr:from>
    <xdr:to>
      <xdr:col>10</xdr:col>
      <xdr:colOff>376237</xdr:colOff>
      <xdr:row>29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D1CC75-26E4-0F60-2427-66B7A2704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6CD7B-6711-46CC-86FF-246174599D30}">
  <dimension ref="A1:I13"/>
  <sheetViews>
    <sheetView topLeftCell="C1" zoomScale="160" zoomScaleNormal="160" workbookViewId="0">
      <selection activeCell="G1" sqref="G1:I13"/>
    </sheetView>
  </sheetViews>
  <sheetFormatPr defaultRowHeight="15" x14ac:dyDescent="0.25"/>
  <cols>
    <col min="2" max="2" width="14.28515625" bestFit="1" customWidth="1"/>
    <col min="3" max="3" width="2.85546875" customWidth="1"/>
    <col min="5" max="5" width="14.28515625" bestFit="1" customWidth="1"/>
    <col min="7" max="9" width="14.42578125" bestFit="1" customWidth="1"/>
  </cols>
  <sheetData>
    <row r="1" spans="1:9" x14ac:dyDescent="0.25">
      <c r="A1" t="s">
        <v>0</v>
      </c>
      <c r="B1" t="s">
        <v>1</v>
      </c>
      <c r="G1" t="s">
        <v>21</v>
      </c>
      <c r="H1" t="s">
        <v>22</v>
      </c>
      <c r="I1" t="s">
        <v>23</v>
      </c>
    </row>
    <row r="2" spans="1:9" x14ac:dyDescent="0.25">
      <c r="A2" t="s">
        <v>2</v>
      </c>
      <c r="B2" s="1">
        <v>330105.33</v>
      </c>
      <c r="D2" t="s">
        <v>14</v>
      </c>
      <c r="E2" s="2">
        <v>0.19</v>
      </c>
      <c r="G2" s="3">
        <f>B2</f>
        <v>330105.33</v>
      </c>
      <c r="H2" s="3">
        <f>$E$8</f>
        <v>100000</v>
      </c>
      <c r="I2" s="3">
        <f>$E$10</f>
        <v>240822.02402460817</v>
      </c>
    </row>
    <row r="3" spans="1:9" x14ac:dyDescent="0.25">
      <c r="A3" t="s">
        <v>3</v>
      </c>
      <c r="B3" s="1">
        <v>361902.67</v>
      </c>
      <c r="D3" t="s">
        <v>15</v>
      </c>
      <c r="E3">
        <v>1000</v>
      </c>
      <c r="G3" s="3">
        <f t="shared" ref="G3:G13" si="0">B3</f>
        <v>361902.67</v>
      </c>
      <c r="H3" s="3">
        <f t="shared" ref="H3:H13" si="1">$E$8</f>
        <v>100000</v>
      </c>
      <c r="I3" s="3">
        <f t="shared" ref="I3:I13" si="2">$E$10</f>
        <v>240822.02402460817</v>
      </c>
    </row>
    <row r="4" spans="1:9" x14ac:dyDescent="0.25">
      <c r="A4" t="s">
        <v>4</v>
      </c>
      <c r="B4" s="1">
        <v>453865.29</v>
      </c>
      <c r="D4" t="s">
        <v>16</v>
      </c>
      <c r="E4">
        <f>_xlfn.VAR.S(B2:B13)</f>
        <v>26202354601.262451</v>
      </c>
      <c r="G4" s="3">
        <f t="shared" si="0"/>
        <v>453865.29</v>
      </c>
      <c r="H4" s="3">
        <f t="shared" si="1"/>
        <v>100000</v>
      </c>
      <c r="I4" s="3">
        <f t="shared" si="2"/>
        <v>240822.02402460817</v>
      </c>
    </row>
    <row r="5" spans="1:9" x14ac:dyDescent="0.25">
      <c r="A5" t="s">
        <v>5</v>
      </c>
      <c r="B5" s="1">
        <v>543560.52</v>
      </c>
      <c r="D5" t="s">
        <v>17</v>
      </c>
      <c r="E5" s="1">
        <f>((3*E3*E4)/(4*E2))^(1/3)</f>
        <v>46940.674674869391</v>
      </c>
      <c r="G5" s="3">
        <f t="shared" si="0"/>
        <v>543560.52</v>
      </c>
      <c r="H5" s="3">
        <f t="shared" si="1"/>
        <v>100000</v>
      </c>
      <c r="I5" s="3">
        <f t="shared" si="2"/>
        <v>240822.02402460817</v>
      </c>
    </row>
    <row r="6" spans="1:9" x14ac:dyDescent="0.25">
      <c r="A6" t="s">
        <v>6</v>
      </c>
      <c r="B6" s="1">
        <v>147716.45000000001</v>
      </c>
      <c r="G6" s="3">
        <f t="shared" si="0"/>
        <v>147716.45000000001</v>
      </c>
      <c r="H6" s="3">
        <f t="shared" si="1"/>
        <v>100000</v>
      </c>
      <c r="I6" s="3">
        <f t="shared" si="2"/>
        <v>240822.02402460817</v>
      </c>
    </row>
    <row r="7" spans="1:9" x14ac:dyDescent="0.25">
      <c r="A7" t="s">
        <v>7</v>
      </c>
      <c r="B7" s="1">
        <v>150806.97</v>
      </c>
      <c r="G7" s="3">
        <f t="shared" si="0"/>
        <v>150806.97</v>
      </c>
      <c r="H7" s="3">
        <f t="shared" si="1"/>
        <v>100000</v>
      </c>
      <c r="I7" s="3">
        <f t="shared" si="2"/>
        <v>240822.02402460817</v>
      </c>
    </row>
    <row r="8" spans="1:9" x14ac:dyDescent="0.25">
      <c r="A8" t="s">
        <v>8</v>
      </c>
      <c r="B8" s="1">
        <v>518198.87</v>
      </c>
      <c r="D8" t="s">
        <v>18</v>
      </c>
      <c r="E8" s="1">
        <v>100000</v>
      </c>
      <c r="G8" s="3">
        <f t="shared" si="0"/>
        <v>518198.87</v>
      </c>
      <c r="H8" s="3">
        <f t="shared" si="1"/>
        <v>100000</v>
      </c>
      <c r="I8" s="3">
        <f t="shared" si="2"/>
        <v>240822.02402460817</v>
      </c>
    </row>
    <row r="9" spans="1:9" x14ac:dyDescent="0.25">
      <c r="A9" t="s">
        <v>9</v>
      </c>
      <c r="B9" s="1">
        <v>137612.75</v>
      </c>
      <c r="D9" t="s">
        <v>19</v>
      </c>
      <c r="E9" s="3">
        <f>E8+E5</f>
        <v>146940.6746748694</v>
      </c>
      <c r="G9" s="3">
        <f t="shared" si="0"/>
        <v>137612.75</v>
      </c>
      <c r="H9" s="3">
        <f t="shared" si="1"/>
        <v>100000</v>
      </c>
      <c r="I9" s="3">
        <f t="shared" si="2"/>
        <v>240822.02402460817</v>
      </c>
    </row>
    <row r="10" spans="1:9" x14ac:dyDescent="0.25">
      <c r="A10" t="s">
        <v>10</v>
      </c>
      <c r="B10" s="1">
        <v>131278.82999999999</v>
      </c>
      <c r="D10" t="s">
        <v>20</v>
      </c>
      <c r="E10" s="3">
        <f>3*E5+E8</f>
        <v>240822.02402460817</v>
      </c>
      <c r="G10" s="3">
        <f t="shared" si="0"/>
        <v>131278.82999999999</v>
      </c>
      <c r="H10" s="3">
        <f t="shared" si="1"/>
        <v>100000</v>
      </c>
      <c r="I10" s="3">
        <f t="shared" si="2"/>
        <v>240822.02402460817</v>
      </c>
    </row>
    <row r="11" spans="1:9" x14ac:dyDescent="0.25">
      <c r="A11" t="s">
        <v>11</v>
      </c>
      <c r="B11" s="1">
        <v>139222.03</v>
      </c>
      <c r="G11" s="3">
        <f t="shared" si="0"/>
        <v>139222.03</v>
      </c>
      <c r="H11" s="3">
        <f t="shared" si="1"/>
        <v>100000</v>
      </c>
      <c r="I11" s="3">
        <f t="shared" si="2"/>
        <v>240822.02402460817</v>
      </c>
    </row>
    <row r="12" spans="1:9" x14ac:dyDescent="0.25">
      <c r="A12" t="s">
        <v>12</v>
      </c>
      <c r="B12" s="1">
        <v>303724.92</v>
      </c>
      <c r="G12" s="3">
        <f t="shared" si="0"/>
        <v>303724.92</v>
      </c>
      <c r="H12" s="3">
        <f t="shared" si="1"/>
        <v>100000</v>
      </c>
      <c r="I12" s="3">
        <f t="shared" si="2"/>
        <v>240822.02402460817</v>
      </c>
    </row>
    <row r="13" spans="1:9" x14ac:dyDescent="0.25">
      <c r="A13" t="s">
        <v>13</v>
      </c>
      <c r="B13" s="1">
        <v>119834.2</v>
      </c>
      <c r="G13" s="3">
        <f t="shared" si="0"/>
        <v>119834.2</v>
      </c>
      <c r="H13" s="3">
        <f t="shared" si="1"/>
        <v>100000</v>
      </c>
      <c r="I13" s="3">
        <f t="shared" si="2"/>
        <v>240822.02402460817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0CEB-01B0-42BA-B565-A95EFC7DDA64}">
  <dimension ref="A1:K13"/>
  <sheetViews>
    <sheetView zoomScale="175" zoomScaleNormal="175" workbookViewId="0">
      <selection activeCell="G4" sqref="G4"/>
    </sheetView>
  </sheetViews>
  <sheetFormatPr defaultRowHeight="15" x14ac:dyDescent="0.25"/>
  <cols>
    <col min="1" max="1" width="10.140625" bestFit="1" customWidth="1"/>
    <col min="2" max="2" width="16.28515625" style="1" bestFit="1" customWidth="1"/>
    <col min="3" max="3" width="20.42578125" style="1" bestFit="1" customWidth="1"/>
    <col min="4" max="4" width="16.28515625" bestFit="1" customWidth="1"/>
    <col min="5" max="5" width="2.85546875" customWidth="1"/>
    <col min="7" max="7" width="14.28515625" bestFit="1" customWidth="1"/>
    <col min="9" max="9" width="16.28515625" bestFit="1" customWidth="1"/>
    <col min="10" max="11" width="14.28515625" bestFit="1" customWidth="1"/>
  </cols>
  <sheetData>
    <row r="1" spans="1:11" x14ac:dyDescent="0.25">
      <c r="A1" s="7" t="s">
        <v>0</v>
      </c>
      <c r="B1" s="8" t="s">
        <v>1</v>
      </c>
      <c r="C1" s="1" t="s">
        <v>25</v>
      </c>
      <c r="D1" t="s">
        <v>26</v>
      </c>
      <c r="I1" t="s">
        <v>21</v>
      </c>
      <c r="J1" t="s">
        <v>22</v>
      </c>
      <c r="K1" t="s">
        <v>24</v>
      </c>
    </row>
    <row r="2" spans="1:11" x14ac:dyDescent="0.25">
      <c r="A2" s="5" t="s">
        <v>2</v>
      </c>
      <c r="B2" s="6">
        <v>759971.97</v>
      </c>
      <c r="C2" s="4" t="str">
        <f>IF(B2&gt;$G$10,"Sim","Não")</f>
        <v>Não</v>
      </c>
      <c r="D2" s="1">
        <f>IF(C2="Sim",B2-$G$10,0)</f>
        <v>0</v>
      </c>
      <c r="F2" t="s">
        <v>14</v>
      </c>
      <c r="G2" s="2">
        <v>0.18</v>
      </c>
      <c r="I2" s="3">
        <f>B2</f>
        <v>759971.97</v>
      </c>
      <c r="J2" s="3">
        <f>$G$8</f>
        <v>200000</v>
      </c>
      <c r="K2" s="3">
        <f>$G$10</f>
        <v>924813.35600508749</v>
      </c>
    </row>
    <row r="3" spans="1:11" x14ac:dyDescent="0.25">
      <c r="A3" s="5" t="s">
        <v>3</v>
      </c>
      <c r="B3" s="6">
        <v>1692461.13</v>
      </c>
      <c r="C3" s="4" t="str">
        <f t="shared" ref="C3:C13" si="0">IF(B3&gt;$G$10,"Sim","Não")</f>
        <v>Sim</v>
      </c>
      <c r="D3" s="1">
        <f t="shared" ref="D3:D13" si="1">IF(C3="Sim",B3-$G$10,0)</f>
        <v>767647.77399491239</v>
      </c>
      <c r="F3" t="s">
        <v>15</v>
      </c>
      <c r="G3">
        <v>20000</v>
      </c>
      <c r="I3" s="3">
        <f>B3</f>
        <v>1692461.13</v>
      </c>
      <c r="J3" s="3">
        <f t="shared" ref="J3:J13" si="2">$G$8</f>
        <v>200000</v>
      </c>
      <c r="K3" s="3">
        <f t="shared" ref="K3:K13" si="3">$G$10</f>
        <v>924813.35600508749</v>
      </c>
    </row>
    <row r="4" spans="1:11" x14ac:dyDescent="0.25">
      <c r="A4" s="5" t="s">
        <v>4</v>
      </c>
      <c r="B4" s="6">
        <v>558112.02</v>
      </c>
      <c r="C4" s="4" t="str">
        <f t="shared" si="0"/>
        <v>Não</v>
      </c>
      <c r="D4" s="1">
        <f t="shared" si="1"/>
        <v>0</v>
      </c>
      <c r="F4" t="s">
        <v>16</v>
      </c>
      <c r="G4">
        <f>_xlfn.VAR.S(B2:B13)</f>
        <v>169237282894.34616</v>
      </c>
      <c r="I4" s="3">
        <f>B4</f>
        <v>558112.02</v>
      </c>
      <c r="J4" s="3">
        <f t="shared" si="2"/>
        <v>200000</v>
      </c>
      <c r="K4" s="3">
        <f t="shared" si="3"/>
        <v>924813.35600508749</v>
      </c>
    </row>
    <row r="5" spans="1:11" x14ac:dyDescent="0.25">
      <c r="A5" s="5" t="s">
        <v>5</v>
      </c>
      <c r="B5" s="6">
        <v>268102.65999999997</v>
      </c>
      <c r="C5" s="4" t="str">
        <f t="shared" si="0"/>
        <v>Não</v>
      </c>
      <c r="D5" s="1">
        <f t="shared" si="1"/>
        <v>0</v>
      </c>
      <c r="F5" t="s">
        <v>17</v>
      </c>
      <c r="G5" s="1">
        <f>((3*G3*G4)/(4*G2))^(1/3)</f>
        <v>241604.45200169581</v>
      </c>
      <c r="I5" s="3">
        <f>B5</f>
        <v>268102.65999999997</v>
      </c>
      <c r="J5" s="3">
        <f t="shared" si="2"/>
        <v>200000</v>
      </c>
      <c r="K5" s="3">
        <f t="shared" si="3"/>
        <v>924813.35600508749</v>
      </c>
    </row>
    <row r="6" spans="1:11" x14ac:dyDescent="0.25">
      <c r="A6" s="5" t="s">
        <v>6</v>
      </c>
      <c r="B6" s="6">
        <v>1009655.4</v>
      </c>
      <c r="C6" s="4" t="str">
        <f t="shared" si="0"/>
        <v>Sim</v>
      </c>
      <c r="D6" s="1">
        <f t="shared" si="1"/>
        <v>84842.043994912528</v>
      </c>
      <c r="I6" s="3">
        <f>B6</f>
        <v>1009655.4</v>
      </c>
      <c r="J6" s="3">
        <f t="shared" si="2"/>
        <v>200000</v>
      </c>
      <c r="K6" s="3">
        <f t="shared" si="3"/>
        <v>924813.35600508749</v>
      </c>
    </row>
    <row r="7" spans="1:11" x14ac:dyDescent="0.25">
      <c r="A7" s="5" t="s">
        <v>7</v>
      </c>
      <c r="B7" s="6">
        <v>506254.61</v>
      </c>
      <c r="C7" s="4" t="str">
        <f t="shared" si="0"/>
        <v>Não</v>
      </c>
      <c r="D7" s="1">
        <f t="shared" si="1"/>
        <v>0</v>
      </c>
      <c r="I7" s="3">
        <f>B7</f>
        <v>506254.61</v>
      </c>
      <c r="J7" s="3">
        <f t="shared" si="2"/>
        <v>200000</v>
      </c>
      <c r="K7" s="3">
        <f t="shared" si="3"/>
        <v>924813.35600508749</v>
      </c>
    </row>
    <row r="8" spans="1:11" x14ac:dyDescent="0.25">
      <c r="A8" s="5" t="s">
        <v>8</v>
      </c>
      <c r="B8" s="6">
        <v>268711.92</v>
      </c>
      <c r="C8" s="4" t="str">
        <f t="shared" si="0"/>
        <v>Não</v>
      </c>
      <c r="D8" s="1">
        <f t="shared" si="1"/>
        <v>0</v>
      </c>
      <c r="F8" t="s">
        <v>18</v>
      </c>
      <c r="G8" s="1">
        <v>200000</v>
      </c>
      <c r="I8" s="3">
        <f>B8</f>
        <v>268711.92</v>
      </c>
      <c r="J8" s="3">
        <f t="shared" si="2"/>
        <v>200000</v>
      </c>
      <c r="K8" s="3">
        <f t="shared" si="3"/>
        <v>924813.35600508749</v>
      </c>
    </row>
    <row r="9" spans="1:11" x14ac:dyDescent="0.25">
      <c r="A9" s="5" t="s">
        <v>9</v>
      </c>
      <c r="B9" s="6">
        <v>729684.11</v>
      </c>
      <c r="C9" s="4" t="str">
        <f t="shared" si="0"/>
        <v>Não</v>
      </c>
      <c r="D9" s="1">
        <f t="shared" si="1"/>
        <v>0</v>
      </c>
      <c r="F9" t="s">
        <v>19</v>
      </c>
      <c r="G9" s="3">
        <f>G8+G5</f>
        <v>441604.45200169581</v>
      </c>
      <c r="I9" s="3">
        <f>B9</f>
        <v>729684.11</v>
      </c>
      <c r="J9" s="3">
        <f t="shared" si="2"/>
        <v>200000</v>
      </c>
      <c r="K9" s="3">
        <f t="shared" si="3"/>
        <v>924813.35600508749</v>
      </c>
    </row>
    <row r="10" spans="1:11" x14ac:dyDescent="0.25">
      <c r="A10" s="5" t="s">
        <v>10</v>
      </c>
      <c r="B10" s="6">
        <v>287498.67</v>
      </c>
      <c r="C10" s="4" t="str">
        <f t="shared" si="0"/>
        <v>Não</v>
      </c>
      <c r="D10" s="1">
        <f t="shared" si="1"/>
        <v>0</v>
      </c>
      <c r="F10" t="s">
        <v>20</v>
      </c>
      <c r="G10" s="3">
        <f>3*G5+G8</f>
        <v>924813.35600508749</v>
      </c>
      <c r="I10" s="3">
        <f>B10</f>
        <v>287498.67</v>
      </c>
      <c r="J10" s="3">
        <f t="shared" si="2"/>
        <v>200000</v>
      </c>
      <c r="K10" s="3">
        <f t="shared" si="3"/>
        <v>924813.35600508749</v>
      </c>
    </row>
    <row r="11" spans="1:11" x14ac:dyDescent="0.25">
      <c r="A11" s="5" t="s">
        <v>11</v>
      </c>
      <c r="B11" s="6">
        <v>375330.86</v>
      </c>
      <c r="C11" s="4" t="str">
        <f t="shared" si="0"/>
        <v>Não</v>
      </c>
      <c r="D11" s="1">
        <f t="shared" si="1"/>
        <v>0</v>
      </c>
      <c r="I11" s="3">
        <f>B11</f>
        <v>375330.86</v>
      </c>
      <c r="J11" s="3">
        <f t="shared" si="2"/>
        <v>200000</v>
      </c>
      <c r="K11" s="3">
        <f t="shared" si="3"/>
        <v>924813.35600508749</v>
      </c>
    </row>
    <row r="12" spans="1:11" x14ac:dyDescent="0.25">
      <c r="A12" s="5" t="s">
        <v>12</v>
      </c>
      <c r="B12" s="6">
        <v>926791.33</v>
      </c>
      <c r="C12" s="4" t="str">
        <f t="shared" si="0"/>
        <v>Sim</v>
      </c>
      <c r="D12" s="1">
        <f t="shared" si="1"/>
        <v>1977.9739949124632</v>
      </c>
      <c r="I12" s="3">
        <f>B12</f>
        <v>926791.33</v>
      </c>
      <c r="J12" s="3">
        <f t="shared" si="2"/>
        <v>200000</v>
      </c>
      <c r="K12" s="3">
        <f t="shared" si="3"/>
        <v>924813.35600508749</v>
      </c>
    </row>
    <row r="13" spans="1:11" x14ac:dyDescent="0.25">
      <c r="A13" s="5" t="s">
        <v>13</v>
      </c>
      <c r="B13" s="6">
        <v>846572.27</v>
      </c>
      <c r="C13" s="4" t="str">
        <f t="shared" si="0"/>
        <v>Não</v>
      </c>
      <c r="D13" s="1">
        <f t="shared" si="1"/>
        <v>0</v>
      </c>
      <c r="I13" s="3">
        <f>B13</f>
        <v>846572.27</v>
      </c>
      <c r="J13" s="3">
        <f t="shared" si="2"/>
        <v>200000</v>
      </c>
      <c r="K13" s="3">
        <f t="shared" si="3"/>
        <v>924813.35600508749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CC6-FEF4-492B-A581-DB8A51AAC132}">
  <dimension ref="A1:H29"/>
  <sheetViews>
    <sheetView topLeftCell="A7" zoomScale="170" zoomScaleNormal="170" workbookViewId="0">
      <selection activeCell="H19" sqref="H19"/>
    </sheetView>
  </sheetViews>
  <sheetFormatPr defaultRowHeight="15" x14ac:dyDescent="0.25"/>
  <cols>
    <col min="1" max="1" width="14.5703125" bestFit="1" customWidth="1"/>
    <col min="2" max="5" width="9.140625" style="9"/>
  </cols>
  <sheetData>
    <row r="1" spans="1:8" x14ac:dyDescent="0.25">
      <c r="B1" s="10" t="s">
        <v>28</v>
      </c>
      <c r="C1" s="10"/>
      <c r="D1" s="9" t="s">
        <v>29</v>
      </c>
      <c r="E1" s="9" t="s">
        <v>30</v>
      </c>
    </row>
    <row r="2" spans="1:8" x14ac:dyDescent="0.25">
      <c r="B2" s="9" t="s">
        <v>31</v>
      </c>
      <c r="C2" s="9" t="s">
        <v>32</v>
      </c>
      <c r="G2" t="s">
        <v>36</v>
      </c>
      <c r="H2" s="12">
        <f>B6+(D3/(B3+C3))*D4</f>
        <v>2.1519433333333335</v>
      </c>
    </row>
    <row r="3" spans="1:8" x14ac:dyDescent="0.25">
      <c r="A3" t="s">
        <v>27</v>
      </c>
      <c r="B3" s="9">
        <v>80.63</v>
      </c>
      <c r="C3" s="9">
        <v>219.37</v>
      </c>
      <c r="D3" s="9">
        <v>-285</v>
      </c>
      <c r="E3" s="9">
        <v>15</v>
      </c>
      <c r="G3" t="s">
        <v>38</v>
      </c>
      <c r="H3" s="13">
        <f>((B6*(B3+C3))+(D4*D3))/E3</f>
        <v>43.038866666666657</v>
      </c>
    </row>
    <row r="4" spans="1:8" x14ac:dyDescent="0.25">
      <c r="A4" t="s">
        <v>33</v>
      </c>
      <c r="B4" s="9">
        <v>8</v>
      </c>
      <c r="C4" s="9">
        <v>3.9</v>
      </c>
      <c r="D4" s="9">
        <v>3</v>
      </c>
      <c r="E4" s="9">
        <v>43</v>
      </c>
      <c r="G4" t="s">
        <v>37</v>
      </c>
      <c r="H4">
        <f>-H3*E3*1%</f>
        <v>-6.4558299999999988</v>
      </c>
    </row>
    <row r="6" spans="1:8" x14ac:dyDescent="0.25">
      <c r="A6" t="s">
        <v>34</v>
      </c>
      <c r="B6" s="11">
        <f>((B3*B4)+(C3*C4))/(B3+C3)</f>
        <v>5.0019433333333332</v>
      </c>
      <c r="C6" s="11"/>
    </row>
    <row r="9" spans="1:8" x14ac:dyDescent="0.25">
      <c r="B9" s="10" t="s">
        <v>28</v>
      </c>
      <c r="C9" s="10"/>
      <c r="D9" s="9" t="s">
        <v>29</v>
      </c>
      <c r="E9" s="9" t="s">
        <v>30</v>
      </c>
    </row>
    <row r="10" spans="1:8" x14ac:dyDescent="0.25">
      <c r="B10" s="9" t="s">
        <v>35</v>
      </c>
      <c r="C10" s="9" t="s">
        <v>32</v>
      </c>
      <c r="G10" t="s">
        <v>36</v>
      </c>
      <c r="H10" s="12">
        <f>B14+(D11/(B11+C11))*D12</f>
        <v>1.8100000000003114E-3</v>
      </c>
    </row>
    <row r="11" spans="1:8" x14ac:dyDescent="0.25">
      <c r="A11" t="s">
        <v>27</v>
      </c>
      <c r="B11" s="9">
        <v>80.63</v>
      </c>
      <c r="C11" s="9">
        <v>219.37</v>
      </c>
      <c r="D11" s="9">
        <v>-285</v>
      </c>
      <c r="E11" s="9">
        <v>15</v>
      </c>
      <c r="G11" t="s">
        <v>38</v>
      </c>
      <c r="H11" s="13">
        <f>((B14*(B11+C11))+(D12*D11))/E11</f>
        <v>3.6200000000000426E-2</v>
      </c>
    </row>
    <row r="12" spans="1:8" x14ac:dyDescent="0.25">
      <c r="A12" t="s">
        <v>33</v>
      </c>
      <c r="B12" s="9">
        <v>0</v>
      </c>
      <c r="C12" s="9">
        <v>3.9</v>
      </c>
      <c r="D12" s="9">
        <v>3</v>
      </c>
      <c r="G12" t="s">
        <v>37</v>
      </c>
      <c r="H12" s="13">
        <f>-H11*E11*1%</f>
        <v>-5.4300000000000641E-3</v>
      </c>
    </row>
    <row r="14" spans="1:8" x14ac:dyDescent="0.25">
      <c r="A14" t="s">
        <v>34</v>
      </c>
      <c r="B14" s="11">
        <f>((B11*B12)+(C11*C12))/(B11+C11)</f>
        <v>2.85181</v>
      </c>
      <c r="C14" s="11"/>
    </row>
    <row r="17" spans="1:8" x14ac:dyDescent="0.25">
      <c r="B17" s="10" t="s">
        <v>28</v>
      </c>
      <c r="C17" s="10"/>
      <c r="D17" s="9" t="s">
        <v>29</v>
      </c>
      <c r="E17" s="9" t="s">
        <v>30</v>
      </c>
    </row>
    <row r="18" spans="1:8" x14ac:dyDescent="0.25">
      <c r="B18" s="9" t="s">
        <v>35</v>
      </c>
      <c r="C18" s="9" t="s">
        <v>32</v>
      </c>
      <c r="G18" t="s">
        <v>36</v>
      </c>
      <c r="H18" s="12">
        <f>B22+(D19/(B19+C19))*D20</f>
        <v>1.8383722111248169E-3</v>
      </c>
    </row>
    <row r="19" spans="1:8" x14ac:dyDescent="0.25">
      <c r="A19" t="s">
        <v>27</v>
      </c>
      <c r="B19" s="9">
        <v>76</v>
      </c>
      <c r="C19" s="9">
        <v>219.37</v>
      </c>
      <c r="D19" s="9">
        <v>-285</v>
      </c>
      <c r="E19" s="9">
        <f>B19+C19+D19+1</f>
        <v>11.370000000000005</v>
      </c>
      <c r="G19" t="s">
        <v>38</v>
      </c>
      <c r="H19" s="13">
        <f>((B22*(B19+C19))+(D20*D19))/E19</f>
        <v>4.7757255936675999E-2</v>
      </c>
    </row>
    <row r="20" spans="1:8" x14ac:dyDescent="0.25">
      <c r="A20" t="s">
        <v>33</v>
      </c>
      <c r="B20" s="9">
        <v>0</v>
      </c>
      <c r="C20" s="9">
        <v>3.9</v>
      </c>
      <c r="D20" s="9">
        <v>3</v>
      </c>
      <c r="G20" t="s">
        <v>37</v>
      </c>
      <c r="H20" s="13">
        <f>-H19*E19*1%</f>
        <v>-5.4300000000000641E-3</v>
      </c>
    </row>
    <row r="22" spans="1:8" x14ac:dyDescent="0.25">
      <c r="A22" t="s">
        <v>34</v>
      </c>
      <c r="B22" s="11">
        <f>((B19*B20)+(C19*C20))/(B19+C19)</f>
        <v>2.8965128482919726</v>
      </c>
      <c r="C22" s="11"/>
    </row>
    <row r="24" spans="1:8" x14ac:dyDescent="0.25">
      <c r="B24" s="10"/>
      <c r="C24" s="10"/>
    </row>
    <row r="25" spans="1:8" x14ac:dyDescent="0.25">
      <c r="H25" s="12"/>
    </row>
    <row r="26" spans="1:8" x14ac:dyDescent="0.25">
      <c r="H26" s="13"/>
    </row>
    <row r="29" spans="1:8" x14ac:dyDescent="0.25">
      <c r="B29" s="11"/>
      <c r="C29" s="11"/>
    </row>
  </sheetData>
  <mergeCells count="8">
    <mergeCell ref="B24:C24"/>
    <mergeCell ref="B29:C29"/>
    <mergeCell ref="B1:C1"/>
    <mergeCell ref="B6:C6"/>
    <mergeCell ref="B9:C9"/>
    <mergeCell ref="B14:C14"/>
    <mergeCell ref="B17:C17"/>
    <mergeCell ref="B22:C2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43B8-3D03-4798-B4A0-01A380A8E304}">
  <dimension ref="A2:E8"/>
  <sheetViews>
    <sheetView zoomScale="250" zoomScaleNormal="250" workbookViewId="0">
      <selection activeCell="E4" sqref="E4"/>
    </sheetView>
  </sheetViews>
  <sheetFormatPr defaultRowHeight="15" x14ac:dyDescent="0.25"/>
  <sheetData>
    <row r="2" spans="1:5" x14ac:dyDescent="0.25">
      <c r="A2" t="s">
        <v>39</v>
      </c>
      <c r="B2">
        <v>500</v>
      </c>
      <c r="D2" s="14" t="s">
        <v>43</v>
      </c>
      <c r="E2">
        <f>B6-(B3/B2)*B7</f>
        <v>3.3</v>
      </c>
    </row>
    <row r="3" spans="1:5" x14ac:dyDescent="0.25">
      <c r="A3" t="s">
        <v>40</v>
      </c>
      <c r="B3">
        <v>450</v>
      </c>
      <c r="D3" s="14" t="s">
        <v>38</v>
      </c>
      <c r="E3">
        <f>((B6*B2)-(B7*B3))/B4</f>
        <v>33</v>
      </c>
    </row>
    <row r="4" spans="1:5" x14ac:dyDescent="0.25">
      <c r="A4" t="s">
        <v>30</v>
      </c>
      <c r="B4">
        <f>B2-B3</f>
        <v>50</v>
      </c>
      <c r="D4" s="15">
        <v>0.01</v>
      </c>
      <c r="E4">
        <f>-E3*B4*0.01</f>
        <v>-16.5</v>
      </c>
    </row>
    <row r="6" spans="1:5" x14ac:dyDescent="0.25">
      <c r="A6" t="s">
        <v>41</v>
      </c>
      <c r="B6">
        <v>6</v>
      </c>
      <c r="D6" t="s">
        <v>44</v>
      </c>
    </row>
    <row r="7" spans="1:5" x14ac:dyDescent="0.25">
      <c r="A7" t="s">
        <v>42</v>
      </c>
      <c r="B7">
        <v>3</v>
      </c>
      <c r="D7" t="s">
        <v>45</v>
      </c>
      <c r="E7" s="16">
        <v>2.6999999999999114</v>
      </c>
    </row>
    <row r="8" spans="1:5" x14ac:dyDescent="0.25">
      <c r="D8" t="s">
        <v>38</v>
      </c>
      <c r="E8">
        <f>((E7*B2)-(B3*B7))/B4</f>
        <v>-8.8675733422860501E-13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959F-C95C-452F-A90D-112F42410013}">
  <dimension ref="A2:B9"/>
  <sheetViews>
    <sheetView tabSelected="1" zoomScale="190" zoomScaleNormal="190" workbookViewId="0">
      <selection activeCell="B8" sqref="B8"/>
    </sheetView>
  </sheetViews>
  <sheetFormatPr defaultRowHeight="15" x14ac:dyDescent="0.25"/>
  <sheetData>
    <row r="2" spans="1:2" x14ac:dyDescent="0.25">
      <c r="A2" t="s">
        <v>46</v>
      </c>
      <c r="B2" s="17">
        <f>80/1000</f>
        <v>0.08</v>
      </c>
    </row>
    <row r="4" spans="1:2" x14ac:dyDescent="0.25">
      <c r="A4" t="s">
        <v>47</v>
      </c>
    </row>
    <row r="6" spans="1:2" x14ac:dyDescent="0.25">
      <c r="A6" t="s">
        <v>48</v>
      </c>
      <c r="B6">
        <f>B7*B8*B9</f>
        <v>80.000000999999997</v>
      </c>
    </row>
    <row r="7" spans="1:2" x14ac:dyDescent="0.25">
      <c r="A7" t="s">
        <v>49</v>
      </c>
      <c r="B7">
        <v>1000</v>
      </c>
    </row>
    <row r="8" spans="1:2" x14ac:dyDescent="0.25">
      <c r="A8" t="s">
        <v>50</v>
      </c>
      <c r="B8" s="18">
        <v>0.320000004</v>
      </c>
    </row>
    <row r="9" spans="1:2" x14ac:dyDescent="0.25">
      <c r="A9" t="s">
        <v>51</v>
      </c>
      <c r="B9" s="2">
        <v>0.25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Exemplo Hora 2</vt:lpstr>
      <vt:lpstr>Exercicio Hora 2</vt:lpstr>
      <vt:lpstr>Exemplo Hora 3</vt:lpstr>
      <vt:lpstr>Exercicio Hora 4</vt:lpstr>
      <vt:lpstr>Exercício Hora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Docentes</dc:creator>
  <cp:lastModifiedBy>Docentes</cp:lastModifiedBy>
  <dcterms:created xsi:type="dcterms:W3CDTF">2026-06-04T12:31:58Z</dcterms:created>
  <dcterms:modified xsi:type="dcterms:W3CDTF">2026-06-04T15:25:02Z</dcterms:modified>
</cp:coreProperties>
</file>