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Getsão de Riscos\"/>
    </mc:Choice>
  </mc:AlternateContent>
  <xr:revisionPtr revIDLastSave="0" documentId="13_ncr:1_{72A42F96-52FD-48DD-A0A5-F78ECE9FA37F}" xr6:coauthVersionLast="47" xr6:coauthVersionMax="47" xr10:uidLastSave="{00000000-0000-0000-0000-000000000000}"/>
  <bookViews>
    <workbookView xWindow="-120" yWindow="-120" windowWidth="29040" windowHeight="16440" activeTab="2" xr2:uid="{5B6BA1B0-C465-4AED-88F7-70B3E5A238D3}"/>
  </bookViews>
  <sheets>
    <sheet name="Histórico" sheetId="1" r:id="rId1"/>
    <sheet name="EWMA Paramétrico" sheetId="2" r:id="rId2"/>
    <sheet name="Simulação Monte Carlo" sheetId="3" r:id="rId3"/>
  </sheets>
  <definedNames>
    <definedName name="solver_adj" localSheetId="1" hidden="1">'EWMA Paramétrico'!$I$2</definedName>
    <definedName name="solver_cvg" localSheetId="1" hidden="1">"0,0001"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'EWMA Paramétrico'!$I$4</definedName>
    <definedName name="solver_mip" localSheetId="1" hidden="1">2147483647</definedName>
    <definedName name="solver_mni" localSheetId="1" hidden="1">30</definedName>
    <definedName name="solver_mrt" localSheetId="1" hidden="1">"0,075"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'EWMA Paramétrico'!$I$4</definedName>
    <definedName name="solver_pre" localSheetId="1" hidden="1">"0,000001"</definedName>
    <definedName name="solver_rbv" localSheetId="1" hidden="1">1</definedName>
    <definedName name="solver_rel1" localSheetId="1" hidden="1">2</definedName>
    <definedName name="solver_rhs1" localSheetId="1" hidden="1">'EWMA Paramétrico'!$I$5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1" i="3"/>
  <c r="B3" i="3"/>
  <c r="I8" i="2"/>
  <c r="I6" i="2"/>
  <c r="I5" i="2"/>
  <c r="D3" i="2"/>
  <c r="E3" i="2" s="1"/>
  <c r="D4" i="2"/>
  <c r="D5" i="2"/>
  <c r="D6" i="2"/>
  <c r="D7" i="2"/>
  <c r="D8" i="2"/>
  <c r="D9" i="2"/>
  <c r="D10" i="2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E30" i="2" s="1"/>
  <c r="D31" i="2"/>
  <c r="E31" i="2" s="1"/>
  <c r="D32" i="2"/>
  <c r="E32" i="2" s="1"/>
  <c r="D33" i="2"/>
  <c r="E33" i="2" s="1"/>
  <c r="D34" i="2"/>
  <c r="D35" i="2"/>
  <c r="D36" i="2"/>
  <c r="D37" i="2"/>
  <c r="D38" i="2"/>
  <c r="D39" i="2"/>
  <c r="D40" i="2"/>
  <c r="D41" i="2"/>
  <c r="D42" i="2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D51" i="2"/>
  <c r="D52" i="2"/>
  <c r="D53" i="2"/>
  <c r="D54" i="2"/>
  <c r="D55" i="2"/>
  <c r="D56" i="2"/>
  <c r="D57" i="2"/>
  <c r="D58" i="2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D67" i="2"/>
  <c r="D68" i="2"/>
  <c r="D69" i="2"/>
  <c r="D70" i="2"/>
  <c r="D71" i="2"/>
  <c r="D72" i="2"/>
  <c r="D73" i="2"/>
  <c r="D74" i="2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D83" i="2"/>
  <c r="D84" i="2"/>
  <c r="D85" i="2"/>
  <c r="D86" i="2"/>
  <c r="D87" i="2"/>
  <c r="D88" i="2"/>
  <c r="D89" i="2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D99" i="2"/>
  <c r="D100" i="2"/>
  <c r="D101" i="2"/>
  <c r="D102" i="2"/>
  <c r="D103" i="2"/>
  <c r="D104" i="2"/>
  <c r="D105" i="2"/>
  <c r="D106" i="2"/>
  <c r="D107" i="2"/>
  <c r="E107" i="2" s="1"/>
  <c r="D108" i="2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D116" i="2"/>
  <c r="D117" i="2"/>
  <c r="D118" i="2"/>
  <c r="D119" i="2"/>
  <c r="D120" i="2"/>
  <c r="D121" i="2"/>
  <c r="D122" i="2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D131" i="2"/>
  <c r="D132" i="2"/>
  <c r="D133" i="2"/>
  <c r="D134" i="2"/>
  <c r="D135" i="2"/>
  <c r="D136" i="2"/>
  <c r="D137" i="2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D147" i="2"/>
  <c r="D148" i="2"/>
  <c r="D149" i="2"/>
  <c r="D150" i="2"/>
  <c r="D151" i="2"/>
  <c r="D152" i="2"/>
  <c r="D153" i="2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D163" i="2"/>
  <c r="D164" i="2"/>
  <c r="D165" i="2"/>
  <c r="D166" i="2"/>
  <c r="D167" i="2"/>
  <c r="D168" i="2"/>
  <c r="D169" i="2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D179" i="2"/>
  <c r="D180" i="2"/>
  <c r="D181" i="2"/>
  <c r="D182" i="2"/>
  <c r="D183" i="2"/>
  <c r="D184" i="2"/>
  <c r="D185" i="2"/>
  <c r="D186" i="2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D195" i="2"/>
  <c r="D196" i="2"/>
  <c r="D197" i="2"/>
  <c r="D198" i="2"/>
  <c r="D199" i="2"/>
  <c r="E199" i="2" s="1"/>
  <c r="D200" i="2"/>
  <c r="D201" i="2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D211" i="2"/>
  <c r="D212" i="2"/>
  <c r="D213" i="2"/>
  <c r="D214" i="2"/>
  <c r="D215" i="2"/>
  <c r="D216" i="2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D227" i="2"/>
  <c r="D228" i="2"/>
  <c r="D229" i="2"/>
  <c r="D230" i="2"/>
  <c r="E230" i="2" s="1"/>
  <c r="D231" i="2"/>
  <c r="D232" i="2"/>
  <c r="D233" i="2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D243" i="2"/>
  <c r="D244" i="2"/>
  <c r="D245" i="2"/>
  <c r="D246" i="2"/>
  <c r="D247" i="2"/>
  <c r="D248" i="2"/>
  <c r="D249" i="2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E257" i="2" s="1"/>
  <c r="D258" i="2"/>
  <c r="D259" i="2"/>
  <c r="D260" i="2"/>
  <c r="D261" i="2"/>
  <c r="D262" i="2"/>
  <c r="E262" i="2" s="1"/>
  <c r="D263" i="2"/>
  <c r="D264" i="2"/>
  <c r="D265" i="2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D275" i="2"/>
  <c r="D276" i="2"/>
  <c r="D277" i="2"/>
  <c r="D278" i="2"/>
  <c r="E278" i="2" s="1"/>
  <c r="D279" i="2"/>
  <c r="E279" i="2" s="1"/>
  <c r="D280" i="2"/>
  <c r="D281" i="2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D291" i="2"/>
  <c r="D292" i="2"/>
  <c r="D293" i="2"/>
  <c r="D294" i="2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  <c r="D302" i="2"/>
  <c r="E302" i="2" s="1"/>
  <c r="D303" i="2"/>
  <c r="E303" i="2" s="1"/>
  <c r="D304" i="2"/>
  <c r="E304" i="2" s="1"/>
  <c r="D305" i="2"/>
  <c r="E305" i="2" s="1"/>
  <c r="D306" i="2"/>
  <c r="D307" i="2"/>
  <c r="D308" i="2"/>
  <c r="D309" i="2"/>
  <c r="D310" i="2"/>
  <c r="E310" i="2" s="1"/>
  <c r="D311" i="2"/>
  <c r="D312" i="2"/>
  <c r="D313" i="2"/>
  <c r="D314" i="2"/>
  <c r="E314" i="2" s="1"/>
  <c r="D315" i="2"/>
  <c r="E315" i="2" s="1"/>
  <c r="D316" i="2"/>
  <c r="E316" i="2" s="1"/>
  <c r="D317" i="2"/>
  <c r="E317" i="2" s="1"/>
  <c r="D318" i="2"/>
  <c r="E318" i="2" s="1"/>
  <c r="D319" i="2"/>
  <c r="E319" i="2" s="1"/>
  <c r="D320" i="2"/>
  <c r="E320" i="2" s="1"/>
  <c r="D321" i="2"/>
  <c r="E321" i="2" s="1"/>
  <c r="D322" i="2"/>
  <c r="D323" i="2"/>
  <c r="D324" i="2"/>
  <c r="D325" i="2"/>
  <c r="D326" i="2"/>
  <c r="E326" i="2" s="1"/>
  <c r="D327" i="2"/>
  <c r="E327" i="2" s="1"/>
  <c r="D328" i="2"/>
  <c r="D329" i="2"/>
  <c r="E329" i="2" s="1"/>
  <c r="D330" i="2"/>
  <c r="E330" i="2" s="1"/>
  <c r="D331" i="2"/>
  <c r="E331" i="2" s="1"/>
  <c r="D332" i="2"/>
  <c r="E332" i="2" s="1"/>
  <c r="D333" i="2"/>
  <c r="E333" i="2" s="1"/>
  <c r="D334" i="2"/>
  <c r="E334" i="2" s="1"/>
  <c r="D335" i="2"/>
  <c r="E335" i="2" s="1"/>
  <c r="D336" i="2"/>
  <c r="E336" i="2" s="1"/>
  <c r="D337" i="2"/>
  <c r="E337" i="2" s="1"/>
  <c r="D338" i="2"/>
  <c r="D339" i="2"/>
  <c r="D340" i="2"/>
  <c r="D341" i="2"/>
  <c r="D342" i="2"/>
  <c r="E342" i="2" s="1"/>
  <c r="D343" i="2"/>
  <c r="D344" i="2"/>
  <c r="E344" i="2" s="1"/>
  <c r="D345" i="2"/>
  <c r="E345" i="2" s="1"/>
  <c r="D346" i="2"/>
  <c r="E346" i="2" s="1"/>
  <c r="D347" i="2"/>
  <c r="E347" i="2" s="1"/>
  <c r="D348" i="2"/>
  <c r="E348" i="2" s="1"/>
  <c r="D349" i="2"/>
  <c r="E349" i="2" s="1"/>
  <c r="D350" i="2"/>
  <c r="E350" i="2" s="1"/>
  <c r="D351" i="2"/>
  <c r="E351" i="2" s="1"/>
  <c r="D352" i="2"/>
  <c r="E352" i="2" s="1"/>
  <c r="D353" i="2"/>
  <c r="E353" i="2" s="1"/>
  <c r="D354" i="2"/>
  <c r="E354" i="2" s="1"/>
  <c r="D355" i="2"/>
  <c r="D356" i="2"/>
  <c r="D357" i="2"/>
  <c r="D358" i="2"/>
  <c r="D359" i="2"/>
  <c r="E359" i="2" s="1"/>
  <c r="D360" i="2"/>
  <c r="E360" i="2" s="1"/>
  <c r="D361" i="2"/>
  <c r="E361" i="2" s="1"/>
  <c r="D362" i="2"/>
  <c r="E362" i="2" s="1"/>
  <c r="D363" i="2"/>
  <c r="E363" i="2" s="1"/>
  <c r="D364" i="2"/>
  <c r="E364" i="2" s="1"/>
  <c r="D365" i="2"/>
  <c r="E365" i="2" s="1"/>
  <c r="D366" i="2"/>
  <c r="E366" i="2" s="1"/>
  <c r="D367" i="2"/>
  <c r="E367" i="2" s="1"/>
  <c r="D368" i="2"/>
  <c r="E368" i="2" s="1"/>
  <c r="D369" i="2"/>
  <c r="E369" i="2" s="1"/>
  <c r="D370" i="2"/>
  <c r="E370" i="2" s="1"/>
  <c r="D371" i="2"/>
  <c r="D372" i="2"/>
  <c r="D373" i="2"/>
  <c r="D374" i="2"/>
  <c r="E374" i="2" s="1"/>
  <c r="D375" i="2"/>
  <c r="E375" i="2" s="1"/>
  <c r="D376" i="2"/>
  <c r="D377" i="2"/>
  <c r="E377" i="2" s="1"/>
  <c r="D378" i="2"/>
  <c r="E378" i="2" s="1"/>
  <c r="D379" i="2"/>
  <c r="E379" i="2" s="1"/>
  <c r="D380" i="2"/>
  <c r="E380" i="2" s="1"/>
  <c r="D381" i="2"/>
  <c r="E381" i="2" s="1"/>
  <c r="D382" i="2"/>
  <c r="E382" i="2" s="1"/>
  <c r="D383" i="2"/>
  <c r="E383" i="2" s="1"/>
  <c r="D384" i="2"/>
  <c r="E384" i="2" s="1"/>
  <c r="D385" i="2"/>
  <c r="E385" i="2" s="1"/>
  <c r="D386" i="2"/>
  <c r="E386" i="2" s="1"/>
  <c r="D387" i="2"/>
  <c r="D388" i="2"/>
  <c r="D389" i="2"/>
  <c r="D390" i="2"/>
  <c r="E390" i="2" s="1"/>
  <c r="D391" i="2"/>
  <c r="D392" i="2"/>
  <c r="E392" i="2" s="1"/>
  <c r="D393" i="2"/>
  <c r="E393" i="2" s="1"/>
  <c r="D394" i="2"/>
  <c r="E394" i="2" s="1"/>
  <c r="D395" i="2"/>
  <c r="E395" i="2" s="1"/>
  <c r="D396" i="2"/>
  <c r="E396" i="2" s="1"/>
  <c r="D397" i="2"/>
  <c r="E397" i="2" s="1"/>
  <c r="D398" i="2"/>
  <c r="E398" i="2" s="1"/>
  <c r="D399" i="2"/>
  <c r="E399" i="2" s="1"/>
  <c r="D400" i="2"/>
  <c r="E400" i="2" s="1"/>
  <c r="D401" i="2"/>
  <c r="E401" i="2" s="1"/>
  <c r="D402" i="2"/>
  <c r="E402" i="2" s="1"/>
  <c r="D403" i="2"/>
  <c r="D404" i="2"/>
  <c r="D405" i="2"/>
  <c r="E405" i="2" s="1"/>
  <c r="D406" i="2"/>
  <c r="E406" i="2" s="1"/>
  <c r="D407" i="2"/>
  <c r="E407" i="2" s="1"/>
  <c r="D408" i="2"/>
  <c r="E408" i="2" s="1"/>
  <c r="D409" i="2"/>
  <c r="E409" i="2" s="1"/>
  <c r="D410" i="2"/>
  <c r="E410" i="2" s="1"/>
  <c r="D411" i="2"/>
  <c r="E411" i="2" s="1"/>
  <c r="D412" i="2"/>
  <c r="E412" i="2" s="1"/>
  <c r="D413" i="2"/>
  <c r="E413" i="2" s="1"/>
  <c r="D414" i="2"/>
  <c r="E414" i="2" s="1"/>
  <c r="D415" i="2"/>
  <c r="E415" i="2" s="1"/>
  <c r="D416" i="2"/>
  <c r="E416" i="2" s="1"/>
  <c r="D417" i="2"/>
  <c r="E417" i="2" s="1"/>
  <c r="D418" i="2"/>
  <c r="E418" i="2" s="1"/>
  <c r="D419" i="2"/>
  <c r="D420" i="2"/>
  <c r="D421" i="2"/>
  <c r="D422" i="2"/>
  <c r="E422" i="2" s="1"/>
  <c r="D423" i="2"/>
  <c r="E423" i="2" s="1"/>
  <c r="D424" i="2"/>
  <c r="D425" i="2"/>
  <c r="E425" i="2" s="1"/>
  <c r="D426" i="2"/>
  <c r="E426" i="2" s="1"/>
  <c r="D427" i="2"/>
  <c r="E427" i="2" s="1"/>
  <c r="D428" i="2"/>
  <c r="E428" i="2" s="1"/>
  <c r="D429" i="2"/>
  <c r="E429" i="2" s="1"/>
  <c r="D430" i="2"/>
  <c r="E430" i="2" s="1"/>
  <c r="D431" i="2"/>
  <c r="E431" i="2" s="1"/>
  <c r="D432" i="2"/>
  <c r="E432" i="2" s="1"/>
  <c r="D433" i="2"/>
  <c r="E433" i="2" s="1"/>
  <c r="D434" i="2"/>
  <c r="E434" i="2" s="1"/>
  <c r="D435" i="2"/>
  <c r="D436" i="2"/>
  <c r="D437" i="2"/>
  <c r="D438" i="2"/>
  <c r="E438" i="2" s="1"/>
  <c r="D439" i="2"/>
  <c r="E439" i="2" s="1"/>
  <c r="D440" i="2"/>
  <c r="E440" i="2" s="1"/>
  <c r="D441" i="2"/>
  <c r="E441" i="2" s="1"/>
  <c r="D442" i="2"/>
  <c r="E442" i="2" s="1"/>
  <c r="D443" i="2"/>
  <c r="E443" i="2" s="1"/>
  <c r="D444" i="2"/>
  <c r="E444" i="2" s="1"/>
  <c r="D445" i="2"/>
  <c r="E445" i="2" s="1"/>
  <c r="D446" i="2"/>
  <c r="E446" i="2" s="1"/>
  <c r="D447" i="2"/>
  <c r="E447" i="2" s="1"/>
  <c r="D448" i="2"/>
  <c r="E448" i="2" s="1"/>
  <c r="D449" i="2"/>
  <c r="E449" i="2" s="1"/>
  <c r="D450" i="2"/>
  <c r="E450" i="2" s="1"/>
  <c r="D451" i="2"/>
  <c r="D452" i="2"/>
  <c r="D453" i="2"/>
  <c r="D454" i="2"/>
  <c r="E454" i="2" s="1"/>
  <c r="D455" i="2"/>
  <c r="E455" i="2" s="1"/>
  <c r="D456" i="2"/>
  <c r="E456" i="2" s="1"/>
  <c r="D457" i="2"/>
  <c r="E457" i="2" s="1"/>
  <c r="D458" i="2"/>
  <c r="E458" i="2" s="1"/>
  <c r="D459" i="2"/>
  <c r="E459" i="2" s="1"/>
  <c r="D460" i="2"/>
  <c r="E460" i="2" s="1"/>
  <c r="D461" i="2"/>
  <c r="E461" i="2" s="1"/>
  <c r="D462" i="2"/>
  <c r="E462" i="2" s="1"/>
  <c r="D463" i="2"/>
  <c r="E463" i="2" s="1"/>
  <c r="D464" i="2"/>
  <c r="E464" i="2" s="1"/>
  <c r="D465" i="2"/>
  <c r="E465" i="2" s="1"/>
  <c r="D466" i="2"/>
  <c r="E466" i="2" s="1"/>
  <c r="D467" i="2"/>
  <c r="D468" i="2"/>
  <c r="D469" i="2"/>
  <c r="E469" i="2" s="1"/>
  <c r="D470" i="2"/>
  <c r="E470" i="2" s="1"/>
  <c r="D471" i="2"/>
  <c r="E471" i="2" s="1"/>
  <c r="D472" i="2"/>
  <c r="E472" i="2" s="1"/>
  <c r="D473" i="2"/>
  <c r="E473" i="2" s="1"/>
  <c r="D474" i="2"/>
  <c r="E474" i="2" s="1"/>
  <c r="D475" i="2"/>
  <c r="E475" i="2" s="1"/>
  <c r="D476" i="2"/>
  <c r="E476" i="2" s="1"/>
  <c r="D477" i="2"/>
  <c r="E477" i="2" s="1"/>
  <c r="D478" i="2"/>
  <c r="E478" i="2" s="1"/>
  <c r="D479" i="2"/>
  <c r="E479" i="2" s="1"/>
  <c r="D480" i="2"/>
  <c r="E480" i="2" s="1"/>
  <c r="D481" i="2"/>
  <c r="E481" i="2" s="1"/>
  <c r="D482" i="2"/>
  <c r="E482" i="2" s="1"/>
  <c r="D483" i="2"/>
  <c r="D484" i="2"/>
  <c r="D485" i="2"/>
  <c r="D486" i="2"/>
  <c r="E486" i="2" s="1"/>
  <c r="D487" i="2"/>
  <c r="E487" i="2" s="1"/>
  <c r="D488" i="2"/>
  <c r="E488" i="2" s="1"/>
  <c r="D2" i="2"/>
  <c r="E2" i="2" s="1"/>
  <c r="E4" i="2"/>
  <c r="E5" i="2"/>
  <c r="E6" i="2"/>
  <c r="E7" i="2"/>
  <c r="E8" i="2"/>
  <c r="E9" i="2"/>
  <c r="E10" i="2"/>
  <c r="E18" i="2"/>
  <c r="E19" i="2"/>
  <c r="E20" i="2"/>
  <c r="E21" i="2"/>
  <c r="E22" i="2"/>
  <c r="E23" i="2"/>
  <c r="E24" i="2"/>
  <c r="E25" i="2"/>
  <c r="E26" i="2"/>
  <c r="E27" i="2"/>
  <c r="E28" i="2"/>
  <c r="E29" i="2"/>
  <c r="E34" i="2"/>
  <c r="E35" i="2"/>
  <c r="E36" i="2"/>
  <c r="E37" i="2"/>
  <c r="E38" i="2"/>
  <c r="E39" i="2"/>
  <c r="E40" i="2"/>
  <c r="E41" i="2"/>
  <c r="E42" i="2"/>
  <c r="E50" i="2"/>
  <c r="E51" i="2"/>
  <c r="E52" i="2"/>
  <c r="E53" i="2"/>
  <c r="E54" i="2"/>
  <c r="E55" i="2"/>
  <c r="E56" i="2"/>
  <c r="E57" i="2"/>
  <c r="E58" i="2"/>
  <c r="E66" i="2"/>
  <c r="E67" i="2"/>
  <c r="E68" i="2"/>
  <c r="E69" i="2"/>
  <c r="E70" i="2"/>
  <c r="E71" i="2"/>
  <c r="E72" i="2"/>
  <c r="E73" i="2"/>
  <c r="E74" i="2"/>
  <c r="E82" i="2"/>
  <c r="E83" i="2"/>
  <c r="E84" i="2"/>
  <c r="E85" i="2"/>
  <c r="E86" i="2"/>
  <c r="E87" i="2"/>
  <c r="E88" i="2"/>
  <c r="E89" i="2"/>
  <c r="E98" i="2"/>
  <c r="E99" i="2"/>
  <c r="E100" i="2"/>
  <c r="E101" i="2"/>
  <c r="E102" i="2"/>
  <c r="E103" i="2"/>
  <c r="E104" i="2"/>
  <c r="E105" i="2"/>
  <c r="E106" i="2"/>
  <c r="E108" i="2"/>
  <c r="E115" i="2"/>
  <c r="E116" i="2"/>
  <c r="E117" i="2"/>
  <c r="E118" i="2"/>
  <c r="E119" i="2"/>
  <c r="E120" i="2"/>
  <c r="E121" i="2"/>
  <c r="E122" i="2"/>
  <c r="E130" i="2"/>
  <c r="E131" i="2"/>
  <c r="E132" i="2"/>
  <c r="E133" i="2"/>
  <c r="E134" i="2"/>
  <c r="E135" i="2"/>
  <c r="E136" i="2"/>
  <c r="E137" i="2"/>
  <c r="E146" i="2"/>
  <c r="E147" i="2"/>
  <c r="E148" i="2"/>
  <c r="E149" i="2"/>
  <c r="E150" i="2"/>
  <c r="E151" i="2"/>
  <c r="E152" i="2"/>
  <c r="E153" i="2"/>
  <c r="E162" i="2"/>
  <c r="E163" i="2"/>
  <c r="E164" i="2"/>
  <c r="E165" i="2"/>
  <c r="E166" i="2"/>
  <c r="E167" i="2"/>
  <c r="E168" i="2"/>
  <c r="E169" i="2"/>
  <c r="E178" i="2"/>
  <c r="E179" i="2"/>
  <c r="E180" i="2"/>
  <c r="E181" i="2"/>
  <c r="E182" i="2"/>
  <c r="E183" i="2"/>
  <c r="E184" i="2"/>
  <c r="E185" i="2"/>
  <c r="E186" i="2"/>
  <c r="E194" i="2"/>
  <c r="E195" i="2"/>
  <c r="E196" i="2"/>
  <c r="E197" i="2"/>
  <c r="E198" i="2"/>
  <c r="E200" i="2"/>
  <c r="E201" i="2"/>
  <c r="E210" i="2"/>
  <c r="E211" i="2"/>
  <c r="E212" i="2"/>
  <c r="E213" i="2"/>
  <c r="E214" i="2"/>
  <c r="E215" i="2"/>
  <c r="E216" i="2"/>
  <c r="E226" i="2"/>
  <c r="E227" i="2"/>
  <c r="E228" i="2"/>
  <c r="E229" i="2"/>
  <c r="E231" i="2"/>
  <c r="E232" i="2"/>
  <c r="E233" i="2"/>
  <c r="E242" i="2"/>
  <c r="E243" i="2"/>
  <c r="E244" i="2"/>
  <c r="E245" i="2"/>
  <c r="E246" i="2"/>
  <c r="E247" i="2"/>
  <c r="E248" i="2"/>
  <c r="E249" i="2"/>
  <c r="E258" i="2"/>
  <c r="E259" i="2"/>
  <c r="E260" i="2"/>
  <c r="E261" i="2"/>
  <c r="E263" i="2"/>
  <c r="E264" i="2"/>
  <c r="E265" i="2"/>
  <c r="E274" i="2"/>
  <c r="E275" i="2"/>
  <c r="E276" i="2"/>
  <c r="E277" i="2"/>
  <c r="E280" i="2"/>
  <c r="E281" i="2"/>
  <c r="E290" i="2"/>
  <c r="E291" i="2"/>
  <c r="E292" i="2"/>
  <c r="E293" i="2"/>
  <c r="E294" i="2"/>
  <c r="E306" i="2"/>
  <c r="E307" i="2"/>
  <c r="E308" i="2"/>
  <c r="E309" i="2"/>
  <c r="E311" i="2"/>
  <c r="E312" i="2"/>
  <c r="E313" i="2"/>
  <c r="E322" i="2"/>
  <c r="E323" i="2"/>
  <c r="E324" i="2"/>
  <c r="E325" i="2"/>
  <c r="E328" i="2"/>
  <c r="E338" i="2"/>
  <c r="E339" i="2"/>
  <c r="E340" i="2"/>
  <c r="E341" i="2"/>
  <c r="E343" i="2"/>
  <c r="E355" i="2"/>
  <c r="E356" i="2"/>
  <c r="E357" i="2"/>
  <c r="E358" i="2"/>
  <c r="E371" i="2"/>
  <c r="E372" i="2"/>
  <c r="E373" i="2"/>
  <c r="E376" i="2"/>
  <c r="E387" i="2"/>
  <c r="E388" i="2"/>
  <c r="E389" i="2"/>
  <c r="E391" i="2"/>
  <c r="E403" i="2"/>
  <c r="E404" i="2"/>
  <c r="E419" i="2"/>
  <c r="E420" i="2"/>
  <c r="E421" i="2"/>
  <c r="E424" i="2"/>
  <c r="E435" i="2"/>
  <c r="E436" i="2"/>
  <c r="E437" i="2"/>
  <c r="E451" i="2"/>
  <c r="E452" i="2"/>
  <c r="E453" i="2"/>
  <c r="E467" i="2"/>
  <c r="E468" i="2"/>
  <c r="E483" i="2"/>
  <c r="E484" i="2"/>
  <c r="E48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2" i="2"/>
  <c r="E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3" i="1"/>
  <c r="K3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B5" i="3" l="1"/>
  <c r="F1" i="3" s="1"/>
  <c r="B8" i="3" s="1"/>
  <c r="I3" i="2"/>
  <c r="I4" i="2" s="1"/>
</calcChain>
</file>

<file path=xl/sharedStrings.xml><?xml version="1.0" encoding="utf-8"?>
<sst xmlns="http://schemas.openxmlformats.org/spreadsheetml/2006/main" count="23" uniqueCount="21">
  <si>
    <t>Data</t>
  </si>
  <si>
    <t>HASH11</t>
  </si>
  <si>
    <t>GOLD11</t>
  </si>
  <si>
    <t>Portfólio</t>
  </si>
  <si>
    <t>r</t>
  </si>
  <si>
    <t>VAR 95%</t>
  </si>
  <si>
    <t>r²</t>
  </si>
  <si>
    <t>(1-λ)^t</t>
  </si>
  <si>
    <t>r² x (1-λ)^t</t>
  </si>
  <si>
    <t>Lambda</t>
  </si>
  <si>
    <t>σ(EWMA)</t>
  </si>
  <si>
    <r>
      <rPr>
        <sz val="11"/>
        <color theme="1"/>
        <rFont val="Times New Roman"/>
        <family val="1"/>
      </rPr>
      <t>σ</t>
    </r>
    <r>
      <rPr>
        <sz val="11"/>
        <color theme="1"/>
        <rFont val="Calibri"/>
        <family val="2"/>
      </rPr>
      <t>²</t>
    </r>
  </si>
  <si>
    <t>σ(Hist)</t>
  </si>
  <si>
    <t>σ(Média)</t>
  </si>
  <si>
    <t>Z-Score</t>
  </si>
  <si>
    <t>Base</t>
  </si>
  <si>
    <t>Intervalo de Confiança</t>
  </si>
  <si>
    <t>VaR</t>
  </si>
  <si>
    <t>r Portfólio</t>
  </si>
  <si>
    <t>σ Portfólio</t>
  </si>
  <si>
    <t>Simulação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</si>
</sst>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6" formatCode="0.00000%"/>
    <numFmt numFmtId="167" formatCode="0.000%"/>
    <numFmt numFmtId="168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66" fontId="0" fillId="0" borderId="0" xfId="0" applyNumberFormat="1"/>
    <xf numFmtId="0" fontId="0" fillId="2" borderId="0" xfId="0" applyFill="1"/>
    <xf numFmtId="167" fontId="0" fillId="2" borderId="0" xfId="1" applyNumberFormat="1" applyFont="1" applyFill="1"/>
    <xf numFmtId="10" fontId="0" fillId="2" borderId="0" xfId="1" applyNumberFormat="1" applyFont="1" applyFill="1"/>
    <xf numFmtId="2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06C0-A526-4491-9E7B-A4BD748EF586}">
  <dimension ref="A1:K489"/>
  <sheetViews>
    <sheetView workbookViewId="0">
      <selection activeCell="J3" sqref="J3:K3"/>
    </sheetView>
  </sheetViews>
  <sheetFormatPr defaultRowHeight="15" x14ac:dyDescent="0.25"/>
  <cols>
    <col min="1" max="1" width="15.5703125" bestFit="1" customWidth="1"/>
    <col min="2" max="3" width="9.140625" style="2"/>
  </cols>
  <sheetData>
    <row r="1" spans="1:11" x14ac:dyDescent="0.25">
      <c r="A1" s="2" t="s">
        <v>0</v>
      </c>
      <c r="B1" s="2" t="s">
        <v>1</v>
      </c>
      <c r="C1" s="2" t="s">
        <v>2</v>
      </c>
      <c r="E1" s="2" t="s">
        <v>3</v>
      </c>
      <c r="G1" s="2" t="s">
        <v>4</v>
      </c>
    </row>
    <row r="2" spans="1:11" x14ac:dyDescent="0.25">
      <c r="A2" s="1">
        <v>45306.705555555556</v>
      </c>
      <c r="B2" s="2">
        <v>34.61</v>
      </c>
      <c r="C2" s="2">
        <v>10.64</v>
      </c>
      <c r="E2">
        <f>AVERAGE(B2,C2)</f>
        <v>22.625</v>
      </c>
    </row>
    <row r="3" spans="1:11" x14ac:dyDescent="0.25">
      <c r="A3" s="1">
        <v>45307.705555555556</v>
      </c>
      <c r="B3" s="2">
        <v>34.9</v>
      </c>
      <c r="C3" s="2">
        <v>10.53</v>
      </c>
      <c r="E3">
        <f t="shared" ref="E3:E66" si="0">AVERAGE(B3,C3)</f>
        <v>22.715</v>
      </c>
      <c r="G3">
        <f>LN(E3/E2)</f>
        <v>3.9700096253768736E-3</v>
      </c>
      <c r="J3" s="10" t="s">
        <v>5</v>
      </c>
      <c r="K3" s="12">
        <f>_xlfn.PERCENTILE.INC(G3:G489,0.05)</f>
        <v>-3.7058837007332104E-2</v>
      </c>
    </row>
    <row r="4" spans="1:11" x14ac:dyDescent="0.25">
      <c r="A4" s="1">
        <v>45308.705555555556</v>
      </c>
      <c r="B4" s="2">
        <v>34.549999999999997</v>
      </c>
      <c r="C4" s="2">
        <v>10.44</v>
      </c>
      <c r="E4">
        <f t="shared" si="0"/>
        <v>22.494999999999997</v>
      </c>
      <c r="G4">
        <f t="shared" ref="G4:G67" si="1">LN(E4/E3)</f>
        <v>-9.7324369182311115E-3</v>
      </c>
    </row>
    <row r="5" spans="1:11" x14ac:dyDescent="0.25">
      <c r="A5" s="1">
        <v>45309.705555555556</v>
      </c>
      <c r="B5" s="2">
        <v>33.65</v>
      </c>
      <c r="C5" s="2">
        <v>10.51</v>
      </c>
      <c r="E5">
        <f t="shared" si="0"/>
        <v>22.08</v>
      </c>
      <c r="G5">
        <f t="shared" si="1"/>
        <v>-1.8620840884240968E-2</v>
      </c>
    </row>
    <row r="6" spans="1:11" x14ac:dyDescent="0.25">
      <c r="A6" s="1">
        <v>45310.705555555556</v>
      </c>
      <c r="B6" s="2">
        <v>33.47</v>
      </c>
      <c r="C6" s="2">
        <v>10.54</v>
      </c>
      <c r="E6">
        <f t="shared" si="0"/>
        <v>22.004999999999999</v>
      </c>
      <c r="G6">
        <f t="shared" si="1"/>
        <v>-3.4025211458397482E-3</v>
      </c>
    </row>
    <row r="7" spans="1:11" x14ac:dyDescent="0.25">
      <c r="A7" s="1">
        <v>45313.705555555556</v>
      </c>
      <c r="B7" s="2">
        <v>32.5</v>
      </c>
      <c r="C7" s="2">
        <v>10.61</v>
      </c>
      <c r="E7">
        <f t="shared" si="0"/>
        <v>21.555</v>
      </c>
      <c r="G7">
        <f t="shared" si="1"/>
        <v>-2.0661892063956744E-2</v>
      </c>
    </row>
    <row r="8" spans="1:11" x14ac:dyDescent="0.25">
      <c r="A8" s="1">
        <v>45314.705555555556</v>
      </c>
      <c r="B8" s="2">
        <v>31</v>
      </c>
      <c r="C8" s="2">
        <v>10.58</v>
      </c>
      <c r="E8">
        <f t="shared" si="0"/>
        <v>20.79</v>
      </c>
      <c r="G8">
        <f t="shared" si="1"/>
        <v>-3.613570632917644E-2</v>
      </c>
    </row>
    <row r="9" spans="1:11" x14ac:dyDescent="0.25">
      <c r="A9" s="1">
        <v>45315.705555555556</v>
      </c>
      <c r="B9" s="2">
        <v>31.55</v>
      </c>
      <c r="C9" s="2">
        <v>10.46</v>
      </c>
      <c r="E9">
        <f t="shared" si="0"/>
        <v>21.005000000000003</v>
      </c>
      <c r="G9">
        <f t="shared" si="1"/>
        <v>1.0288402751424026E-2</v>
      </c>
    </row>
    <row r="10" spans="1:11" x14ac:dyDescent="0.25">
      <c r="A10" s="1">
        <v>45316.705555555556</v>
      </c>
      <c r="B10" s="2">
        <v>31.4</v>
      </c>
      <c r="C10" s="2">
        <v>10.47</v>
      </c>
      <c r="E10">
        <f t="shared" si="0"/>
        <v>20.934999999999999</v>
      </c>
      <c r="G10">
        <f t="shared" si="1"/>
        <v>-3.3381051502388739E-3</v>
      </c>
    </row>
    <row r="11" spans="1:11" x14ac:dyDescent="0.25">
      <c r="A11" s="1">
        <v>45317.705555555556</v>
      </c>
      <c r="B11" s="2">
        <v>32.35</v>
      </c>
      <c r="C11" s="2">
        <v>10.45</v>
      </c>
      <c r="E11">
        <f t="shared" si="0"/>
        <v>21.4</v>
      </c>
      <c r="G11">
        <f t="shared" si="1"/>
        <v>2.1968522556699205E-2</v>
      </c>
    </row>
    <row r="12" spans="1:11" x14ac:dyDescent="0.25">
      <c r="A12" s="1">
        <v>45320.705555555556</v>
      </c>
      <c r="B12" s="2">
        <v>33.35</v>
      </c>
      <c r="C12" s="2">
        <v>10.6</v>
      </c>
      <c r="E12">
        <f t="shared" si="0"/>
        <v>21.975000000000001</v>
      </c>
      <c r="G12">
        <f t="shared" si="1"/>
        <v>2.6514521543435046E-2</v>
      </c>
    </row>
    <row r="13" spans="1:11" x14ac:dyDescent="0.25">
      <c r="A13" s="1">
        <v>45321.705555555556</v>
      </c>
      <c r="B13" s="2">
        <v>34.11</v>
      </c>
      <c r="C13" s="2">
        <v>10.62</v>
      </c>
      <c r="E13">
        <f t="shared" si="0"/>
        <v>22.364999999999998</v>
      </c>
      <c r="G13">
        <f t="shared" si="1"/>
        <v>1.7591793313570518E-2</v>
      </c>
    </row>
    <row r="14" spans="1:11" x14ac:dyDescent="0.25">
      <c r="A14" s="1">
        <v>45322.705555555556</v>
      </c>
      <c r="B14" s="2">
        <v>33.299999999999997</v>
      </c>
      <c r="C14" s="2">
        <v>10.64</v>
      </c>
      <c r="E14">
        <f t="shared" si="0"/>
        <v>21.97</v>
      </c>
      <c r="G14">
        <f t="shared" si="1"/>
        <v>-1.7819350488292609E-2</v>
      </c>
    </row>
    <row r="15" spans="1:11" x14ac:dyDescent="0.25">
      <c r="A15" s="1">
        <v>45323.705555555556</v>
      </c>
      <c r="B15" s="2">
        <v>33.29</v>
      </c>
      <c r="C15" s="2">
        <v>10.64</v>
      </c>
      <c r="E15">
        <f t="shared" si="0"/>
        <v>21.965</v>
      </c>
      <c r="G15">
        <f t="shared" si="1"/>
        <v>-2.2760896877586966E-4</v>
      </c>
    </row>
    <row r="16" spans="1:11" x14ac:dyDescent="0.25">
      <c r="A16" s="1">
        <v>45324.705555555556</v>
      </c>
      <c r="B16" s="2">
        <v>33.5</v>
      </c>
      <c r="C16" s="2">
        <v>10.65</v>
      </c>
      <c r="E16">
        <f t="shared" si="0"/>
        <v>22.074999999999999</v>
      </c>
      <c r="G16">
        <f t="shared" si="1"/>
        <v>4.9954690622806908E-3</v>
      </c>
    </row>
    <row r="17" spans="1:7" x14ac:dyDescent="0.25">
      <c r="A17" s="1">
        <v>45327.705555555556</v>
      </c>
      <c r="B17" s="2">
        <v>33.47</v>
      </c>
      <c r="C17" s="2">
        <v>10.63</v>
      </c>
      <c r="E17">
        <f t="shared" si="0"/>
        <v>22.05</v>
      </c>
      <c r="G17">
        <f t="shared" si="1"/>
        <v>-1.1331445971686203E-3</v>
      </c>
    </row>
    <row r="18" spans="1:7" x14ac:dyDescent="0.25">
      <c r="A18" s="1">
        <v>45328.705555555556</v>
      </c>
      <c r="B18" s="2">
        <v>33.85</v>
      </c>
      <c r="C18" s="2">
        <v>10.64</v>
      </c>
      <c r="E18">
        <f t="shared" si="0"/>
        <v>22.245000000000001</v>
      </c>
      <c r="G18">
        <f t="shared" si="1"/>
        <v>8.8046623651501406E-3</v>
      </c>
    </row>
    <row r="19" spans="1:7" x14ac:dyDescent="0.25">
      <c r="A19" s="1">
        <v>45329.705555555556</v>
      </c>
      <c r="B19" s="2">
        <v>34.659999999999997</v>
      </c>
      <c r="C19" s="2">
        <v>10.66</v>
      </c>
      <c r="E19">
        <f t="shared" si="0"/>
        <v>22.659999999999997</v>
      </c>
      <c r="G19">
        <f t="shared" si="1"/>
        <v>1.8483991341855008E-2</v>
      </c>
    </row>
    <row r="20" spans="1:7" x14ac:dyDescent="0.25">
      <c r="A20" s="1">
        <v>45330.705555555556</v>
      </c>
      <c r="B20" s="2">
        <v>35.479999999999997</v>
      </c>
      <c r="C20" s="2">
        <v>10.7</v>
      </c>
      <c r="E20">
        <f t="shared" si="0"/>
        <v>23.089999999999996</v>
      </c>
      <c r="G20">
        <f t="shared" si="1"/>
        <v>1.8798367766543783E-2</v>
      </c>
    </row>
    <row r="21" spans="1:7" x14ac:dyDescent="0.25">
      <c r="A21" s="1">
        <v>45331.705555555556</v>
      </c>
      <c r="B21" s="2">
        <v>36.42</v>
      </c>
      <c r="C21" s="2">
        <v>10.58</v>
      </c>
      <c r="E21">
        <f t="shared" si="0"/>
        <v>23.5</v>
      </c>
      <c r="G21">
        <f t="shared" si="1"/>
        <v>1.7600797783709397E-2</v>
      </c>
    </row>
    <row r="22" spans="1:7" x14ac:dyDescent="0.25">
      <c r="A22" s="1">
        <v>45336.705555555556</v>
      </c>
      <c r="B22" s="2">
        <v>40</v>
      </c>
      <c r="C22" s="2">
        <v>10.44</v>
      </c>
      <c r="E22">
        <f t="shared" si="0"/>
        <v>25.22</v>
      </c>
      <c r="G22">
        <f t="shared" si="1"/>
        <v>7.063690938666016E-2</v>
      </c>
    </row>
    <row r="23" spans="1:7" x14ac:dyDescent="0.25">
      <c r="A23" s="1">
        <v>45337.705555555556</v>
      </c>
      <c r="B23" s="2">
        <v>40.619999999999997</v>
      </c>
      <c r="C23" s="2">
        <v>10.51</v>
      </c>
      <c r="E23">
        <f t="shared" si="0"/>
        <v>25.564999999999998</v>
      </c>
      <c r="G23">
        <f t="shared" si="1"/>
        <v>1.3586897995189015E-2</v>
      </c>
    </row>
    <row r="24" spans="1:7" x14ac:dyDescent="0.25">
      <c r="A24" s="1">
        <v>45338.705555555556</v>
      </c>
      <c r="B24" s="2">
        <v>40.49</v>
      </c>
      <c r="C24" s="2">
        <v>10.54</v>
      </c>
      <c r="E24">
        <f t="shared" si="0"/>
        <v>25.515000000000001</v>
      </c>
      <c r="G24">
        <f t="shared" si="1"/>
        <v>-1.9577140160276529E-3</v>
      </c>
    </row>
    <row r="25" spans="1:7" x14ac:dyDescent="0.25">
      <c r="A25" s="1">
        <v>45341.705555555556</v>
      </c>
      <c r="B25" s="2">
        <v>40.950000000000003</v>
      </c>
      <c r="C25" s="2">
        <v>10.58</v>
      </c>
      <c r="E25">
        <f t="shared" si="0"/>
        <v>25.765000000000001</v>
      </c>
      <c r="G25">
        <f t="shared" si="1"/>
        <v>9.7504672642527313E-3</v>
      </c>
    </row>
    <row r="26" spans="1:7" x14ac:dyDescent="0.25">
      <c r="A26" s="1">
        <v>45342.705555555556</v>
      </c>
      <c r="B26" s="2">
        <v>40.86</v>
      </c>
      <c r="C26" s="2">
        <v>10.51</v>
      </c>
      <c r="E26">
        <f t="shared" si="0"/>
        <v>25.684999999999999</v>
      </c>
      <c r="G26">
        <f t="shared" si="1"/>
        <v>-3.1098178609565274E-3</v>
      </c>
    </row>
    <row r="27" spans="1:7" x14ac:dyDescent="0.25">
      <c r="A27" s="1">
        <v>45343.705555555556</v>
      </c>
      <c r="B27" s="2">
        <v>40.6</v>
      </c>
      <c r="C27" s="2">
        <v>10.52</v>
      </c>
      <c r="E27">
        <f t="shared" si="0"/>
        <v>25.560000000000002</v>
      </c>
      <c r="G27">
        <f t="shared" si="1"/>
        <v>-4.8785344098969874E-3</v>
      </c>
    </row>
    <row r="28" spans="1:7" x14ac:dyDescent="0.25">
      <c r="A28" s="1">
        <v>45344.705555555556</v>
      </c>
      <c r="B28" s="2">
        <v>41.15</v>
      </c>
      <c r="C28" s="2">
        <v>10.6</v>
      </c>
      <c r="E28">
        <f t="shared" si="0"/>
        <v>25.875</v>
      </c>
      <c r="G28">
        <f t="shared" si="1"/>
        <v>1.224862207619902E-2</v>
      </c>
    </row>
    <row r="29" spans="1:7" x14ac:dyDescent="0.25">
      <c r="A29" s="1">
        <v>45345.705555555556</v>
      </c>
      <c r="B29" s="2">
        <v>41.19</v>
      </c>
      <c r="C29" s="2">
        <v>10.72</v>
      </c>
      <c r="E29">
        <f t="shared" si="0"/>
        <v>25.954999999999998</v>
      </c>
      <c r="G29">
        <f t="shared" si="1"/>
        <v>3.0870176936591432E-3</v>
      </c>
    </row>
    <row r="30" spans="1:7" x14ac:dyDescent="0.25">
      <c r="A30" s="1">
        <v>45348.705555555556</v>
      </c>
      <c r="B30" s="2">
        <v>43.55</v>
      </c>
      <c r="C30" s="2">
        <v>10.65</v>
      </c>
      <c r="E30">
        <f t="shared" si="0"/>
        <v>27.099999999999998</v>
      </c>
      <c r="G30">
        <f t="shared" si="1"/>
        <v>4.3169458606462874E-2</v>
      </c>
    </row>
    <row r="31" spans="1:7" x14ac:dyDescent="0.25">
      <c r="A31" s="1">
        <v>45349.705555555556</v>
      </c>
      <c r="B31" s="2">
        <v>44.47</v>
      </c>
      <c r="C31" s="2">
        <v>10.55</v>
      </c>
      <c r="E31">
        <f t="shared" si="0"/>
        <v>27.509999999999998</v>
      </c>
      <c r="G31">
        <f t="shared" si="1"/>
        <v>1.5015847050827863E-2</v>
      </c>
    </row>
    <row r="32" spans="1:7" x14ac:dyDescent="0.25">
      <c r="A32" s="1">
        <v>45350.705555555556</v>
      </c>
      <c r="B32" s="2">
        <v>46.89</v>
      </c>
      <c r="C32" s="2">
        <v>10.64</v>
      </c>
      <c r="E32">
        <f t="shared" si="0"/>
        <v>28.765000000000001</v>
      </c>
      <c r="G32">
        <f t="shared" si="1"/>
        <v>4.4609795378773673E-2</v>
      </c>
    </row>
    <row r="33" spans="1:7" x14ac:dyDescent="0.25">
      <c r="A33" s="1">
        <v>45351.705555555556</v>
      </c>
      <c r="B33" s="2">
        <v>48</v>
      </c>
      <c r="C33" s="2">
        <v>10.7</v>
      </c>
      <c r="E33">
        <f t="shared" si="0"/>
        <v>29.35</v>
      </c>
      <c r="G33">
        <f t="shared" si="1"/>
        <v>2.0133175958848688E-2</v>
      </c>
    </row>
    <row r="34" spans="1:7" x14ac:dyDescent="0.25">
      <c r="A34" s="1">
        <v>45352.705555555556</v>
      </c>
      <c r="B34" s="2">
        <v>49.08</v>
      </c>
      <c r="C34" s="2">
        <v>10.87</v>
      </c>
      <c r="E34">
        <f t="shared" si="0"/>
        <v>29.974999999999998</v>
      </c>
      <c r="G34">
        <f t="shared" si="1"/>
        <v>2.1071154639472449E-2</v>
      </c>
    </row>
    <row r="35" spans="1:7" x14ac:dyDescent="0.25">
      <c r="A35" s="1">
        <v>45355.705555555556</v>
      </c>
      <c r="B35" s="2">
        <v>52.3</v>
      </c>
      <c r="C35" s="2">
        <v>11.04</v>
      </c>
      <c r="E35">
        <f t="shared" si="0"/>
        <v>31.669999999999998</v>
      </c>
      <c r="G35">
        <f t="shared" si="1"/>
        <v>5.5006159636970552E-2</v>
      </c>
    </row>
    <row r="36" spans="1:7" x14ac:dyDescent="0.25">
      <c r="A36" s="1">
        <v>45356.705555555556</v>
      </c>
      <c r="B36" s="2">
        <v>49.25</v>
      </c>
      <c r="C36" s="2">
        <v>11.14</v>
      </c>
      <c r="E36">
        <f t="shared" si="0"/>
        <v>30.195</v>
      </c>
      <c r="G36">
        <f t="shared" si="1"/>
        <v>-4.7693512790683866E-2</v>
      </c>
    </row>
    <row r="37" spans="1:7" x14ac:dyDescent="0.25">
      <c r="A37" s="1">
        <v>45357.705555555556</v>
      </c>
      <c r="B37" s="2">
        <v>52.97</v>
      </c>
      <c r="C37" s="2">
        <v>11.19</v>
      </c>
      <c r="E37">
        <f t="shared" si="0"/>
        <v>32.08</v>
      </c>
      <c r="G37">
        <f t="shared" si="1"/>
        <v>6.0556435238449127E-2</v>
      </c>
    </row>
    <row r="38" spans="1:7" x14ac:dyDescent="0.25">
      <c r="A38" s="1">
        <v>45358.705555555556</v>
      </c>
      <c r="B38" s="2">
        <v>53.9</v>
      </c>
      <c r="C38" s="2">
        <v>11.23</v>
      </c>
      <c r="E38">
        <f t="shared" si="0"/>
        <v>32.564999999999998</v>
      </c>
      <c r="G38">
        <f t="shared" si="1"/>
        <v>1.5005309000051065E-2</v>
      </c>
    </row>
    <row r="39" spans="1:7" x14ac:dyDescent="0.25">
      <c r="A39" s="1">
        <v>45359.705555555556</v>
      </c>
      <c r="B39" s="2">
        <v>55</v>
      </c>
      <c r="C39" s="2">
        <v>11.43</v>
      </c>
      <c r="E39">
        <f t="shared" si="0"/>
        <v>33.215000000000003</v>
      </c>
      <c r="G39">
        <f t="shared" si="1"/>
        <v>1.9763489118839718E-2</v>
      </c>
    </row>
    <row r="40" spans="1:7" x14ac:dyDescent="0.25">
      <c r="A40" s="1">
        <v>45362.705555555556</v>
      </c>
      <c r="B40" s="2">
        <v>57.15</v>
      </c>
      <c r="C40" s="2">
        <v>11.44</v>
      </c>
      <c r="E40">
        <f t="shared" si="0"/>
        <v>34.295000000000002</v>
      </c>
      <c r="G40">
        <f t="shared" si="1"/>
        <v>3.1997989834080226E-2</v>
      </c>
    </row>
    <row r="41" spans="1:7" x14ac:dyDescent="0.25">
      <c r="A41" s="1">
        <v>45363.705555555556</v>
      </c>
      <c r="B41" s="2">
        <v>56.36</v>
      </c>
      <c r="C41" s="2">
        <v>11.3</v>
      </c>
      <c r="E41">
        <f t="shared" si="0"/>
        <v>33.83</v>
      </c>
      <c r="G41">
        <f t="shared" si="1"/>
        <v>-1.3651588158667695E-2</v>
      </c>
    </row>
    <row r="42" spans="1:7" x14ac:dyDescent="0.25">
      <c r="A42" s="1">
        <v>45364.705555555556</v>
      </c>
      <c r="B42" s="2">
        <v>57.12</v>
      </c>
      <c r="C42" s="2">
        <v>11.39</v>
      </c>
      <c r="E42">
        <f t="shared" si="0"/>
        <v>34.254999999999995</v>
      </c>
      <c r="G42">
        <f t="shared" si="1"/>
        <v>1.2484556662245277E-2</v>
      </c>
    </row>
    <row r="43" spans="1:7" x14ac:dyDescent="0.25">
      <c r="A43" s="1">
        <v>45365.705555555556</v>
      </c>
      <c r="B43" s="2">
        <v>55.09</v>
      </c>
      <c r="C43" s="2">
        <v>11.37</v>
      </c>
      <c r="E43">
        <f t="shared" si="0"/>
        <v>33.230000000000004</v>
      </c>
      <c r="G43">
        <f t="shared" si="1"/>
        <v>-3.0379457088359211E-2</v>
      </c>
    </row>
    <row r="44" spans="1:7" x14ac:dyDescent="0.25">
      <c r="A44" s="1">
        <v>45366.705555555556</v>
      </c>
      <c r="B44" s="2">
        <v>53</v>
      </c>
      <c r="C44" s="2">
        <v>11.35</v>
      </c>
      <c r="E44">
        <f t="shared" si="0"/>
        <v>32.174999999999997</v>
      </c>
      <c r="G44">
        <f t="shared" si="1"/>
        <v>-3.2263328884312749E-2</v>
      </c>
    </row>
    <row r="45" spans="1:7" x14ac:dyDescent="0.25">
      <c r="A45" s="1">
        <v>45369.705555555556</v>
      </c>
      <c r="B45" s="2">
        <v>51.55</v>
      </c>
      <c r="C45" s="2">
        <v>11.42</v>
      </c>
      <c r="E45">
        <f t="shared" si="0"/>
        <v>31.484999999999999</v>
      </c>
      <c r="G45">
        <f t="shared" si="1"/>
        <v>-2.1678511541484341E-2</v>
      </c>
    </row>
    <row r="46" spans="1:7" x14ac:dyDescent="0.25">
      <c r="A46" s="1">
        <v>45370.705555555556</v>
      </c>
      <c r="B46" s="2">
        <v>49.22</v>
      </c>
      <c r="C46" s="2">
        <v>11.43</v>
      </c>
      <c r="E46">
        <f t="shared" si="0"/>
        <v>30.324999999999999</v>
      </c>
      <c r="G46">
        <f t="shared" si="1"/>
        <v>-3.7538787110592164E-2</v>
      </c>
    </row>
    <row r="47" spans="1:7" x14ac:dyDescent="0.25">
      <c r="A47" s="1">
        <v>45371.705555555556</v>
      </c>
      <c r="B47" s="2">
        <v>50.73</v>
      </c>
      <c r="C47" s="2">
        <v>11.43</v>
      </c>
      <c r="E47">
        <f t="shared" si="0"/>
        <v>31.08</v>
      </c>
      <c r="G47">
        <f t="shared" si="1"/>
        <v>2.4592070669332736E-2</v>
      </c>
    </row>
    <row r="48" spans="1:7" x14ac:dyDescent="0.25">
      <c r="A48" s="1">
        <v>45372.705555555556</v>
      </c>
      <c r="B48" s="2">
        <v>50.84</v>
      </c>
      <c r="C48" s="2">
        <v>11.43</v>
      </c>
      <c r="E48">
        <f t="shared" si="0"/>
        <v>31.135000000000002</v>
      </c>
      <c r="G48">
        <f t="shared" si="1"/>
        <v>1.7680628249686077E-3</v>
      </c>
    </row>
    <row r="49" spans="1:7" x14ac:dyDescent="0.25">
      <c r="A49" s="1">
        <v>45373.705555555556</v>
      </c>
      <c r="B49" s="2">
        <v>49.57</v>
      </c>
      <c r="C49" s="2">
        <v>11.38</v>
      </c>
      <c r="E49">
        <f t="shared" si="0"/>
        <v>30.475000000000001</v>
      </c>
      <c r="G49">
        <f t="shared" si="1"/>
        <v>-2.1425912957080115E-2</v>
      </c>
    </row>
    <row r="50" spans="1:7" x14ac:dyDescent="0.25">
      <c r="A50" s="1">
        <v>45376.705555555556</v>
      </c>
      <c r="B50" s="2">
        <v>54.07</v>
      </c>
      <c r="C50" s="2">
        <v>11.37</v>
      </c>
      <c r="E50">
        <f t="shared" si="0"/>
        <v>32.72</v>
      </c>
      <c r="G50">
        <f t="shared" si="1"/>
        <v>7.1079836367211047E-2</v>
      </c>
    </row>
    <row r="51" spans="1:7" x14ac:dyDescent="0.25">
      <c r="A51" s="1">
        <v>45377.705555555556</v>
      </c>
      <c r="B51" s="2">
        <v>53.45</v>
      </c>
      <c r="C51" s="2">
        <v>11.42</v>
      </c>
      <c r="E51">
        <f t="shared" si="0"/>
        <v>32.435000000000002</v>
      </c>
      <c r="G51">
        <f t="shared" si="1"/>
        <v>-8.7484250695274435E-3</v>
      </c>
    </row>
    <row r="52" spans="1:7" x14ac:dyDescent="0.25">
      <c r="A52" s="1">
        <v>45378.705555555556</v>
      </c>
      <c r="B52" s="2">
        <v>52.45</v>
      </c>
      <c r="C52" s="2">
        <v>11.51</v>
      </c>
      <c r="E52">
        <f t="shared" si="0"/>
        <v>31.98</v>
      </c>
      <c r="G52">
        <f t="shared" si="1"/>
        <v>-1.4127379259210565E-2</v>
      </c>
    </row>
    <row r="53" spans="1:7" x14ac:dyDescent="0.25">
      <c r="A53" s="1">
        <v>45379.705555555556</v>
      </c>
      <c r="B53" s="2">
        <v>54.25</v>
      </c>
      <c r="C53" s="2">
        <v>11.72</v>
      </c>
      <c r="E53">
        <f t="shared" si="0"/>
        <v>32.984999999999999</v>
      </c>
      <c r="G53">
        <f t="shared" si="1"/>
        <v>3.0942205269025969E-2</v>
      </c>
    </row>
    <row r="54" spans="1:7" x14ac:dyDescent="0.25">
      <c r="A54" s="1">
        <v>45383.705555555556</v>
      </c>
      <c r="B54" s="2">
        <v>53.83</v>
      </c>
      <c r="C54" s="2">
        <v>11.95</v>
      </c>
      <c r="E54">
        <f t="shared" si="0"/>
        <v>32.89</v>
      </c>
      <c r="G54">
        <f t="shared" si="1"/>
        <v>-2.8842524738685485E-3</v>
      </c>
    </row>
    <row r="55" spans="1:7" x14ac:dyDescent="0.25">
      <c r="A55" s="1">
        <v>45384.705555555556</v>
      </c>
      <c r="B55" s="2">
        <v>51</v>
      </c>
      <c r="C55" s="2">
        <v>12.14</v>
      </c>
      <c r="E55">
        <f t="shared" si="0"/>
        <v>31.57</v>
      </c>
      <c r="G55">
        <f t="shared" si="1"/>
        <v>-4.0961357631065287E-2</v>
      </c>
    </row>
    <row r="56" spans="1:7" x14ac:dyDescent="0.25">
      <c r="A56" s="1">
        <v>45385.705555555556</v>
      </c>
      <c r="B56" s="2">
        <v>50.84</v>
      </c>
      <c r="C56" s="2">
        <v>12.16</v>
      </c>
      <c r="E56">
        <f t="shared" si="0"/>
        <v>31.5</v>
      </c>
      <c r="G56">
        <f t="shared" si="1"/>
        <v>-2.2197567383128881E-3</v>
      </c>
    </row>
    <row r="57" spans="1:7" x14ac:dyDescent="0.25">
      <c r="A57" s="1">
        <v>45386.705555555556</v>
      </c>
      <c r="B57" s="2">
        <v>52</v>
      </c>
      <c r="C57" s="2">
        <v>12.16</v>
      </c>
      <c r="E57">
        <f t="shared" si="0"/>
        <v>32.08</v>
      </c>
      <c r="G57">
        <f t="shared" si="1"/>
        <v>1.8245237166726391E-2</v>
      </c>
    </row>
    <row r="58" spans="1:7" x14ac:dyDescent="0.25">
      <c r="A58" s="1">
        <v>45387.705555555556</v>
      </c>
      <c r="B58" s="2">
        <v>52.08</v>
      </c>
      <c r="C58" s="2">
        <v>12.43</v>
      </c>
      <c r="E58">
        <f t="shared" si="0"/>
        <v>32.254999999999995</v>
      </c>
      <c r="G58">
        <f t="shared" si="1"/>
        <v>5.4402869858911516E-3</v>
      </c>
    </row>
    <row r="59" spans="1:7" x14ac:dyDescent="0.25">
      <c r="A59" s="1">
        <v>45390.705555555556</v>
      </c>
      <c r="B59" s="2">
        <v>55.3</v>
      </c>
      <c r="C59" s="2">
        <v>12.4</v>
      </c>
      <c r="E59">
        <f t="shared" si="0"/>
        <v>33.85</v>
      </c>
      <c r="G59">
        <f t="shared" si="1"/>
        <v>4.826592937407919E-2</v>
      </c>
    </row>
    <row r="60" spans="1:7" x14ac:dyDescent="0.25">
      <c r="A60" s="1">
        <v>45391.705555555556</v>
      </c>
      <c r="B60" s="2">
        <v>52.85</v>
      </c>
      <c r="C60" s="2">
        <v>12.41</v>
      </c>
      <c r="E60">
        <f t="shared" si="0"/>
        <v>32.630000000000003</v>
      </c>
      <c r="G60">
        <f t="shared" si="1"/>
        <v>-3.6706888753054667E-2</v>
      </c>
    </row>
    <row r="61" spans="1:7" x14ac:dyDescent="0.25">
      <c r="A61" s="1">
        <v>45392.705555555556</v>
      </c>
      <c r="B61" s="2">
        <v>54.05</v>
      </c>
      <c r="C61" s="2">
        <v>12.44</v>
      </c>
      <c r="E61">
        <f t="shared" si="0"/>
        <v>33.244999999999997</v>
      </c>
      <c r="G61">
        <f t="shared" si="1"/>
        <v>1.8672269249188848E-2</v>
      </c>
    </row>
    <row r="62" spans="1:7" x14ac:dyDescent="0.25">
      <c r="A62" s="1">
        <v>45393.705555555556</v>
      </c>
      <c r="B62" s="2">
        <v>54.4</v>
      </c>
      <c r="C62" s="2">
        <v>12.71</v>
      </c>
      <c r="E62">
        <f t="shared" si="0"/>
        <v>33.555</v>
      </c>
      <c r="G62">
        <f t="shared" si="1"/>
        <v>9.2815037557843708E-3</v>
      </c>
    </row>
    <row r="63" spans="1:7" x14ac:dyDescent="0.25">
      <c r="A63" s="1">
        <v>45394.705555555556</v>
      </c>
      <c r="B63" s="2">
        <v>51.6</v>
      </c>
      <c r="C63" s="2">
        <v>12.64</v>
      </c>
      <c r="E63">
        <f t="shared" si="0"/>
        <v>32.120000000000005</v>
      </c>
      <c r="G63">
        <f t="shared" si="1"/>
        <v>-4.3706994531641501E-2</v>
      </c>
    </row>
    <row r="64" spans="1:7" x14ac:dyDescent="0.25">
      <c r="A64" s="1">
        <v>45397.705555555556</v>
      </c>
      <c r="B64" s="2">
        <v>49.99</v>
      </c>
      <c r="C64" s="2">
        <v>13.04</v>
      </c>
      <c r="E64">
        <f t="shared" si="0"/>
        <v>31.515000000000001</v>
      </c>
      <c r="G64">
        <f t="shared" si="1"/>
        <v>-1.9015266113487625E-2</v>
      </c>
    </row>
    <row r="65" spans="1:7" x14ac:dyDescent="0.25">
      <c r="A65" s="1">
        <v>45398.705555555556</v>
      </c>
      <c r="B65" s="2">
        <v>49.5</v>
      </c>
      <c r="C65" s="2">
        <v>13.26</v>
      </c>
      <c r="E65">
        <f t="shared" si="0"/>
        <v>31.38</v>
      </c>
      <c r="G65">
        <f t="shared" si="1"/>
        <v>-4.2928756601869067E-3</v>
      </c>
    </row>
    <row r="66" spans="1:7" x14ac:dyDescent="0.25">
      <c r="A66" s="1">
        <v>45399.705555555556</v>
      </c>
      <c r="B66" s="2">
        <v>47.96</v>
      </c>
      <c r="C66" s="2">
        <v>13.13</v>
      </c>
      <c r="E66">
        <f t="shared" si="0"/>
        <v>30.545000000000002</v>
      </c>
      <c r="G66">
        <f t="shared" si="1"/>
        <v>-2.6969741203156136E-2</v>
      </c>
    </row>
    <row r="67" spans="1:7" x14ac:dyDescent="0.25">
      <c r="A67" s="1">
        <v>45400.705555555556</v>
      </c>
      <c r="B67" s="2">
        <v>50.31</v>
      </c>
      <c r="C67" s="2">
        <v>13.15</v>
      </c>
      <c r="E67">
        <f t="shared" ref="E67:E130" si="2">AVERAGE(B67,C67)</f>
        <v>31.73</v>
      </c>
      <c r="G67">
        <f t="shared" si="1"/>
        <v>3.8061599493373954E-2</v>
      </c>
    </row>
    <row r="68" spans="1:7" x14ac:dyDescent="0.25">
      <c r="A68" s="1">
        <v>45401.705555555556</v>
      </c>
      <c r="B68" s="2">
        <v>50.23</v>
      </c>
      <c r="C68" s="2">
        <v>13.07</v>
      </c>
      <c r="E68">
        <f t="shared" si="2"/>
        <v>31.65</v>
      </c>
      <c r="G68">
        <f t="shared" ref="G68:G131" si="3">LN(E68/E67)</f>
        <v>-2.5244570049190842E-3</v>
      </c>
    </row>
    <row r="69" spans="1:7" x14ac:dyDescent="0.25">
      <c r="A69" s="1">
        <v>45404.705555555556</v>
      </c>
      <c r="B69" s="2">
        <v>52.13</v>
      </c>
      <c r="C69" s="2">
        <v>12.67</v>
      </c>
      <c r="E69">
        <f t="shared" si="2"/>
        <v>32.4</v>
      </c>
      <c r="G69">
        <f t="shared" si="3"/>
        <v>2.3420274208098422E-2</v>
      </c>
    </row>
    <row r="70" spans="1:7" x14ac:dyDescent="0.25">
      <c r="A70" s="1">
        <v>45405.705555555556</v>
      </c>
      <c r="B70" s="2">
        <v>51.5</v>
      </c>
      <c r="C70" s="2">
        <v>12.54</v>
      </c>
      <c r="E70">
        <f t="shared" si="2"/>
        <v>32.019999999999996</v>
      </c>
      <c r="G70">
        <f t="shared" si="3"/>
        <v>-1.1797715229715193E-2</v>
      </c>
    </row>
    <row r="71" spans="1:7" x14ac:dyDescent="0.25">
      <c r="A71" s="1">
        <v>45406.705555555556</v>
      </c>
      <c r="B71" s="2">
        <v>49.8</v>
      </c>
      <c r="C71" s="2">
        <v>12.57</v>
      </c>
      <c r="E71">
        <f t="shared" si="2"/>
        <v>31.184999999999999</v>
      </c>
      <c r="G71">
        <f t="shared" si="3"/>
        <v>-2.6423497590482591E-2</v>
      </c>
    </row>
    <row r="72" spans="1:7" x14ac:dyDescent="0.25">
      <c r="A72" s="1">
        <v>45407.705555555556</v>
      </c>
      <c r="B72" s="2">
        <v>50</v>
      </c>
      <c r="C72" s="2">
        <v>12.67</v>
      </c>
      <c r="E72">
        <f t="shared" si="2"/>
        <v>31.335000000000001</v>
      </c>
      <c r="G72">
        <f t="shared" si="3"/>
        <v>4.7984736985528728E-3</v>
      </c>
    </row>
    <row r="73" spans="1:7" x14ac:dyDescent="0.25">
      <c r="A73" s="1">
        <v>45408.705555555556</v>
      </c>
      <c r="B73" s="2">
        <v>49.44</v>
      </c>
      <c r="C73" s="2">
        <v>12.62</v>
      </c>
      <c r="E73">
        <f t="shared" si="2"/>
        <v>31.029999999999998</v>
      </c>
      <c r="G73">
        <f t="shared" si="3"/>
        <v>-9.7812052163501039E-3</v>
      </c>
    </row>
    <row r="74" spans="1:7" x14ac:dyDescent="0.25">
      <c r="A74" s="1">
        <v>45411.705555555556</v>
      </c>
      <c r="B74" s="2">
        <v>49.05</v>
      </c>
      <c r="C74" s="2">
        <v>12.56</v>
      </c>
      <c r="E74">
        <f t="shared" si="2"/>
        <v>30.805</v>
      </c>
      <c r="G74">
        <f t="shared" si="3"/>
        <v>-7.2774639937547587E-3</v>
      </c>
    </row>
    <row r="75" spans="1:7" x14ac:dyDescent="0.25">
      <c r="A75" s="1">
        <v>45412.705555555556</v>
      </c>
      <c r="B75" s="2">
        <v>46.75</v>
      </c>
      <c r="C75" s="2">
        <v>12.51</v>
      </c>
      <c r="E75">
        <f t="shared" si="2"/>
        <v>29.63</v>
      </c>
      <c r="G75">
        <f t="shared" si="3"/>
        <v>-3.8889652881060117E-2</v>
      </c>
    </row>
    <row r="76" spans="1:7" x14ac:dyDescent="0.25">
      <c r="A76" s="1">
        <v>45414.705555555556</v>
      </c>
      <c r="B76" s="2">
        <v>46.26</v>
      </c>
      <c r="C76" s="2">
        <v>12.4</v>
      </c>
      <c r="E76">
        <f t="shared" si="2"/>
        <v>29.33</v>
      </c>
      <c r="G76">
        <f t="shared" si="3"/>
        <v>-1.0176478596114277E-2</v>
      </c>
    </row>
    <row r="77" spans="1:7" x14ac:dyDescent="0.25">
      <c r="A77" s="1">
        <v>45415.705555555556</v>
      </c>
      <c r="B77" s="2">
        <v>47.88</v>
      </c>
      <c r="C77" s="2">
        <v>12.28</v>
      </c>
      <c r="E77">
        <f t="shared" si="2"/>
        <v>30.080000000000002</v>
      </c>
      <c r="G77">
        <f t="shared" si="3"/>
        <v>2.5249616092279537E-2</v>
      </c>
    </row>
    <row r="78" spans="1:7" x14ac:dyDescent="0.25">
      <c r="A78" s="1">
        <v>45418.705555555556</v>
      </c>
      <c r="B78" s="2">
        <v>48.45</v>
      </c>
      <c r="C78" s="2">
        <v>12.4</v>
      </c>
      <c r="E78">
        <f t="shared" si="2"/>
        <v>30.425000000000001</v>
      </c>
      <c r="G78">
        <f t="shared" si="3"/>
        <v>1.1404139791951743E-2</v>
      </c>
    </row>
    <row r="79" spans="1:7" x14ac:dyDescent="0.25">
      <c r="A79" s="1">
        <v>45419.705555555556</v>
      </c>
      <c r="B79" s="2">
        <v>48.08</v>
      </c>
      <c r="C79" s="2">
        <v>12.34</v>
      </c>
      <c r="E79">
        <f t="shared" si="2"/>
        <v>30.21</v>
      </c>
      <c r="G79">
        <f t="shared" si="3"/>
        <v>-7.0916434750102125E-3</v>
      </c>
    </row>
    <row r="80" spans="1:7" x14ac:dyDescent="0.25">
      <c r="A80" s="1">
        <v>45420.705555555556</v>
      </c>
      <c r="B80" s="2">
        <v>47.48</v>
      </c>
      <c r="C80" s="2">
        <v>12.36</v>
      </c>
      <c r="E80">
        <f t="shared" si="2"/>
        <v>29.919999999999998</v>
      </c>
      <c r="G80">
        <f t="shared" si="3"/>
        <v>-9.6458422923041982E-3</v>
      </c>
    </row>
    <row r="81" spans="1:7" x14ac:dyDescent="0.25">
      <c r="A81" s="1">
        <v>45421.705555555556</v>
      </c>
      <c r="B81" s="2">
        <v>48.5</v>
      </c>
      <c r="C81" s="2">
        <v>12.66</v>
      </c>
      <c r="E81">
        <f t="shared" si="2"/>
        <v>30.58</v>
      </c>
      <c r="G81">
        <f t="shared" si="3"/>
        <v>2.1819047394639673E-2</v>
      </c>
    </row>
    <row r="82" spans="1:7" x14ac:dyDescent="0.25">
      <c r="A82" s="1">
        <v>45422.705555555556</v>
      </c>
      <c r="B82" s="2">
        <v>47.22</v>
      </c>
      <c r="C82" s="2">
        <v>12.84</v>
      </c>
      <c r="E82">
        <f t="shared" si="2"/>
        <v>30.03</v>
      </c>
      <c r="G82">
        <f t="shared" si="3"/>
        <v>-1.814931850567722E-2</v>
      </c>
    </row>
    <row r="83" spans="1:7" x14ac:dyDescent="0.25">
      <c r="A83" s="1">
        <v>45425.705555555556</v>
      </c>
      <c r="B83" s="2">
        <v>48.5</v>
      </c>
      <c r="C83" s="2">
        <v>12.68</v>
      </c>
      <c r="E83">
        <f t="shared" si="2"/>
        <v>30.59</v>
      </c>
      <c r="G83">
        <f t="shared" si="3"/>
        <v>1.8476276167573212E-2</v>
      </c>
    </row>
    <row r="84" spans="1:7" x14ac:dyDescent="0.25">
      <c r="A84" s="1">
        <v>45426.705555555556</v>
      </c>
      <c r="B84" s="2">
        <v>46.97</v>
      </c>
      <c r="C84" s="2">
        <v>12.73</v>
      </c>
      <c r="E84">
        <f t="shared" si="2"/>
        <v>29.85</v>
      </c>
      <c r="G84">
        <f t="shared" si="3"/>
        <v>-2.4488318324200963E-2</v>
      </c>
    </row>
    <row r="85" spans="1:7" x14ac:dyDescent="0.25">
      <c r="A85" s="1">
        <v>45427.705555555556</v>
      </c>
      <c r="B85" s="2">
        <v>50.35</v>
      </c>
      <c r="C85" s="2">
        <v>12.91</v>
      </c>
      <c r="E85">
        <f t="shared" si="2"/>
        <v>31.630000000000003</v>
      </c>
      <c r="G85">
        <f t="shared" si="3"/>
        <v>5.7921197478946397E-2</v>
      </c>
    </row>
    <row r="86" spans="1:7" x14ac:dyDescent="0.25">
      <c r="A86" s="1">
        <v>45428.705555555556</v>
      </c>
      <c r="B86" s="2">
        <v>49.3</v>
      </c>
      <c r="C86" s="2">
        <v>12.85</v>
      </c>
      <c r="E86">
        <f t="shared" si="2"/>
        <v>31.074999999999999</v>
      </c>
      <c r="G86">
        <f t="shared" si="3"/>
        <v>-1.7702399920782812E-2</v>
      </c>
    </row>
    <row r="87" spans="1:7" x14ac:dyDescent="0.25">
      <c r="A87" s="1">
        <v>45429.705555555556</v>
      </c>
      <c r="B87" s="2">
        <v>50.97</v>
      </c>
      <c r="C87" s="2">
        <v>12.98</v>
      </c>
      <c r="E87">
        <f t="shared" si="2"/>
        <v>31.975000000000001</v>
      </c>
      <c r="G87">
        <f t="shared" si="3"/>
        <v>2.8550710068131622E-2</v>
      </c>
    </row>
    <row r="88" spans="1:7" x14ac:dyDescent="0.25">
      <c r="A88" s="1">
        <v>45432.705555555556</v>
      </c>
      <c r="B88" s="2">
        <v>54.1</v>
      </c>
      <c r="C88" s="2">
        <v>13.03</v>
      </c>
      <c r="E88">
        <f t="shared" si="2"/>
        <v>33.564999999999998</v>
      </c>
      <c r="G88">
        <f t="shared" si="3"/>
        <v>4.8529509925808366E-2</v>
      </c>
    </row>
    <row r="89" spans="1:7" x14ac:dyDescent="0.25">
      <c r="A89" s="1">
        <v>45433.705555555556</v>
      </c>
      <c r="B89" s="2">
        <v>54.96</v>
      </c>
      <c r="C89" s="2">
        <v>13.06</v>
      </c>
      <c r="E89">
        <f t="shared" si="2"/>
        <v>34.01</v>
      </c>
      <c r="G89">
        <f t="shared" si="3"/>
        <v>1.3170741628389146E-2</v>
      </c>
    </row>
    <row r="90" spans="1:7" x14ac:dyDescent="0.25">
      <c r="A90" s="1">
        <v>45434.705555555556</v>
      </c>
      <c r="B90" s="2">
        <v>55.4</v>
      </c>
      <c r="C90" s="2">
        <v>12.91</v>
      </c>
      <c r="E90">
        <f t="shared" si="2"/>
        <v>34.155000000000001</v>
      </c>
      <c r="G90">
        <f t="shared" si="3"/>
        <v>4.2543891647085575E-3</v>
      </c>
    </row>
    <row r="91" spans="1:7" x14ac:dyDescent="0.25">
      <c r="A91" s="1">
        <v>45435.705555555556</v>
      </c>
      <c r="B91" s="2">
        <v>53.75</v>
      </c>
      <c r="C91" s="2">
        <v>12.65</v>
      </c>
      <c r="E91">
        <f t="shared" si="2"/>
        <v>33.200000000000003</v>
      </c>
      <c r="G91">
        <f t="shared" si="3"/>
        <v>-2.8359112261369775E-2</v>
      </c>
    </row>
    <row r="92" spans="1:7" x14ac:dyDescent="0.25">
      <c r="A92" s="1">
        <v>45436.705555555556</v>
      </c>
      <c r="B92" s="2">
        <v>54.96</v>
      </c>
      <c r="C92" s="2">
        <v>12.69</v>
      </c>
      <c r="E92">
        <f t="shared" si="2"/>
        <v>33.825000000000003</v>
      </c>
      <c r="G92">
        <f t="shared" si="3"/>
        <v>1.8650298134408782E-2</v>
      </c>
    </row>
    <row r="93" spans="1:7" x14ac:dyDescent="0.25">
      <c r="A93" s="1">
        <v>45439.705555555556</v>
      </c>
      <c r="B93" s="2">
        <v>56</v>
      </c>
      <c r="C93" s="2">
        <v>12.85</v>
      </c>
      <c r="E93">
        <f t="shared" si="2"/>
        <v>34.424999999999997</v>
      </c>
      <c r="G93">
        <f t="shared" si="3"/>
        <v>1.7582870557866663E-2</v>
      </c>
    </row>
    <row r="94" spans="1:7" x14ac:dyDescent="0.25">
      <c r="A94" s="1">
        <v>45440.705555555556</v>
      </c>
      <c r="B94" s="2">
        <v>55.19</v>
      </c>
      <c r="C94" s="2">
        <v>12.8</v>
      </c>
      <c r="E94">
        <f t="shared" si="2"/>
        <v>33.994999999999997</v>
      </c>
      <c r="G94">
        <f t="shared" si="3"/>
        <v>-1.2569589636295552E-2</v>
      </c>
    </row>
    <row r="95" spans="1:7" x14ac:dyDescent="0.25">
      <c r="A95" s="1">
        <v>45441.705555555556</v>
      </c>
      <c r="B95" s="2">
        <v>54.8</v>
      </c>
      <c r="C95" s="2">
        <v>12.8</v>
      </c>
      <c r="E95">
        <f t="shared" si="2"/>
        <v>33.799999999999997</v>
      </c>
      <c r="G95">
        <f t="shared" si="3"/>
        <v>-5.752652489449922E-3</v>
      </c>
    </row>
    <row r="96" spans="1:7" x14ac:dyDescent="0.25">
      <c r="A96" s="1">
        <v>45443.705555555556</v>
      </c>
      <c r="B96" s="2">
        <v>55.15</v>
      </c>
      <c r="C96" s="2">
        <v>12.87</v>
      </c>
      <c r="E96">
        <f t="shared" si="2"/>
        <v>34.01</v>
      </c>
      <c r="G96">
        <f t="shared" si="3"/>
        <v>6.1937965301311218E-3</v>
      </c>
    </row>
    <row r="97" spans="1:7" x14ac:dyDescent="0.25">
      <c r="A97" s="1">
        <v>45446.705555555556</v>
      </c>
      <c r="B97" s="2">
        <v>55.87</v>
      </c>
      <c r="C97" s="2">
        <v>12.93</v>
      </c>
      <c r="E97">
        <f t="shared" si="2"/>
        <v>34.4</v>
      </c>
      <c r="G97">
        <f t="shared" si="3"/>
        <v>1.1401965360248588E-2</v>
      </c>
    </row>
    <row r="98" spans="1:7" x14ac:dyDescent="0.25">
      <c r="A98" s="1">
        <v>45447.705555555556</v>
      </c>
      <c r="B98" s="2">
        <v>57.3</v>
      </c>
      <c r="C98" s="2">
        <v>12.92</v>
      </c>
      <c r="E98">
        <f t="shared" si="2"/>
        <v>35.11</v>
      </c>
      <c r="G98">
        <f t="shared" si="3"/>
        <v>2.0429425800988221E-2</v>
      </c>
    </row>
    <row r="99" spans="1:7" x14ac:dyDescent="0.25">
      <c r="A99" s="1">
        <v>45448.705555555556</v>
      </c>
      <c r="B99" s="2">
        <v>58.25</v>
      </c>
      <c r="C99" s="2">
        <v>13.13</v>
      </c>
      <c r="E99">
        <f t="shared" si="2"/>
        <v>35.69</v>
      </c>
      <c r="G99">
        <f t="shared" si="3"/>
        <v>1.638454732172797E-2</v>
      </c>
    </row>
    <row r="100" spans="1:7" x14ac:dyDescent="0.25">
      <c r="A100" s="1">
        <v>45449.705555555556</v>
      </c>
      <c r="B100" s="2">
        <v>57.48</v>
      </c>
      <c r="C100" s="2">
        <v>13.1</v>
      </c>
      <c r="E100">
        <f t="shared" si="2"/>
        <v>35.29</v>
      </c>
      <c r="G100">
        <f t="shared" si="3"/>
        <v>-1.1270899814890283E-2</v>
      </c>
    </row>
    <row r="101" spans="1:7" x14ac:dyDescent="0.25">
      <c r="A101" s="1">
        <v>45450.705555555556</v>
      </c>
      <c r="B101" s="2">
        <v>56.76</v>
      </c>
      <c r="C101" s="2">
        <v>12.86</v>
      </c>
      <c r="E101">
        <f t="shared" si="2"/>
        <v>34.81</v>
      </c>
      <c r="G101">
        <f t="shared" si="3"/>
        <v>-1.3694935863831029E-2</v>
      </c>
    </row>
    <row r="102" spans="1:7" x14ac:dyDescent="0.25">
      <c r="A102" s="1">
        <v>45453.705555555556</v>
      </c>
      <c r="B102" s="2">
        <v>57.04</v>
      </c>
      <c r="C102" s="2">
        <v>13.01</v>
      </c>
      <c r="E102">
        <f t="shared" si="2"/>
        <v>35.024999999999999</v>
      </c>
      <c r="G102">
        <f t="shared" si="3"/>
        <v>6.1573903997231205E-3</v>
      </c>
    </row>
    <row r="103" spans="1:7" x14ac:dyDescent="0.25">
      <c r="A103" s="1">
        <v>45454.705555555556</v>
      </c>
      <c r="B103" s="2">
        <v>55.06</v>
      </c>
      <c r="C103" s="2">
        <v>13.05</v>
      </c>
      <c r="E103">
        <f t="shared" si="2"/>
        <v>34.055</v>
      </c>
      <c r="G103">
        <f t="shared" si="3"/>
        <v>-2.8085227529789036E-2</v>
      </c>
    </row>
    <row r="104" spans="1:7" x14ac:dyDescent="0.25">
      <c r="A104" s="1">
        <v>45455.705555555556</v>
      </c>
      <c r="B104" s="2">
        <v>55.87</v>
      </c>
      <c r="C104" s="2">
        <v>13.21</v>
      </c>
      <c r="E104">
        <f t="shared" si="2"/>
        <v>34.54</v>
      </c>
      <c r="G104">
        <f t="shared" si="3"/>
        <v>1.4141208025250757E-2</v>
      </c>
    </row>
    <row r="105" spans="1:7" x14ac:dyDescent="0.25">
      <c r="A105" s="1">
        <v>45456.705555555556</v>
      </c>
      <c r="B105" s="2">
        <v>54.8</v>
      </c>
      <c r="C105" s="2">
        <v>13</v>
      </c>
      <c r="E105">
        <f t="shared" si="2"/>
        <v>33.9</v>
      </c>
      <c r="G105">
        <f t="shared" si="3"/>
        <v>-1.8703058332127983E-2</v>
      </c>
    </row>
    <row r="106" spans="1:7" x14ac:dyDescent="0.25">
      <c r="A106" s="1">
        <v>45457.705555555556</v>
      </c>
      <c r="B106" s="2">
        <v>53.6</v>
      </c>
      <c r="C106" s="2">
        <v>13.19</v>
      </c>
      <c r="E106">
        <f t="shared" si="2"/>
        <v>33.395000000000003</v>
      </c>
      <c r="G106">
        <f t="shared" si="3"/>
        <v>-1.5008826208805151E-2</v>
      </c>
    </row>
    <row r="107" spans="1:7" x14ac:dyDescent="0.25">
      <c r="A107" s="1">
        <v>45460.705555555556</v>
      </c>
      <c r="B107" s="2">
        <v>54.88</v>
      </c>
      <c r="C107" s="2">
        <v>13.21</v>
      </c>
      <c r="E107">
        <f t="shared" si="2"/>
        <v>34.045000000000002</v>
      </c>
      <c r="G107">
        <f t="shared" si="3"/>
        <v>1.927699075733064E-2</v>
      </c>
    </row>
    <row r="108" spans="1:7" x14ac:dyDescent="0.25">
      <c r="A108" s="1">
        <v>45461.705555555556</v>
      </c>
      <c r="B108" s="2">
        <v>53.2</v>
      </c>
      <c r="C108" s="2">
        <v>13.3</v>
      </c>
      <c r="E108">
        <f t="shared" si="2"/>
        <v>33.25</v>
      </c>
      <c r="G108">
        <f t="shared" si="3"/>
        <v>-2.3628411833066878E-2</v>
      </c>
    </row>
    <row r="109" spans="1:7" x14ac:dyDescent="0.25">
      <c r="A109" s="1">
        <v>45462.705555555556</v>
      </c>
      <c r="B109" s="2">
        <v>54.32</v>
      </c>
      <c r="C109" s="2">
        <v>13.36</v>
      </c>
      <c r="E109">
        <f t="shared" si="2"/>
        <v>33.840000000000003</v>
      </c>
      <c r="G109">
        <f t="shared" si="3"/>
        <v>1.7588767636159582E-2</v>
      </c>
    </row>
    <row r="110" spans="1:7" x14ac:dyDescent="0.25">
      <c r="A110" s="1">
        <v>45463.705555555556</v>
      </c>
      <c r="B110" s="2">
        <v>54.13</v>
      </c>
      <c r="C110" s="2">
        <v>13.54</v>
      </c>
      <c r="E110">
        <f t="shared" si="2"/>
        <v>33.835000000000001</v>
      </c>
      <c r="G110">
        <f t="shared" si="3"/>
        <v>-1.4776505383373164E-4</v>
      </c>
    </row>
    <row r="111" spans="1:7" x14ac:dyDescent="0.25">
      <c r="A111" s="1">
        <v>45464.705555555556</v>
      </c>
      <c r="B111" s="2">
        <v>53.96</v>
      </c>
      <c r="C111" s="2">
        <v>13.29</v>
      </c>
      <c r="E111">
        <f t="shared" si="2"/>
        <v>33.625</v>
      </c>
      <c r="G111">
        <f t="shared" si="3"/>
        <v>-6.2259317621857239E-3</v>
      </c>
    </row>
    <row r="112" spans="1:7" x14ac:dyDescent="0.25">
      <c r="A112" s="1">
        <v>45467.705555555556</v>
      </c>
      <c r="B112" s="2">
        <v>49.75</v>
      </c>
      <c r="C112" s="2">
        <v>13.21</v>
      </c>
      <c r="E112">
        <f t="shared" si="2"/>
        <v>31.48</v>
      </c>
      <c r="G112">
        <f t="shared" si="3"/>
        <v>-6.5917414372800631E-2</v>
      </c>
    </row>
    <row r="113" spans="1:7" x14ac:dyDescent="0.25">
      <c r="A113" s="1">
        <v>45468.705555555556</v>
      </c>
      <c r="B113" s="2">
        <v>52.4</v>
      </c>
      <c r="C113" s="2">
        <v>13.28</v>
      </c>
      <c r="E113">
        <f t="shared" si="2"/>
        <v>32.839999999999996</v>
      </c>
      <c r="G113">
        <f t="shared" si="3"/>
        <v>4.2294861035024764E-2</v>
      </c>
    </row>
    <row r="114" spans="1:7" x14ac:dyDescent="0.25">
      <c r="A114" s="1">
        <v>45469.705555555556</v>
      </c>
      <c r="B114" s="2">
        <v>51.98</v>
      </c>
      <c r="C114" s="2">
        <v>13.32</v>
      </c>
      <c r="E114">
        <f t="shared" si="2"/>
        <v>32.65</v>
      </c>
      <c r="G114">
        <f t="shared" si="3"/>
        <v>-5.8024288617873256E-3</v>
      </c>
    </row>
    <row r="115" spans="1:7" x14ac:dyDescent="0.25">
      <c r="A115" s="1">
        <v>45470.705555555556</v>
      </c>
      <c r="B115" s="2">
        <v>52.75</v>
      </c>
      <c r="C115" s="2">
        <v>13.45</v>
      </c>
      <c r="E115">
        <f t="shared" si="2"/>
        <v>33.1</v>
      </c>
      <c r="G115">
        <f t="shared" si="3"/>
        <v>1.3688426660577326E-2</v>
      </c>
    </row>
    <row r="116" spans="1:7" x14ac:dyDescent="0.25">
      <c r="A116" s="1">
        <v>45471.705555555556</v>
      </c>
      <c r="B116" s="2">
        <v>52.68</v>
      </c>
      <c r="C116" s="2">
        <v>13.65</v>
      </c>
      <c r="E116">
        <f t="shared" si="2"/>
        <v>33.164999999999999</v>
      </c>
      <c r="G116">
        <f t="shared" si="3"/>
        <v>1.9618205945020149E-3</v>
      </c>
    </row>
    <row r="117" spans="1:7" x14ac:dyDescent="0.25">
      <c r="A117" s="1">
        <v>45474.705555555556</v>
      </c>
      <c r="B117" s="2">
        <v>55</v>
      </c>
      <c r="C117" s="2">
        <v>13.84</v>
      </c>
      <c r="E117">
        <f t="shared" si="2"/>
        <v>34.42</v>
      </c>
      <c r="G117">
        <f t="shared" si="3"/>
        <v>3.7142687805874208E-2</v>
      </c>
    </row>
    <row r="118" spans="1:7" x14ac:dyDescent="0.25">
      <c r="A118" s="1">
        <v>45475.705555555556</v>
      </c>
      <c r="B118" s="2">
        <v>54.58</v>
      </c>
      <c r="C118" s="2">
        <v>13.86</v>
      </c>
      <c r="E118">
        <f t="shared" si="2"/>
        <v>34.22</v>
      </c>
      <c r="G118">
        <f t="shared" si="3"/>
        <v>-5.827522319345994E-3</v>
      </c>
    </row>
    <row r="119" spans="1:7" x14ac:dyDescent="0.25">
      <c r="A119" s="1">
        <v>45476.705555555556</v>
      </c>
      <c r="B119" s="2">
        <v>52.08</v>
      </c>
      <c r="C119" s="2">
        <v>13.81</v>
      </c>
      <c r="E119">
        <f t="shared" si="2"/>
        <v>32.945</v>
      </c>
      <c r="G119">
        <f t="shared" si="3"/>
        <v>-3.7970764098264199E-2</v>
      </c>
    </row>
    <row r="120" spans="1:7" x14ac:dyDescent="0.25">
      <c r="A120" s="1">
        <v>45477.705555555556</v>
      </c>
      <c r="B120" s="2">
        <v>49.15</v>
      </c>
      <c r="C120" s="2">
        <v>13.66</v>
      </c>
      <c r="E120">
        <f t="shared" si="2"/>
        <v>31.405000000000001</v>
      </c>
      <c r="G120">
        <f t="shared" si="3"/>
        <v>-4.7872388459439051E-2</v>
      </c>
    </row>
    <row r="121" spans="1:7" x14ac:dyDescent="0.25">
      <c r="A121" s="1">
        <v>45478.705555555556</v>
      </c>
      <c r="B121" s="2">
        <v>47.66</v>
      </c>
      <c r="C121" s="2">
        <v>13.7</v>
      </c>
      <c r="E121">
        <f t="shared" si="2"/>
        <v>30.68</v>
      </c>
      <c r="G121">
        <f t="shared" si="3"/>
        <v>-2.3356139407288708E-2</v>
      </c>
    </row>
    <row r="122" spans="1:7" x14ac:dyDescent="0.25">
      <c r="A122" s="1">
        <v>45481.705555555556</v>
      </c>
      <c r="B122" s="2">
        <v>47.7</v>
      </c>
      <c r="C122" s="2">
        <v>13.58</v>
      </c>
      <c r="E122">
        <f t="shared" si="2"/>
        <v>30.64</v>
      </c>
      <c r="G122">
        <f t="shared" si="3"/>
        <v>-1.3046316266648581E-3</v>
      </c>
    </row>
    <row r="123" spans="1:7" x14ac:dyDescent="0.25">
      <c r="A123" s="1">
        <v>45482.705555555556</v>
      </c>
      <c r="B123" s="2">
        <v>48.42</v>
      </c>
      <c r="C123" s="2">
        <v>13.46</v>
      </c>
      <c r="E123">
        <f t="shared" si="2"/>
        <v>30.94</v>
      </c>
      <c r="G123">
        <f t="shared" si="3"/>
        <v>9.7435002725296434E-3</v>
      </c>
    </row>
    <row r="124" spans="1:7" x14ac:dyDescent="0.25">
      <c r="A124" s="1">
        <v>45483.705555555556</v>
      </c>
      <c r="B124" s="2">
        <v>48.3</v>
      </c>
      <c r="C124" s="2">
        <v>13.49</v>
      </c>
      <c r="E124">
        <f t="shared" si="2"/>
        <v>30.895</v>
      </c>
      <c r="G124">
        <f t="shared" si="3"/>
        <v>-1.4554866319772947E-3</v>
      </c>
    </row>
    <row r="125" spans="1:7" x14ac:dyDescent="0.25">
      <c r="A125" s="1">
        <v>45484.705555555556</v>
      </c>
      <c r="B125" s="2">
        <v>48.46</v>
      </c>
      <c r="C125" s="2">
        <v>13.8</v>
      </c>
      <c r="E125">
        <f t="shared" si="2"/>
        <v>31.130000000000003</v>
      </c>
      <c r="G125">
        <f t="shared" si="3"/>
        <v>7.5776259405740841E-3</v>
      </c>
    </row>
    <row r="126" spans="1:7" x14ac:dyDescent="0.25">
      <c r="A126" s="1">
        <v>45485.705555555556</v>
      </c>
      <c r="B126" s="2">
        <v>48.79</v>
      </c>
      <c r="C126" s="2">
        <v>13.77</v>
      </c>
      <c r="E126">
        <f t="shared" si="2"/>
        <v>31.28</v>
      </c>
      <c r="G126">
        <f t="shared" si="3"/>
        <v>4.8069312235934237E-3</v>
      </c>
    </row>
    <row r="127" spans="1:7" x14ac:dyDescent="0.25">
      <c r="A127" s="1">
        <v>45488.705555555556</v>
      </c>
      <c r="B127" s="2">
        <v>53.46</v>
      </c>
      <c r="C127" s="2">
        <v>13.85</v>
      </c>
      <c r="E127">
        <f t="shared" si="2"/>
        <v>33.655000000000001</v>
      </c>
      <c r="G127">
        <f t="shared" si="3"/>
        <v>7.3182717785566079E-2</v>
      </c>
    </row>
    <row r="128" spans="1:7" x14ac:dyDescent="0.25">
      <c r="A128" s="1">
        <v>45489.705555555556</v>
      </c>
      <c r="B128" s="2">
        <v>54.4</v>
      </c>
      <c r="C128" s="2">
        <v>14.1</v>
      </c>
      <c r="E128">
        <f t="shared" si="2"/>
        <v>34.25</v>
      </c>
      <c r="G128">
        <f t="shared" si="3"/>
        <v>1.7524931245557925E-2</v>
      </c>
    </row>
    <row r="129" spans="1:7" x14ac:dyDescent="0.25">
      <c r="A129" s="1">
        <v>45490.705555555556</v>
      </c>
      <c r="B129" s="2">
        <v>54.37</v>
      </c>
      <c r="C129" s="2">
        <v>14.16</v>
      </c>
      <c r="E129">
        <f t="shared" si="2"/>
        <v>34.265000000000001</v>
      </c>
      <c r="G129">
        <f t="shared" si="3"/>
        <v>4.3786032955262644E-4</v>
      </c>
    </row>
    <row r="130" spans="1:7" x14ac:dyDescent="0.25">
      <c r="A130" s="1">
        <v>45491.705555555556</v>
      </c>
      <c r="B130" s="2">
        <v>54.4</v>
      </c>
      <c r="C130" s="2">
        <v>14.32</v>
      </c>
      <c r="E130">
        <f t="shared" si="2"/>
        <v>34.36</v>
      </c>
      <c r="G130">
        <f t="shared" si="3"/>
        <v>2.7686720782676218E-3</v>
      </c>
    </row>
    <row r="131" spans="1:7" x14ac:dyDescent="0.25">
      <c r="A131" s="1">
        <v>45492.705555555556</v>
      </c>
      <c r="B131" s="2">
        <v>57.33</v>
      </c>
      <c r="C131" s="2">
        <v>14.13</v>
      </c>
      <c r="E131">
        <f t="shared" ref="E131:E194" si="4">AVERAGE(B131,C131)</f>
        <v>35.729999999999997</v>
      </c>
      <c r="G131">
        <f t="shared" si="3"/>
        <v>3.9097574919263668E-2</v>
      </c>
    </row>
    <row r="132" spans="1:7" x14ac:dyDescent="0.25">
      <c r="A132" s="1">
        <v>45495.705555555556</v>
      </c>
      <c r="B132" s="2">
        <v>57.15</v>
      </c>
      <c r="C132" s="2">
        <v>14.05</v>
      </c>
      <c r="E132">
        <f t="shared" si="4"/>
        <v>35.6</v>
      </c>
      <c r="G132">
        <f t="shared" ref="G132:G195" si="5">LN(E132/E131)</f>
        <v>-3.6450341773334844E-3</v>
      </c>
    </row>
    <row r="133" spans="1:7" x14ac:dyDescent="0.25">
      <c r="A133" s="1">
        <v>45496.705555555556</v>
      </c>
      <c r="B133" s="2">
        <v>56.29</v>
      </c>
      <c r="C133" s="2">
        <v>14.13</v>
      </c>
      <c r="E133">
        <f t="shared" si="4"/>
        <v>35.21</v>
      </c>
      <c r="G133">
        <f t="shared" si="5"/>
        <v>-1.1015504691023673E-2</v>
      </c>
    </row>
    <row r="134" spans="1:7" x14ac:dyDescent="0.25">
      <c r="A134" s="1">
        <v>45497.705555555556</v>
      </c>
      <c r="B134" s="2">
        <v>56.71</v>
      </c>
      <c r="C134" s="2">
        <v>14.25</v>
      </c>
      <c r="E134">
        <f t="shared" si="4"/>
        <v>35.480000000000004</v>
      </c>
      <c r="G134">
        <f t="shared" si="5"/>
        <v>7.6390242744175845E-3</v>
      </c>
    </row>
    <row r="135" spans="1:7" x14ac:dyDescent="0.25">
      <c r="A135" s="1">
        <v>45498.705555555556</v>
      </c>
      <c r="B135" s="2">
        <v>54.94</v>
      </c>
      <c r="C135" s="2">
        <v>14.06</v>
      </c>
      <c r="E135">
        <f t="shared" si="4"/>
        <v>34.5</v>
      </c>
      <c r="G135">
        <f t="shared" si="5"/>
        <v>-2.8009833404064745E-2</v>
      </c>
    </row>
    <row r="136" spans="1:7" x14ac:dyDescent="0.25">
      <c r="A136" s="1">
        <v>45499.705555555556</v>
      </c>
      <c r="B136" s="2">
        <v>57.5</v>
      </c>
      <c r="C136" s="2">
        <v>14.18</v>
      </c>
      <c r="E136">
        <f t="shared" si="4"/>
        <v>35.840000000000003</v>
      </c>
      <c r="G136">
        <f t="shared" si="5"/>
        <v>3.8105264069415702E-2</v>
      </c>
    </row>
    <row r="137" spans="1:7" x14ac:dyDescent="0.25">
      <c r="A137" s="1">
        <v>45502.705555555556</v>
      </c>
      <c r="B137" s="2">
        <v>57.4</v>
      </c>
      <c r="C137" s="2">
        <v>14.09</v>
      </c>
      <c r="E137">
        <f t="shared" si="4"/>
        <v>35.744999999999997</v>
      </c>
      <c r="G137">
        <f t="shared" si="5"/>
        <v>-2.65418888791476E-3</v>
      </c>
    </row>
    <row r="138" spans="1:7" x14ac:dyDescent="0.25">
      <c r="A138" s="1">
        <v>45503.705555555556</v>
      </c>
      <c r="B138" s="2">
        <v>55.89</v>
      </c>
      <c r="C138" s="2">
        <v>14.22</v>
      </c>
      <c r="E138">
        <f t="shared" si="4"/>
        <v>35.055</v>
      </c>
      <c r="G138">
        <f t="shared" si="5"/>
        <v>-1.9492142559884112E-2</v>
      </c>
    </row>
    <row r="139" spans="1:7" x14ac:dyDescent="0.25">
      <c r="A139" s="1">
        <v>45504.705555555556</v>
      </c>
      <c r="B139" s="2">
        <v>56.01</v>
      </c>
      <c r="C139" s="2">
        <v>14.56</v>
      </c>
      <c r="E139">
        <f t="shared" si="4"/>
        <v>35.284999999999997</v>
      </c>
      <c r="G139">
        <f t="shared" si="5"/>
        <v>6.5396877938623992E-3</v>
      </c>
    </row>
    <row r="140" spans="1:7" x14ac:dyDescent="0.25">
      <c r="A140" s="1">
        <v>45505.705555555556</v>
      </c>
      <c r="B140" s="2">
        <v>55.35</v>
      </c>
      <c r="C140" s="2">
        <v>14.75</v>
      </c>
      <c r="E140">
        <f t="shared" si="4"/>
        <v>35.049999999999997</v>
      </c>
      <c r="G140">
        <f t="shared" si="5"/>
        <v>-6.6823309721944823E-3</v>
      </c>
    </row>
    <row r="141" spans="1:7" x14ac:dyDescent="0.25">
      <c r="A141" s="1">
        <v>45506.705555555556</v>
      </c>
      <c r="B141" s="2">
        <v>54.3</v>
      </c>
      <c r="C141" s="2">
        <v>14.63</v>
      </c>
      <c r="E141">
        <f t="shared" si="4"/>
        <v>34.464999999999996</v>
      </c>
      <c r="G141">
        <f t="shared" si="5"/>
        <v>-1.683129714298395E-2</v>
      </c>
    </row>
    <row r="142" spans="1:7" x14ac:dyDescent="0.25">
      <c r="A142" s="1">
        <v>45509.705555555556</v>
      </c>
      <c r="B142" s="2">
        <v>45.65</v>
      </c>
      <c r="C142" s="2">
        <v>14.52</v>
      </c>
      <c r="E142">
        <f t="shared" si="4"/>
        <v>30.085000000000001</v>
      </c>
      <c r="G142">
        <f t="shared" si="5"/>
        <v>-0.13591760766529992</v>
      </c>
    </row>
    <row r="143" spans="1:7" x14ac:dyDescent="0.25">
      <c r="A143" s="1">
        <v>45510.705555555556</v>
      </c>
      <c r="B143" s="2">
        <v>47.5</v>
      </c>
      <c r="C143" s="2">
        <v>14.21</v>
      </c>
      <c r="E143">
        <f t="shared" si="4"/>
        <v>30.855</v>
      </c>
      <c r="G143">
        <f t="shared" si="5"/>
        <v>2.527210310071511E-2</v>
      </c>
    </row>
    <row r="144" spans="1:7" x14ac:dyDescent="0.25">
      <c r="A144" s="1">
        <v>45511.705555555556</v>
      </c>
      <c r="B144" s="2">
        <v>45.39</v>
      </c>
      <c r="C144" s="2">
        <v>14.1</v>
      </c>
      <c r="E144">
        <f t="shared" si="4"/>
        <v>29.745000000000001</v>
      </c>
      <c r="G144">
        <f t="shared" si="5"/>
        <v>-3.663776113316114E-2</v>
      </c>
    </row>
    <row r="145" spans="1:7" x14ac:dyDescent="0.25">
      <c r="A145" s="1">
        <v>45512.705555555556</v>
      </c>
      <c r="B145" s="2">
        <v>49.23</v>
      </c>
      <c r="C145" s="2">
        <v>14.2</v>
      </c>
      <c r="E145">
        <f t="shared" si="4"/>
        <v>31.714999999999996</v>
      </c>
      <c r="G145">
        <f t="shared" si="5"/>
        <v>6.4128704445991308E-2</v>
      </c>
    </row>
    <row r="146" spans="1:7" x14ac:dyDescent="0.25">
      <c r="A146" s="1">
        <v>45513.705555555556</v>
      </c>
      <c r="B146" s="2">
        <v>49.34</v>
      </c>
      <c r="C146" s="2">
        <v>14.08</v>
      </c>
      <c r="E146">
        <f t="shared" si="4"/>
        <v>31.71</v>
      </c>
      <c r="G146">
        <f t="shared" si="5"/>
        <v>-1.57666535604412E-4</v>
      </c>
    </row>
    <row r="147" spans="1:7" x14ac:dyDescent="0.25">
      <c r="A147" s="1">
        <v>45516.705555555556</v>
      </c>
      <c r="B147" s="2">
        <v>48.27</v>
      </c>
      <c r="C147" s="2">
        <v>14.28</v>
      </c>
      <c r="E147">
        <f t="shared" si="4"/>
        <v>31.275000000000002</v>
      </c>
      <c r="G147">
        <f t="shared" si="5"/>
        <v>-1.3813032197281062E-2</v>
      </c>
    </row>
    <row r="148" spans="1:7" x14ac:dyDescent="0.25">
      <c r="A148" s="1">
        <v>45517.705555555556</v>
      </c>
      <c r="B148" s="2">
        <v>49</v>
      </c>
      <c r="C148" s="2">
        <v>14.13</v>
      </c>
      <c r="E148">
        <f t="shared" si="4"/>
        <v>31.565000000000001</v>
      </c>
      <c r="G148">
        <f t="shared" si="5"/>
        <v>9.2298554666140221E-3</v>
      </c>
    </row>
    <row r="149" spans="1:7" x14ac:dyDescent="0.25">
      <c r="A149" s="1">
        <v>45518.705555555556</v>
      </c>
      <c r="B149" s="2">
        <v>47.85</v>
      </c>
      <c r="C149" s="2">
        <v>14.05</v>
      </c>
      <c r="E149">
        <f t="shared" si="4"/>
        <v>30.950000000000003</v>
      </c>
      <c r="G149">
        <f t="shared" si="5"/>
        <v>-1.9675912688983738E-2</v>
      </c>
    </row>
    <row r="150" spans="1:7" x14ac:dyDescent="0.25">
      <c r="A150" s="1">
        <v>45519.705555555556</v>
      </c>
      <c r="B150" s="2">
        <v>46.68</v>
      </c>
      <c r="C150" s="2">
        <v>14.15</v>
      </c>
      <c r="E150">
        <f t="shared" si="4"/>
        <v>30.414999999999999</v>
      </c>
      <c r="G150">
        <f t="shared" si="5"/>
        <v>-1.7437091357936529E-2</v>
      </c>
    </row>
    <row r="151" spans="1:7" x14ac:dyDescent="0.25">
      <c r="A151" s="1">
        <v>45520.705555555556</v>
      </c>
      <c r="B151" s="2">
        <v>48.02</v>
      </c>
      <c r="C151" s="2">
        <v>14.43</v>
      </c>
      <c r="E151">
        <f t="shared" si="4"/>
        <v>31.225000000000001</v>
      </c>
      <c r="G151">
        <f t="shared" si="5"/>
        <v>2.628314823897281E-2</v>
      </c>
    </row>
    <row r="152" spans="1:7" x14ac:dyDescent="0.25">
      <c r="A152" s="1">
        <v>45523.705555555556</v>
      </c>
      <c r="B152" s="2">
        <v>47.21</v>
      </c>
      <c r="C152" s="2">
        <v>14.25</v>
      </c>
      <c r="E152">
        <f t="shared" si="4"/>
        <v>30.73</v>
      </c>
      <c r="G152">
        <f t="shared" si="5"/>
        <v>-1.5979679869248069E-2</v>
      </c>
    </row>
    <row r="153" spans="1:7" x14ac:dyDescent="0.25">
      <c r="A153" s="1">
        <v>45524.705555555556</v>
      </c>
      <c r="B153" s="2">
        <v>48.1</v>
      </c>
      <c r="C153" s="2">
        <v>14.47</v>
      </c>
      <c r="E153">
        <f t="shared" si="4"/>
        <v>31.285</v>
      </c>
      <c r="G153">
        <f t="shared" si="5"/>
        <v>1.7899373307933605E-2</v>
      </c>
    </row>
    <row r="154" spans="1:7" x14ac:dyDescent="0.25">
      <c r="A154" s="1">
        <v>45525.705555555556</v>
      </c>
      <c r="B154" s="2">
        <v>49.5</v>
      </c>
      <c r="C154" s="2">
        <v>14.48</v>
      </c>
      <c r="E154">
        <f t="shared" si="4"/>
        <v>31.990000000000002</v>
      </c>
      <c r="G154">
        <f t="shared" si="5"/>
        <v>2.2284604511099867E-2</v>
      </c>
    </row>
    <row r="155" spans="1:7" x14ac:dyDescent="0.25">
      <c r="A155" s="1">
        <v>45526.705555555556</v>
      </c>
      <c r="B155" s="2">
        <v>49</v>
      </c>
      <c r="C155" s="2">
        <v>14.55</v>
      </c>
      <c r="E155">
        <f t="shared" si="4"/>
        <v>31.774999999999999</v>
      </c>
      <c r="G155">
        <f t="shared" si="5"/>
        <v>-6.7435368859089786E-3</v>
      </c>
    </row>
    <row r="156" spans="1:7" x14ac:dyDescent="0.25">
      <c r="A156" s="1">
        <v>45527.705555555556</v>
      </c>
      <c r="B156" s="2">
        <v>50.9</v>
      </c>
      <c r="C156" s="2">
        <v>14.46</v>
      </c>
      <c r="E156">
        <f t="shared" si="4"/>
        <v>32.68</v>
      </c>
      <c r="G156">
        <f t="shared" si="5"/>
        <v>2.808345291628446E-2</v>
      </c>
    </row>
    <row r="157" spans="1:7" x14ac:dyDescent="0.25">
      <c r="A157" s="1">
        <v>45530.705555555556</v>
      </c>
      <c r="B157" s="2">
        <v>50.51</v>
      </c>
      <c r="C157" s="2">
        <v>14.55</v>
      </c>
      <c r="E157">
        <f t="shared" si="4"/>
        <v>32.53</v>
      </c>
      <c r="G157">
        <f t="shared" si="5"/>
        <v>-4.6005295065419966E-3</v>
      </c>
    </row>
    <row r="158" spans="1:7" x14ac:dyDescent="0.25">
      <c r="A158" s="1">
        <v>45531.705555555556</v>
      </c>
      <c r="B158" s="2">
        <v>49.44</v>
      </c>
      <c r="C158" s="2">
        <v>14.62</v>
      </c>
      <c r="E158">
        <f t="shared" si="4"/>
        <v>32.03</v>
      </c>
      <c r="G158">
        <f t="shared" si="5"/>
        <v>-1.5489776864193283E-2</v>
      </c>
    </row>
    <row r="159" spans="1:7" x14ac:dyDescent="0.25">
      <c r="A159" s="1">
        <v>45532.705555555556</v>
      </c>
      <c r="B159" s="2">
        <v>47.86</v>
      </c>
      <c r="C159" s="2">
        <v>14.62</v>
      </c>
      <c r="E159">
        <f t="shared" si="4"/>
        <v>31.24</v>
      </c>
      <c r="G159">
        <f t="shared" si="5"/>
        <v>-2.4973638649581669E-2</v>
      </c>
    </row>
    <row r="160" spans="1:7" x14ac:dyDescent="0.25">
      <c r="A160" s="1">
        <v>45533.705555555556</v>
      </c>
      <c r="B160" s="2">
        <v>48.5</v>
      </c>
      <c r="C160" s="2">
        <v>14.94</v>
      </c>
      <c r="E160">
        <f t="shared" si="4"/>
        <v>31.72</v>
      </c>
      <c r="G160">
        <f t="shared" si="5"/>
        <v>1.5248071795162138E-2</v>
      </c>
    </row>
    <row r="161" spans="1:7" x14ac:dyDescent="0.25">
      <c r="A161" s="1">
        <v>45534.705555555556</v>
      </c>
      <c r="B161" s="2">
        <v>48.35</v>
      </c>
      <c r="C161" s="2">
        <v>14.82</v>
      </c>
      <c r="E161">
        <f t="shared" si="4"/>
        <v>31.585000000000001</v>
      </c>
      <c r="G161">
        <f t="shared" si="5"/>
        <v>-4.2650724159835045E-3</v>
      </c>
    </row>
    <row r="162" spans="1:7" x14ac:dyDescent="0.25">
      <c r="A162" s="1">
        <v>45537.705555555556</v>
      </c>
      <c r="B162" s="2">
        <v>48</v>
      </c>
      <c r="C162" s="2">
        <v>14.9</v>
      </c>
      <c r="E162">
        <f t="shared" si="4"/>
        <v>31.45</v>
      </c>
      <c r="G162">
        <f t="shared" si="5"/>
        <v>-4.2833412042142015E-3</v>
      </c>
    </row>
    <row r="163" spans="1:7" x14ac:dyDescent="0.25">
      <c r="A163" s="1">
        <v>45538.705555555556</v>
      </c>
      <c r="B163" s="2">
        <v>47.57</v>
      </c>
      <c r="C163" s="2">
        <v>14.77</v>
      </c>
      <c r="E163">
        <f t="shared" si="4"/>
        <v>31.17</v>
      </c>
      <c r="G163">
        <f t="shared" si="5"/>
        <v>-8.942889367203789E-3</v>
      </c>
    </row>
    <row r="164" spans="1:7" x14ac:dyDescent="0.25">
      <c r="A164" s="1">
        <v>45539.705555555556</v>
      </c>
      <c r="B164" s="2">
        <v>47.08</v>
      </c>
      <c r="C164" s="2">
        <v>14.78</v>
      </c>
      <c r="E164">
        <f t="shared" si="4"/>
        <v>30.93</v>
      </c>
      <c r="G164">
        <f t="shared" si="5"/>
        <v>-7.7295070822675513E-3</v>
      </c>
    </row>
    <row r="165" spans="1:7" x14ac:dyDescent="0.25">
      <c r="A165" s="1">
        <v>45540.705555555556</v>
      </c>
      <c r="B165" s="2">
        <v>45.25</v>
      </c>
      <c r="C165" s="2">
        <v>14.73</v>
      </c>
      <c r="E165">
        <f t="shared" si="4"/>
        <v>29.990000000000002</v>
      </c>
      <c r="G165">
        <f t="shared" si="5"/>
        <v>-3.0862593936060483E-2</v>
      </c>
    </row>
    <row r="166" spans="1:7" x14ac:dyDescent="0.25">
      <c r="A166" s="1">
        <v>45541.705555555556</v>
      </c>
      <c r="B166" s="2">
        <v>43.66</v>
      </c>
      <c r="C166" s="2">
        <v>14.68</v>
      </c>
      <c r="E166">
        <f t="shared" si="4"/>
        <v>29.169999999999998</v>
      </c>
      <c r="G166">
        <f t="shared" si="5"/>
        <v>-2.7723208881287768E-2</v>
      </c>
    </row>
    <row r="167" spans="1:7" x14ac:dyDescent="0.25">
      <c r="A167" s="1">
        <v>45544.705555555556</v>
      </c>
      <c r="B167" s="2">
        <v>46.11</v>
      </c>
      <c r="C167" s="2">
        <v>14.68</v>
      </c>
      <c r="E167">
        <f t="shared" si="4"/>
        <v>30.395</v>
      </c>
      <c r="G167">
        <f t="shared" si="5"/>
        <v>4.113733732105572E-2</v>
      </c>
    </row>
    <row r="168" spans="1:7" x14ac:dyDescent="0.25">
      <c r="A168" s="1">
        <v>45545.705555555556</v>
      </c>
      <c r="B168" s="2">
        <v>47.43</v>
      </c>
      <c r="C168" s="2">
        <v>14.94</v>
      </c>
      <c r="E168">
        <f t="shared" si="4"/>
        <v>31.184999999999999</v>
      </c>
      <c r="G168">
        <f t="shared" si="5"/>
        <v>2.5659088777400012E-2</v>
      </c>
    </row>
    <row r="169" spans="1:7" x14ac:dyDescent="0.25">
      <c r="A169" s="1">
        <v>45546.705555555556</v>
      </c>
      <c r="B169" s="2">
        <v>46.82</v>
      </c>
      <c r="C169" s="2">
        <v>14.92</v>
      </c>
      <c r="E169">
        <f t="shared" si="4"/>
        <v>30.87</v>
      </c>
      <c r="G169">
        <f t="shared" si="5"/>
        <v>-1.0152371464017962E-2</v>
      </c>
    </row>
    <row r="170" spans="1:7" x14ac:dyDescent="0.25">
      <c r="A170" s="1">
        <v>45547.705555555556</v>
      </c>
      <c r="B170" s="2">
        <v>47.1</v>
      </c>
      <c r="C170" s="2">
        <v>15.1</v>
      </c>
      <c r="E170">
        <f t="shared" si="4"/>
        <v>31.1</v>
      </c>
      <c r="G170">
        <f t="shared" si="5"/>
        <v>7.4229806711204761E-3</v>
      </c>
    </row>
    <row r="171" spans="1:7" x14ac:dyDescent="0.25">
      <c r="A171" s="1">
        <v>45548.705555555556</v>
      </c>
      <c r="B171" s="2">
        <v>47.78</v>
      </c>
      <c r="C171" s="2">
        <v>15.11</v>
      </c>
      <c r="E171">
        <f t="shared" si="4"/>
        <v>31.445</v>
      </c>
      <c r="G171">
        <f t="shared" si="5"/>
        <v>1.1032168810278244E-2</v>
      </c>
    </row>
    <row r="172" spans="1:7" x14ac:dyDescent="0.25">
      <c r="A172" s="1">
        <v>45551.705555555556</v>
      </c>
      <c r="B172" s="2">
        <v>45.93</v>
      </c>
      <c r="C172" s="2">
        <v>14.94</v>
      </c>
      <c r="E172">
        <f t="shared" si="4"/>
        <v>30.434999999999999</v>
      </c>
      <c r="G172">
        <f t="shared" si="5"/>
        <v>-3.2646726049578953E-2</v>
      </c>
    </row>
    <row r="173" spans="1:7" x14ac:dyDescent="0.25">
      <c r="A173" s="1">
        <v>45552.705555555556</v>
      </c>
      <c r="B173" s="2">
        <v>47.09</v>
      </c>
      <c r="C173" s="2">
        <v>14.81</v>
      </c>
      <c r="E173">
        <f t="shared" si="4"/>
        <v>30.950000000000003</v>
      </c>
      <c r="G173">
        <f t="shared" si="5"/>
        <v>1.6779737184717428E-2</v>
      </c>
    </row>
    <row r="174" spans="1:7" x14ac:dyDescent="0.25">
      <c r="A174" s="1">
        <v>45553.705555555556</v>
      </c>
      <c r="B174" s="2">
        <v>46.5</v>
      </c>
      <c r="C174" s="2">
        <v>14.61</v>
      </c>
      <c r="E174">
        <f t="shared" si="4"/>
        <v>30.555</v>
      </c>
      <c r="G174">
        <f t="shared" si="5"/>
        <v>-1.2844660783726361E-2</v>
      </c>
    </row>
    <row r="175" spans="1:7" x14ac:dyDescent="0.25">
      <c r="A175" s="1">
        <v>45554.705555555556</v>
      </c>
      <c r="B175" s="2">
        <v>48.6</v>
      </c>
      <c r="C175" s="2">
        <v>14.76</v>
      </c>
      <c r="E175">
        <f t="shared" si="4"/>
        <v>31.68</v>
      </c>
      <c r="G175">
        <f t="shared" si="5"/>
        <v>3.6157228599346364E-2</v>
      </c>
    </row>
    <row r="176" spans="1:7" x14ac:dyDescent="0.25">
      <c r="A176" s="1">
        <v>45555.705555555556</v>
      </c>
      <c r="B176" s="2">
        <v>49.47</v>
      </c>
      <c r="C176" s="2">
        <v>15.2</v>
      </c>
      <c r="E176">
        <f t="shared" si="4"/>
        <v>32.335000000000001</v>
      </c>
      <c r="G176">
        <f t="shared" si="5"/>
        <v>2.0464667952331143E-2</v>
      </c>
    </row>
    <row r="177" spans="1:7" x14ac:dyDescent="0.25">
      <c r="A177" s="1">
        <v>45558.705555555556</v>
      </c>
      <c r="B177" s="2">
        <v>50.36</v>
      </c>
      <c r="C177" s="2">
        <v>15.24</v>
      </c>
      <c r="E177">
        <f t="shared" si="4"/>
        <v>32.799999999999997</v>
      </c>
      <c r="G177">
        <f t="shared" si="5"/>
        <v>1.4278280491541928E-2</v>
      </c>
    </row>
    <row r="178" spans="1:7" x14ac:dyDescent="0.25">
      <c r="A178" s="1">
        <v>45559.705555555556</v>
      </c>
      <c r="B178" s="2">
        <v>49.85</v>
      </c>
      <c r="C178" s="2">
        <v>15.25</v>
      </c>
      <c r="E178">
        <f t="shared" si="4"/>
        <v>32.549999999999997</v>
      </c>
      <c r="G178">
        <f t="shared" si="5"/>
        <v>-7.6511467355197503E-3</v>
      </c>
    </row>
    <row r="179" spans="1:7" x14ac:dyDescent="0.25">
      <c r="A179" s="1">
        <v>45560.705555555556</v>
      </c>
      <c r="B179" s="2">
        <v>49.5</v>
      </c>
      <c r="C179" s="2">
        <v>15.29</v>
      </c>
      <c r="E179">
        <f t="shared" si="4"/>
        <v>32.394999999999996</v>
      </c>
      <c r="G179">
        <f t="shared" si="5"/>
        <v>-4.7732787526576599E-3</v>
      </c>
    </row>
    <row r="180" spans="1:7" x14ac:dyDescent="0.25">
      <c r="A180" s="1">
        <v>45561.705555555556</v>
      </c>
      <c r="B180" s="2">
        <v>50.29</v>
      </c>
      <c r="C180" s="2">
        <v>15.27</v>
      </c>
      <c r="E180">
        <f t="shared" si="4"/>
        <v>32.78</v>
      </c>
      <c r="G180">
        <f t="shared" si="5"/>
        <v>1.1814483413763274E-2</v>
      </c>
    </row>
    <row r="181" spans="1:7" x14ac:dyDescent="0.25">
      <c r="A181" s="1">
        <v>45562.705555555556</v>
      </c>
      <c r="B181" s="2">
        <v>51.21</v>
      </c>
      <c r="C181" s="2">
        <v>15.13</v>
      </c>
      <c r="E181">
        <f t="shared" si="4"/>
        <v>33.17</v>
      </c>
      <c r="G181">
        <f t="shared" si="5"/>
        <v>1.1827279643277542E-2</v>
      </c>
    </row>
    <row r="182" spans="1:7" x14ac:dyDescent="0.25">
      <c r="A182" s="1">
        <v>45565.705555555556</v>
      </c>
      <c r="B182" s="2">
        <v>49.65</v>
      </c>
      <c r="C182" s="2">
        <v>15.05</v>
      </c>
      <c r="E182">
        <f t="shared" si="4"/>
        <v>32.35</v>
      </c>
      <c r="G182">
        <f t="shared" si="5"/>
        <v>-2.5031832012051468E-2</v>
      </c>
    </row>
    <row r="183" spans="1:7" x14ac:dyDescent="0.25">
      <c r="A183" s="1">
        <v>45566.705555555556</v>
      </c>
      <c r="B183" s="2">
        <v>48.44</v>
      </c>
      <c r="C183" s="2">
        <v>15.25</v>
      </c>
      <c r="E183">
        <f t="shared" si="4"/>
        <v>31.844999999999999</v>
      </c>
      <c r="G183">
        <f t="shared" si="5"/>
        <v>-1.5733637123580543E-2</v>
      </c>
    </row>
    <row r="184" spans="1:7" x14ac:dyDescent="0.25">
      <c r="A184" s="1">
        <v>45567.705555555556</v>
      </c>
      <c r="B184" s="2">
        <v>47</v>
      </c>
      <c r="C184" s="2">
        <v>15.19</v>
      </c>
      <c r="E184">
        <f t="shared" si="4"/>
        <v>31.094999999999999</v>
      </c>
      <c r="G184">
        <f t="shared" si="5"/>
        <v>-2.383334926747652E-2</v>
      </c>
    </row>
    <row r="185" spans="1:7" x14ac:dyDescent="0.25">
      <c r="A185" s="1">
        <v>45568.705555555556</v>
      </c>
      <c r="B185" s="2">
        <v>47.3</v>
      </c>
      <c r="C185" s="2">
        <v>15.33</v>
      </c>
      <c r="E185">
        <f t="shared" si="4"/>
        <v>31.314999999999998</v>
      </c>
      <c r="G185">
        <f t="shared" si="5"/>
        <v>7.0501814215234472E-3</v>
      </c>
    </row>
    <row r="186" spans="1:7" x14ac:dyDescent="0.25">
      <c r="A186" s="1">
        <v>45569.705555555556</v>
      </c>
      <c r="B186" s="2">
        <v>48.43</v>
      </c>
      <c r="C186" s="2">
        <v>15.2</v>
      </c>
      <c r="E186">
        <f t="shared" si="4"/>
        <v>31.814999999999998</v>
      </c>
      <c r="G186">
        <f t="shared" si="5"/>
        <v>1.5840660707379307E-2</v>
      </c>
    </row>
    <row r="187" spans="1:7" x14ac:dyDescent="0.25">
      <c r="A187" s="1">
        <v>45572.705555555556</v>
      </c>
      <c r="B187" s="2">
        <v>49.3</v>
      </c>
      <c r="C187" s="2">
        <v>15.22</v>
      </c>
      <c r="E187">
        <f t="shared" si="4"/>
        <v>32.26</v>
      </c>
      <c r="G187">
        <f t="shared" si="5"/>
        <v>1.3890196012307295E-2</v>
      </c>
    </row>
    <row r="188" spans="1:7" x14ac:dyDescent="0.25">
      <c r="A188" s="1">
        <v>45573.705555555556</v>
      </c>
      <c r="B188" s="2">
        <v>49.09</v>
      </c>
      <c r="C188" s="2">
        <v>15.22</v>
      </c>
      <c r="E188">
        <f t="shared" si="4"/>
        <v>32.155000000000001</v>
      </c>
      <c r="G188">
        <f t="shared" si="5"/>
        <v>-3.260113110236273E-3</v>
      </c>
    </row>
    <row r="189" spans="1:7" x14ac:dyDescent="0.25">
      <c r="A189" s="1">
        <v>45574.705555555556</v>
      </c>
      <c r="B189" s="2">
        <v>48.71</v>
      </c>
      <c r="C189" s="2">
        <v>15.31</v>
      </c>
      <c r="E189">
        <f t="shared" si="4"/>
        <v>32.01</v>
      </c>
      <c r="G189">
        <f t="shared" si="5"/>
        <v>-4.5196056050548347E-3</v>
      </c>
    </row>
    <row r="190" spans="1:7" x14ac:dyDescent="0.25">
      <c r="A190" s="1">
        <v>45575.705555555556</v>
      </c>
      <c r="B190" s="2">
        <v>47.61</v>
      </c>
      <c r="C190" s="2">
        <v>15.43</v>
      </c>
      <c r="E190">
        <f t="shared" si="4"/>
        <v>31.52</v>
      </c>
      <c r="G190">
        <f t="shared" si="5"/>
        <v>-1.5426088992093278E-2</v>
      </c>
    </row>
    <row r="191" spans="1:7" x14ac:dyDescent="0.25">
      <c r="A191" s="1">
        <v>45576.705555555556</v>
      </c>
      <c r="B191" s="2">
        <v>50</v>
      </c>
      <c r="C191" s="2">
        <v>15.64</v>
      </c>
      <c r="E191">
        <f t="shared" si="4"/>
        <v>32.82</v>
      </c>
      <c r="G191">
        <f t="shared" si="5"/>
        <v>4.041582067226638E-2</v>
      </c>
    </row>
    <row r="192" spans="1:7" x14ac:dyDescent="0.25">
      <c r="A192" s="1">
        <v>45579.705555555556</v>
      </c>
      <c r="B192" s="2">
        <v>51.95</v>
      </c>
      <c r="C192" s="2">
        <v>15.56</v>
      </c>
      <c r="E192">
        <f t="shared" si="4"/>
        <v>33.755000000000003</v>
      </c>
      <c r="G192">
        <f t="shared" si="5"/>
        <v>2.8090468831888982E-2</v>
      </c>
    </row>
    <row r="193" spans="1:7" x14ac:dyDescent="0.25">
      <c r="A193" s="1">
        <v>45580.705555555556</v>
      </c>
      <c r="B193" s="2">
        <v>53.14</v>
      </c>
      <c r="C193" s="2">
        <v>15.79</v>
      </c>
      <c r="E193">
        <f t="shared" si="4"/>
        <v>34.465000000000003</v>
      </c>
      <c r="G193">
        <f t="shared" si="5"/>
        <v>2.0815761843781422E-2</v>
      </c>
    </row>
    <row r="194" spans="1:7" x14ac:dyDescent="0.25">
      <c r="A194" s="1">
        <v>45581.705555555556</v>
      </c>
      <c r="B194" s="2">
        <v>53.85</v>
      </c>
      <c r="C194" s="2">
        <v>15.9</v>
      </c>
      <c r="E194">
        <f t="shared" si="4"/>
        <v>34.875</v>
      </c>
      <c r="G194">
        <f t="shared" si="5"/>
        <v>1.1825923803914449E-2</v>
      </c>
    </row>
    <row r="195" spans="1:7" x14ac:dyDescent="0.25">
      <c r="A195" s="1">
        <v>45582.705555555556</v>
      </c>
      <c r="B195" s="2">
        <v>53.1</v>
      </c>
      <c r="C195" s="2">
        <v>16</v>
      </c>
      <c r="E195">
        <f t="shared" ref="E195:E258" si="6">AVERAGE(B195,C195)</f>
        <v>34.549999999999997</v>
      </c>
      <c r="G195">
        <f t="shared" si="5"/>
        <v>-9.3626899278509076E-3</v>
      </c>
    </row>
    <row r="196" spans="1:7" x14ac:dyDescent="0.25">
      <c r="A196" s="1">
        <v>45583.705555555556</v>
      </c>
      <c r="B196" s="2">
        <v>55</v>
      </c>
      <c r="C196" s="2">
        <v>16.260000000000002</v>
      </c>
      <c r="E196">
        <f t="shared" si="6"/>
        <v>35.630000000000003</v>
      </c>
      <c r="G196">
        <f t="shared" ref="G196:G259" si="7">LN(E196/E195)</f>
        <v>3.0780429404065973E-2</v>
      </c>
    </row>
    <row r="197" spans="1:7" x14ac:dyDescent="0.25">
      <c r="A197" s="1">
        <v>45586.705555555556</v>
      </c>
      <c r="B197" s="2">
        <v>54.8</v>
      </c>
      <c r="C197" s="2">
        <v>16.25</v>
      </c>
      <c r="E197">
        <f t="shared" si="6"/>
        <v>35.524999999999999</v>
      </c>
      <c r="G197">
        <f t="shared" si="7"/>
        <v>-2.9513056345804208E-3</v>
      </c>
    </row>
    <row r="198" spans="1:7" x14ac:dyDescent="0.25">
      <c r="A198" s="1">
        <v>45587.705555555556</v>
      </c>
      <c r="B198" s="2">
        <v>54.65</v>
      </c>
      <c r="C198" s="2">
        <v>16.440000000000001</v>
      </c>
      <c r="E198">
        <f t="shared" si="6"/>
        <v>35.545000000000002</v>
      </c>
      <c r="G198">
        <f t="shared" si="7"/>
        <v>5.6282539828212677E-4</v>
      </c>
    </row>
    <row r="199" spans="1:7" x14ac:dyDescent="0.25">
      <c r="A199" s="1">
        <v>45588.705555555556</v>
      </c>
      <c r="B199" s="2">
        <v>53.26</v>
      </c>
      <c r="C199" s="2">
        <v>16.239999999999998</v>
      </c>
      <c r="E199">
        <f t="shared" si="6"/>
        <v>34.75</v>
      </c>
      <c r="G199">
        <f t="shared" si="7"/>
        <v>-2.261992737064537E-2</v>
      </c>
    </row>
    <row r="200" spans="1:7" x14ac:dyDescent="0.25">
      <c r="A200" s="1">
        <v>45589.705555555556</v>
      </c>
      <c r="B200" s="2">
        <v>54.35</v>
      </c>
      <c r="C200" s="2">
        <v>16.27</v>
      </c>
      <c r="E200">
        <f t="shared" si="6"/>
        <v>35.31</v>
      </c>
      <c r="G200">
        <f t="shared" si="7"/>
        <v>1.5986637929494049E-2</v>
      </c>
    </row>
    <row r="201" spans="1:7" x14ac:dyDescent="0.25">
      <c r="A201" s="1">
        <v>45590.705555555556</v>
      </c>
      <c r="B201" s="2">
        <v>53.58</v>
      </c>
      <c r="C201" s="2">
        <v>16.43</v>
      </c>
      <c r="E201">
        <f t="shared" si="6"/>
        <v>35.004999999999995</v>
      </c>
      <c r="G201">
        <f t="shared" si="7"/>
        <v>-8.6753015111343378E-3</v>
      </c>
    </row>
    <row r="202" spans="1:7" x14ac:dyDescent="0.25">
      <c r="A202" s="1">
        <v>45593.705555555556</v>
      </c>
      <c r="B202" s="2">
        <v>55.46</v>
      </c>
      <c r="C202" s="2">
        <v>16.420000000000002</v>
      </c>
      <c r="E202">
        <f t="shared" si="6"/>
        <v>35.94</v>
      </c>
      <c r="G202">
        <f t="shared" si="7"/>
        <v>2.6359972926252195E-2</v>
      </c>
    </row>
    <row r="203" spans="1:7" x14ac:dyDescent="0.25">
      <c r="A203" s="1">
        <v>45594.705555555556</v>
      </c>
      <c r="B203" s="2">
        <v>57.82</v>
      </c>
      <c r="C203" s="2">
        <v>16.420000000000002</v>
      </c>
      <c r="E203">
        <f t="shared" si="6"/>
        <v>37.120000000000005</v>
      </c>
      <c r="G203">
        <f t="shared" si="7"/>
        <v>3.2305026562587075E-2</v>
      </c>
    </row>
    <row r="204" spans="1:7" x14ac:dyDescent="0.25">
      <c r="A204" s="1">
        <v>45595.705555555556</v>
      </c>
      <c r="B204" s="2">
        <v>57.88</v>
      </c>
      <c r="C204" s="2">
        <v>16.86</v>
      </c>
      <c r="E204">
        <f t="shared" si="6"/>
        <v>37.370000000000005</v>
      </c>
      <c r="G204">
        <f t="shared" si="7"/>
        <v>6.7123355793926795E-3</v>
      </c>
    </row>
    <row r="205" spans="1:7" x14ac:dyDescent="0.25">
      <c r="A205" s="1">
        <v>45596.705555555556</v>
      </c>
      <c r="B205" s="2">
        <v>56.81</v>
      </c>
      <c r="C205" s="2">
        <v>16.670000000000002</v>
      </c>
      <c r="E205">
        <f t="shared" si="6"/>
        <v>36.74</v>
      </c>
      <c r="G205">
        <f t="shared" si="7"/>
        <v>-1.7002163710412951E-2</v>
      </c>
    </row>
    <row r="206" spans="1:7" x14ac:dyDescent="0.25">
      <c r="A206" s="1">
        <v>45600.705555555556</v>
      </c>
      <c r="B206" s="2">
        <v>54.6</v>
      </c>
      <c r="C206" s="2">
        <v>16.62</v>
      </c>
      <c r="E206">
        <f t="shared" si="6"/>
        <v>35.61</v>
      </c>
      <c r="G206">
        <f t="shared" si="7"/>
        <v>-3.1239582497293351E-2</v>
      </c>
    </row>
    <row r="207" spans="1:7" x14ac:dyDescent="0.25">
      <c r="A207" s="1">
        <v>45601.705555555556</v>
      </c>
      <c r="B207" s="2">
        <v>56.25</v>
      </c>
      <c r="C207" s="2">
        <v>16.55</v>
      </c>
      <c r="E207">
        <f t="shared" si="6"/>
        <v>36.4</v>
      </c>
      <c r="G207">
        <f t="shared" si="7"/>
        <v>2.1942277353008587E-2</v>
      </c>
    </row>
    <row r="208" spans="1:7" x14ac:dyDescent="0.25">
      <c r="A208" s="1">
        <v>45602.705555555556</v>
      </c>
      <c r="B208" s="2">
        <v>60.06</v>
      </c>
      <c r="C208" s="2">
        <v>15.83</v>
      </c>
      <c r="E208">
        <f t="shared" si="6"/>
        <v>37.945</v>
      </c>
      <c r="G208">
        <f t="shared" si="7"/>
        <v>4.1568968213181227E-2</v>
      </c>
    </row>
    <row r="209" spans="1:7" x14ac:dyDescent="0.25">
      <c r="A209" s="1">
        <v>45603.705555555556</v>
      </c>
      <c r="B209" s="2">
        <v>61.65</v>
      </c>
      <c r="C209" s="2">
        <v>16.149999999999999</v>
      </c>
      <c r="E209">
        <f t="shared" si="6"/>
        <v>38.9</v>
      </c>
      <c r="G209">
        <f t="shared" si="7"/>
        <v>2.4856507768524456E-2</v>
      </c>
    </row>
    <row r="210" spans="1:7" x14ac:dyDescent="0.25">
      <c r="A210" s="1">
        <v>45604.705555555556</v>
      </c>
      <c r="B210" s="2">
        <v>62.58</v>
      </c>
      <c r="C210" s="2">
        <v>16.13</v>
      </c>
      <c r="E210">
        <f t="shared" si="6"/>
        <v>39.354999999999997</v>
      </c>
      <c r="G210">
        <f t="shared" si="7"/>
        <v>1.1628780970012768E-2</v>
      </c>
    </row>
    <row r="211" spans="1:7" x14ac:dyDescent="0.25">
      <c r="A211" s="1">
        <v>45607.705555555556</v>
      </c>
      <c r="B211" s="2">
        <v>70.5</v>
      </c>
      <c r="C211" s="2">
        <v>15.82</v>
      </c>
      <c r="E211">
        <f t="shared" si="6"/>
        <v>43.16</v>
      </c>
      <c r="G211">
        <f t="shared" si="7"/>
        <v>9.2291108795520452E-2</v>
      </c>
    </row>
    <row r="212" spans="1:7" x14ac:dyDescent="0.25">
      <c r="A212" s="1">
        <v>45608.705555555556</v>
      </c>
      <c r="B212" s="2">
        <v>71.599999999999994</v>
      </c>
      <c r="C212" s="2">
        <v>15.67</v>
      </c>
      <c r="E212">
        <f t="shared" si="6"/>
        <v>43.634999999999998</v>
      </c>
      <c r="G212">
        <f t="shared" si="7"/>
        <v>1.0945440225340837E-2</v>
      </c>
    </row>
    <row r="213" spans="1:7" x14ac:dyDescent="0.25">
      <c r="A213" s="1">
        <v>45609.705555555556</v>
      </c>
      <c r="B213" s="2">
        <v>71.069999999999993</v>
      </c>
      <c r="C213" s="2">
        <v>15.67</v>
      </c>
      <c r="E213">
        <f t="shared" si="6"/>
        <v>43.37</v>
      </c>
      <c r="G213">
        <f t="shared" si="7"/>
        <v>-6.0916227679997702E-3</v>
      </c>
    </row>
    <row r="214" spans="1:7" x14ac:dyDescent="0.25">
      <c r="A214" s="1">
        <v>45610.705555555556</v>
      </c>
      <c r="B214" s="2">
        <v>70.680000000000007</v>
      </c>
      <c r="C214" s="2">
        <v>15.61</v>
      </c>
      <c r="E214">
        <f t="shared" si="6"/>
        <v>43.145000000000003</v>
      </c>
      <c r="G214">
        <f t="shared" si="7"/>
        <v>-5.2014218870038535E-3</v>
      </c>
    </row>
    <row r="215" spans="1:7" x14ac:dyDescent="0.25">
      <c r="A215" s="1">
        <v>45614.705555555556</v>
      </c>
      <c r="B215" s="2">
        <v>74.28</v>
      </c>
      <c r="C215" s="2">
        <v>15.76</v>
      </c>
      <c r="E215">
        <f t="shared" si="6"/>
        <v>45.02</v>
      </c>
      <c r="G215">
        <f t="shared" si="7"/>
        <v>4.2540299518315373E-2</v>
      </c>
    </row>
    <row r="216" spans="1:7" x14ac:dyDescent="0.25">
      <c r="A216" s="1">
        <v>45615.705555555556</v>
      </c>
      <c r="B216" s="2">
        <v>75.650000000000006</v>
      </c>
      <c r="C216" s="2">
        <v>15.96</v>
      </c>
      <c r="E216">
        <f t="shared" si="6"/>
        <v>45.805000000000007</v>
      </c>
      <c r="G216">
        <f t="shared" si="7"/>
        <v>1.7286419988585846E-2</v>
      </c>
    </row>
    <row r="217" spans="1:7" x14ac:dyDescent="0.25">
      <c r="A217" s="1">
        <v>45617.705555555556</v>
      </c>
      <c r="B217" s="2">
        <v>80.709999999999994</v>
      </c>
      <c r="C217" s="2">
        <v>16.3</v>
      </c>
      <c r="E217">
        <f t="shared" si="6"/>
        <v>48.504999999999995</v>
      </c>
      <c r="G217">
        <f t="shared" si="7"/>
        <v>5.7273629946074565E-2</v>
      </c>
    </row>
    <row r="218" spans="1:7" x14ac:dyDescent="0.25">
      <c r="A218" s="1">
        <v>45618.705555555556</v>
      </c>
      <c r="B218" s="2">
        <v>81.56</v>
      </c>
      <c r="C218" s="2">
        <v>16.48</v>
      </c>
      <c r="E218">
        <f t="shared" si="6"/>
        <v>49.02</v>
      </c>
      <c r="G218">
        <f t="shared" si="7"/>
        <v>1.0561492686719789E-2</v>
      </c>
    </row>
    <row r="219" spans="1:7" x14ac:dyDescent="0.25">
      <c r="A219" s="1">
        <v>45621.705555555556</v>
      </c>
      <c r="B219" s="2">
        <v>79.790000000000006</v>
      </c>
      <c r="C219" s="2">
        <v>15.98</v>
      </c>
      <c r="E219">
        <f t="shared" si="6"/>
        <v>47.885000000000005</v>
      </c>
      <c r="G219">
        <f t="shared" si="7"/>
        <v>-2.3426075126383793E-2</v>
      </c>
    </row>
    <row r="220" spans="1:7" x14ac:dyDescent="0.25">
      <c r="A220" s="1">
        <v>45622.705555555556</v>
      </c>
      <c r="B220" s="2">
        <v>76.38</v>
      </c>
      <c r="C220" s="2">
        <v>16.05</v>
      </c>
      <c r="E220">
        <f t="shared" si="6"/>
        <v>46.214999999999996</v>
      </c>
      <c r="G220">
        <f t="shared" si="7"/>
        <v>-3.549788225684191E-2</v>
      </c>
    </row>
    <row r="221" spans="1:7" x14ac:dyDescent="0.25">
      <c r="A221" s="1">
        <v>45623.705555555556</v>
      </c>
      <c r="B221" s="2">
        <v>82.89</v>
      </c>
      <c r="C221" s="2">
        <v>16.399999999999999</v>
      </c>
      <c r="E221">
        <f t="shared" si="6"/>
        <v>49.644999999999996</v>
      </c>
      <c r="G221">
        <f t="shared" si="7"/>
        <v>7.1593259768816406E-2</v>
      </c>
    </row>
    <row r="222" spans="1:7" x14ac:dyDescent="0.25">
      <c r="A222" s="1">
        <v>45624.705555555556</v>
      </c>
      <c r="B222" s="2">
        <v>83</v>
      </c>
      <c r="C222" s="2">
        <v>16.55</v>
      </c>
      <c r="E222">
        <f t="shared" si="6"/>
        <v>49.774999999999999</v>
      </c>
      <c r="G222">
        <f t="shared" si="7"/>
        <v>2.6151694647025751E-3</v>
      </c>
    </row>
    <row r="223" spans="1:7" x14ac:dyDescent="0.25">
      <c r="A223" s="1">
        <v>45625.705555555556</v>
      </c>
      <c r="B223" s="2">
        <v>83.5</v>
      </c>
      <c r="C223" s="2">
        <v>16.670000000000002</v>
      </c>
      <c r="E223">
        <f t="shared" si="6"/>
        <v>50.085000000000001</v>
      </c>
      <c r="G223">
        <f t="shared" si="7"/>
        <v>6.2087121134675963E-3</v>
      </c>
    </row>
    <row r="224" spans="1:7" x14ac:dyDescent="0.25">
      <c r="A224" s="1">
        <v>45628.705555555556</v>
      </c>
      <c r="B224" s="2">
        <v>86.84</v>
      </c>
      <c r="C224" s="2">
        <v>16.79</v>
      </c>
      <c r="E224">
        <f t="shared" si="6"/>
        <v>51.814999999999998</v>
      </c>
      <c r="G224">
        <f t="shared" si="7"/>
        <v>3.3958120572453072E-2</v>
      </c>
    </row>
    <row r="225" spans="1:7" x14ac:dyDescent="0.25">
      <c r="A225" s="1">
        <v>45629.705555555556</v>
      </c>
      <c r="B225" s="2">
        <v>87.1</v>
      </c>
      <c r="C225" s="2">
        <v>16.760000000000002</v>
      </c>
      <c r="E225">
        <f t="shared" si="6"/>
        <v>51.93</v>
      </c>
      <c r="G225">
        <f t="shared" si="7"/>
        <v>2.2169752200468682E-3</v>
      </c>
    </row>
    <row r="226" spans="1:7" x14ac:dyDescent="0.25">
      <c r="A226" s="1">
        <v>45630.705555555556</v>
      </c>
      <c r="B226" s="2">
        <v>89.31</v>
      </c>
      <c r="C226" s="2">
        <v>16.78</v>
      </c>
      <c r="E226">
        <f t="shared" si="6"/>
        <v>53.045000000000002</v>
      </c>
      <c r="G226">
        <f t="shared" si="7"/>
        <v>2.1243952055007231E-2</v>
      </c>
    </row>
    <row r="227" spans="1:7" x14ac:dyDescent="0.25">
      <c r="A227" s="1">
        <v>45631.705555555556</v>
      </c>
      <c r="B227" s="2">
        <v>90.25</v>
      </c>
      <c r="C227" s="2">
        <v>16.57</v>
      </c>
      <c r="E227">
        <f t="shared" si="6"/>
        <v>53.41</v>
      </c>
      <c r="G227">
        <f t="shared" si="7"/>
        <v>6.857384440443896E-3</v>
      </c>
    </row>
    <row r="228" spans="1:7" x14ac:dyDescent="0.25">
      <c r="A228" s="1">
        <v>45632.705555555556</v>
      </c>
      <c r="B228" s="2">
        <v>92.75</v>
      </c>
      <c r="C228" s="2">
        <v>16.82</v>
      </c>
      <c r="E228">
        <f t="shared" si="6"/>
        <v>54.784999999999997</v>
      </c>
      <c r="G228">
        <f t="shared" si="7"/>
        <v>2.5418439505677664E-2</v>
      </c>
    </row>
    <row r="229" spans="1:7" x14ac:dyDescent="0.25">
      <c r="A229" s="1">
        <v>45635.705555555556</v>
      </c>
      <c r="B229" s="2">
        <v>88.5</v>
      </c>
      <c r="C229" s="2">
        <v>16.96</v>
      </c>
      <c r="E229">
        <f t="shared" si="6"/>
        <v>52.730000000000004</v>
      </c>
      <c r="G229">
        <f t="shared" si="7"/>
        <v>-3.8231880314978012E-2</v>
      </c>
    </row>
    <row r="230" spans="1:7" x14ac:dyDescent="0.25">
      <c r="A230" s="1">
        <v>45636.705555555556</v>
      </c>
      <c r="B230" s="2">
        <v>86.85</v>
      </c>
      <c r="C230" s="2">
        <v>17.09</v>
      </c>
      <c r="E230">
        <f t="shared" si="6"/>
        <v>51.97</v>
      </c>
      <c r="G230">
        <f t="shared" si="7"/>
        <v>-1.4517924522028044E-2</v>
      </c>
    </row>
    <row r="231" spans="1:7" x14ac:dyDescent="0.25">
      <c r="A231" s="1">
        <v>45637.705555555556</v>
      </c>
      <c r="B231" s="2">
        <v>89.11</v>
      </c>
      <c r="C231" s="2">
        <v>17</v>
      </c>
      <c r="E231">
        <f t="shared" si="6"/>
        <v>53.055</v>
      </c>
      <c r="G231">
        <f t="shared" si="7"/>
        <v>2.0662482305203213E-2</v>
      </c>
    </row>
    <row r="232" spans="1:7" x14ac:dyDescent="0.25">
      <c r="A232" s="1">
        <v>45638.705555555556</v>
      </c>
      <c r="B232" s="2">
        <v>89.4</v>
      </c>
      <c r="C232" s="2">
        <v>16.829999999999998</v>
      </c>
      <c r="E232">
        <f t="shared" si="6"/>
        <v>53.115000000000002</v>
      </c>
      <c r="G232">
        <f t="shared" si="7"/>
        <v>1.1302629064231249E-3</v>
      </c>
    </row>
    <row r="233" spans="1:7" x14ac:dyDescent="0.25">
      <c r="A233" s="1">
        <v>45639.705555555556</v>
      </c>
      <c r="B233" s="2">
        <v>91.64</v>
      </c>
      <c r="C233" s="2">
        <v>16.8</v>
      </c>
      <c r="E233">
        <f t="shared" si="6"/>
        <v>54.22</v>
      </c>
      <c r="G233">
        <f t="shared" si="7"/>
        <v>2.0590469838542756E-2</v>
      </c>
    </row>
    <row r="234" spans="1:7" x14ac:dyDescent="0.25">
      <c r="A234" s="1">
        <v>45642.705555555556</v>
      </c>
      <c r="B234" s="2">
        <v>96.8</v>
      </c>
      <c r="C234" s="2">
        <v>17.05</v>
      </c>
      <c r="E234">
        <f t="shared" si="6"/>
        <v>56.924999999999997</v>
      </c>
      <c r="G234">
        <f t="shared" si="7"/>
        <v>4.8684767879283768E-2</v>
      </c>
    </row>
    <row r="235" spans="1:7" x14ac:dyDescent="0.25">
      <c r="A235" s="1">
        <v>45643.705555555556</v>
      </c>
      <c r="B235" s="2">
        <v>96.98</v>
      </c>
      <c r="C235" s="2">
        <v>16.95</v>
      </c>
      <c r="E235">
        <f t="shared" si="6"/>
        <v>56.965000000000003</v>
      </c>
      <c r="G235">
        <f t="shared" si="7"/>
        <v>7.0243220027593127E-4</v>
      </c>
    </row>
    <row r="236" spans="1:7" x14ac:dyDescent="0.25">
      <c r="A236" s="1">
        <v>45644.705555555556</v>
      </c>
      <c r="B236" s="2">
        <v>94.25</v>
      </c>
      <c r="C236" s="2">
        <v>17.04</v>
      </c>
      <c r="E236">
        <f t="shared" si="6"/>
        <v>55.644999999999996</v>
      </c>
      <c r="G236">
        <f t="shared" si="7"/>
        <v>-2.3444817724690713E-2</v>
      </c>
    </row>
    <row r="237" spans="1:7" x14ac:dyDescent="0.25">
      <c r="A237" s="1">
        <v>45645.705555555556</v>
      </c>
      <c r="B237" s="2">
        <v>85.75</v>
      </c>
      <c r="C237" s="2">
        <v>16.72</v>
      </c>
      <c r="E237">
        <f t="shared" si="6"/>
        <v>51.234999999999999</v>
      </c>
      <c r="G237">
        <f t="shared" si="7"/>
        <v>-8.2569334173707154E-2</v>
      </c>
    </row>
    <row r="238" spans="1:7" x14ac:dyDescent="0.25">
      <c r="A238" s="1">
        <v>45646.705555555556</v>
      </c>
      <c r="B238" s="2">
        <v>85.61</v>
      </c>
      <c r="C238" s="2">
        <v>16.73</v>
      </c>
      <c r="E238">
        <f t="shared" si="6"/>
        <v>51.17</v>
      </c>
      <c r="G238">
        <f t="shared" si="7"/>
        <v>-1.269469434680719E-3</v>
      </c>
    </row>
    <row r="239" spans="1:7" x14ac:dyDescent="0.25">
      <c r="A239" s="1">
        <v>45649.705555555556</v>
      </c>
      <c r="B239" s="2">
        <v>84.78</v>
      </c>
      <c r="C239" s="2">
        <v>16.96</v>
      </c>
      <c r="E239">
        <f t="shared" si="6"/>
        <v>50.870000000000005</v>
      </c>
      <c r="G239">
        <f t="shared" si="7"/>
        <v>-5.88006398232673E-3</v>
      </c>
    </row>
    <row r="240" spans="1:7" x14ac:dyDescent="0.25">
      <c r="A240" s="1">
        <v>45652.705555555556</v>
      </c>
      <c r="B240" s="2">
        <v>85.34</v>
      </c>
      <c r="C240" s="2">
        <v>17.07</v>
      </c>
      <c r="E240">
        <f t="shared" si="6"/>
        <v>51.204999999999998</v>
      </c>
      <c r="G240">
        <f t="shared" si="7"/>
        <v>6.5638246927272126E-3</v>
      </c>
    </row>
    <row r="241" spans="1:7" x14ac:dyDescent="0.25">
      <c r="A241" s="1">
        <v>45653.705555555556</v>
      </c>
      <c r="B241" s="2">
        <v>84.71</v>
      </c>
      <c r="C241" s="2">
        <v>16.989999999999998</v>
      </c>
      <c r="E241">
        <f t="shared" si="6"/>
        <v>50.849999999999994</v>
      </c>
      <c r="G241">
        <f t="shared" si="7"/>
        <v>-6.9570610328320362E-3</v>
      </c>
    </row>
    <row r="242" spans="1:7" x14ac:dyDescent="0.25">
      <c r="A242" s="1">
        <v>45656.705555555556</v>
      </c>
      <c r="B242" s="2">
        <v>84.96</v>
      </c>
      <c r="C242" s="2">
        <v>16.89</v>
      </c>
      <c r="E242">
        <f t="shared" si="6"/>
        <v>50.924999999999997</v>
      </c>
      <c r="G242">
        <f t="shared" si="7"/>
        <v>1.4738396183005232E-3</v>
      </c>
    </row>
    <row r="243" spans="1:7" x14ac:dyDescent="0.25">
      <c r="A243" s="1">
        <v>45659.705555555556</v>
      </c>
      <c r="B243" s="2">
        <v>86.5</v>
      </c>
      <c r="C243" s="2">
        <v>17.14</v>
      </c>
      <c r="E243">
        <f t="shared" si="6"/>
        <v>51.82</v>
      </c>
      <c r="G243">
        <f t="shared" si="7"/>
        <v>1.7422213021094556E-2</v>
      </c>
    </row>
    <row r="244" spans="1:7" x14ac:dyDescent="0.25">
      <c r="A244" s="1">
        <v>45660.705555555556</v>
      </c>
      <c r="B244" s="2">
        <v>89.9</v>
      </c>
      <c r="C244" s="2">
        <v>17.11</v>
      </c>
      <c r="E244">
        <f t="shared" si="6"/>
        <v>53.505000000000003</v>
      </c>
      <c r="G244">
        <f t="shared" si="7"/>
        <v>3.1998932345000751E-2</v>
      </c>
    </row>
    <row r="245" spans="1:7" x14ac:dyDescent="0.25">
      <c r="A245" s="1">
        <v>45663.705555555556</v>
      </c>
      <c r="B245" s="2">
        <v>92.49</v>
      </c>
      <c r="C245" s="2">
        <v>16.899999999999999</v>
      </c>
      <c r="E245">
        <f t="shared" si="6"/>
        <v>54.694999999999993</v>
      </c>
      <c r="G245">
        <f t="shared" si="7"/>
        <v>2.1997190092789335E-2</v>
      </c>
    </row>
    <row r="246" spans="1:7" x14ac:dyDescent="0.25">
      <c r="A246" s="1">
        <v>45664.705555555556</v>
      </c>
      <c r="B246" s="2">
        <v>85.78</v>
      </c>
      <c r="C246" s="2">
        <v>16.940000000000001</v>
      </c>
      <c r="E246">
        <f t="shared" si="6"/>
        <v>51.36</v>
      </c>
      <c r="G246">
        <f t="shared" si="7"/>
        <v>-6.2912638190048234E-2</v>
      </c>
    </row>
    <row r="247" spans="1:7" x14ac:dyDescent="0.25">
      <c r="A247" s="1">
        <v>45665.705555555556</v>
      </c>
      <c r="B247" s="2">
        <v>83.7</v>
      </c>
      <c r="C247" s="2">
        <v>17.07</v>
      </c>
      <c r="E247">
        <f t="shared" si="6"/>
        <v>50.385000000000005</v>
      </c>
      <c r="G247">
        <f t="shared" si="7"/>
        <v>-1.9166147649339854E-2</v>
      </c>
    </row>
    <row r="248" spans="1:7" x14ac:dyDescent="0.25">
      <c r="A248" s="1">
        <v>45666.705555555556</v>
      </c>
      <c r="B248" s="2">
        <v>80.8</v>
      </c>
      <c r="C248" s="2">
        <v>17.02</v>
      </c>
      <c r="E248">
        <f t="shared" si="6"/>
        <v>48.91</v>
      </c>
      <c r="G248">
        <f t="shared" si="7"/>
        <v>-2.9711637181100078E-2</v>
      </c>
    </row>
    <row r="249" spans="1:7" x14ac:dyDescent="0.25">
      <c r="A249" s="1">
        <v>45667.705555555556</v>
      </c>
      <c r="B249" s="2">
        <v>83.8</v>
      </c>
      <c r="C249" s="2">
        <v>17.239999999999998</v>
      </c>
      <c r="E249">
        <f t="shared" si="6"/>
        <v>50.519999999999996</v>
      </c>
      <c r="G249">
        <f t="shared" si="7"/>
        <v>3.2387422931024486E-2</v>
      </c>
    </row>
    <row r="250" spans="1:7" x14ac:dyDescent="0.25">
      <c r="A250" s="1">
        <v>45670.705555555556</v>
      </c>
      <c r="B250" s="2">
        <v>81.8</v>
      </c>
      <c r="C250" s="2">
        <v>17.02</v>
      </c>
      <c r="E250">
        <f t="shared" si="6"/>
        <v>49.41</v>
      </c>
      <c r="G250">
        <f t="shared" si="7"/>
        <v>-2.221646462463173E-2</v>
      </c>
    </row>
    <row r="251" spans="1:7" x14ac:dyDescent="0.25">
      <c r="A251" s="1">
        <v>45671.705555555556</v>
      </c>
      <c r="B251" s="2">
        <v>84.04</v>
      </c>
      <c r="C251" s="2">
        <v>16.989999999999998</v>
      </c>
      <c r="E251">
        <f t="shared" si="6"/>
        <v>50.515000000000001</v>
      </c>
      <c r="G251">
        <f t="shared" si="7"/>
        <v>2.2117489022037036E-2</v>
      </c>
    </row>
    <row r="252" spans="1:7" x14ac:dyDescent="0.25">
      <c r="A252" s="1">
        <v>45672.705555555556</v>
      </c>
      <c r="B252" s="2">
        <v>86.68</v>
      </c>
      <c r="C252" s="2">
        <v>17</v>
      </c>
      <c r="E252">
        <f t="shared" si="6"/>
        <v>51.84</v>
      </c>
      <c r="G252">
        <f t="shared" si="7"/>
        <v>2.5891730164323636E-2</v>
      </c>
    </row>
    <row r="253" spans="1:7" x14ac:dyDescent="0.25">
      <c r="A253" s="1">
        <v>45673.705555555556</v>
      </c>
      <c r="B253" s="2">
        <v>89</v>
      </c>
      <c r="C253" s="2">
        <v>17.22</v>
      </c>
      <c r="E253">
        <f t="shared" si="6"/>
        <v>53.11</v>
      </c>
      <c r="G253">
        <f t="shared" si="7"/>
        <v>2.4203182390288489E-2</v>
      </c>
    </row>
    <row r="254" spans="1:7" x14ac:dyDescent="0.25">
      <c r="A254" s="1">
        <v>45674.705555555556</v>
      </c>
      <c r="B254" s="2">
        <v>93.37</v>
      </c>
      <c r="C254" s="2">
        <v>17.2</v>
      </c>
      <c r="E254">
        <f t="shared" si="6"/>
        <v>55.285000000000004</v>
      </c>
      <c r="G254">
        <f t="shared" si="7"/>
        <v>4.0136389560057405E-2</v>
      </c>
    </row>
    <row r="255" spans="1:7" x14ac:dyDescent="0.25">
      <c r="A255" s="1">
        <v>45677.705555555556</v>
      </c>
      <c r="B255" s="2">
        <v>89.83</v>
      </c>
      <c r="C255" s="2">
        <v>17.2</v>
      </c>
      <c r="E255">
        <f t="shared" si="6"/>
        <v>53.515000000000001</v>
      </c>
      <c r="G255">
        <f t="shared" si="7"/>
        <v>-3.2539635558026206E-2</v>
      </c>
    </row>
    <row r="256" spans="1:7" x14ac:dyDescent="0.25">
      <c r="A256" s="1">
        <v>45678.705555555556</v>
      </c>
      <c r="B256" s="2">
        <v>92.91</v>
      </c>
      <c r="C256" s="2">
        <v>17.32</v>
      </c>
      <c r="E256">
        <f t="shared" si="6"/>
        <v>55.114999999999995</v>
      </c>
      <c r="G256">
        <f t="shared" si="7"/>
        <v>2.9459922978939776E-2</v>
      </c>
    </row>
    <row r="257" spans="1:7" x14ac:dyDescent="0.25">
      <c r="A257" s="1">
        <v>45679.705555555556</v>
      </c>
      <c r="B257" s="2">
        <v>90.78</v>
      </c>
      <c r="C257" s="2">
        <v>17.170000000000002</v>
      </c>
      <c r="E257">
        <f t="shared" si="6"/>
        <v>53.975000000000001</v>
      </c>
      <c r="G257">
        <f t="shared" si="7"/>
        <v>-2.0900935014407582E-2</v>
      </c>
    </row>
    <row r="258" spans="1:7" x14ac:dyDescent="0.25">
      <c r="A258" s="1">
        <v>45680.705555555556</v>
      </c>
      <c r="B258" s="2">
        <v>89</v>
      </c>
      <c r="C258" s="2">
        <v>17.079999999999998</v>
      </c>
      <c r="E258">
        <f t="shared" si="6"/>
        <v>53.04</v>
      </c>
      <c r="G258">
        <f t="shared" si="7"/>
        <v>-1.7474630523263996E-2</v>
      </c>
    </row>
    <row r="259" spans="1:7" x14ac:dyDescent="0.25">
      <c r="A259" s="1">
        <v>45681.705555555556</v>
      </c>
      <c r="B259" s="2">
        <v>91.5</v>
      </c>
      <c r="C259" s="2">
        <v>17.190000000000001</v>
      </c>
      <c r="E259">
        <f t="shared" ref="E259:E322" si="8">AVERAGE(B259,C259)</f>
        <v>54.344999999999999</v>
      </c>
      <c r="G259">
        <f t="shared" si="7"/>
        <v>2.4306267137543091E-2</v>
      </c>
    </row>
    <row r="260" spans="1:7" x14ac:dyDescent="0.25">
      <c r="A260" s="1">
        <v>45684.705555555556</v>
      </c>
      <c r="B260" s="2">
        <v>87.75</v>
      </c>
      <c r="C260" s="2">
        <v>16.97</v>
      </c>
      <c r="E260">
        <f t="shared" si="8"/>
        <v>52.36</v>
      </c>
      <c r="G260">
        <f t="shared" ref="G260:G323" si="9">LN(E260/E259)</f>
        <v>-3.7209671973451007E-2</v>
      </c>
    </row>
    <row r="261" spans="1:7" x14ac:dyDescent="0.25">
      <c r="A261" s="1">
        <v>45685.705555555556</v>
      </c>
      <c r="B261" s="2">
        <v>86.48</v>
      </c>
      <c r="C261" s="2">
        <v>17</v>
      </c>
      <c r="E261">
        <f t="shared" si="8"/>
        <v>51.74</v>
      </c>
      <c r="G261">
        <f t="shared" si="9"/>
        <v>-1.1911764283816075E-2</v>
      </c>
    </row>
    <row r="262" spans="1:7" x14ac:dyDescent="0.25">
      <c r="A262" s="1">
        <v>45686.705555555556</v>
      </c>
      <c r="B262" s="2">
        <v>88.11</v>
      </c>
      <c r="C262" s="2">
        <v>16.93</v>
      </c>
      <c r="E262">
        <f t="shared" si="8"/>
        <v>52.519999999999996</v>
      </c>
      <c r="G262">
        <f t="shared" si="9"/>
        <v>1.496287267671232E-2</v>
      </c>
    </row>
    <row r="263" spans="1:7" x14ac:dyDescent="0.25">
      <c r="A263" s="1">
        <v>45687.705555555556</v>
      </c>
      <c r="B263" s="2">
        <v>89.58</v>
      </c>
      <c r="C263" s="2">
        <v>17.22</v>
      </c>
      <c r="E263">
        <f t="shared" si="8"/>
        <v>53.4</v>
      </c>
      <c r="G263">
        <f t="shared" si="9"/>
        <v>1.6616696531553867E-2</v>
      </c>
    </row>
    <row r="264" spans="1:7" x14ac:dyDescent="0.25">
      <c r="A264" s="1">
        <v>45688.705555555556</v>
      </c>
      <c r="B264" s="2">
        <v>86.97</v>
      </c>
      <c r="C264" s="2">
        <v>17.16</v>
      </c>
      <c r="E264">
        <f t="shared" si="8"/>
        <v>52.064999999999998</v>
      </c>
      <c r="G264">
        <f t="shared" si="9"/>
        <v>-2.5317807984289897E-2</v>
      </c>
    </row>
    <row r="265" spans="1:7" x14ac:dyDescent="0.25">
      <c r="A265" s="1">
        <v>45691.705555555556</v>
      </c>
      <c r="B265" s="2">
        <v>83.01</v>
      </c>
      <c r="C265" s="2">
        <v>17.16</v>
      </c>
      <c r="E265">
        <f t="shared" si="8"/>
        <v>50.085000000000001</v>
      </c>
      <c r="G265">
        <f t="shared" si="9"/>
        <v>-3.8771375918131651E-2</v>
      </c>
    </row>
    <row r="266" spans="1:7" x14ac:dyDescent="0.25">
      <c r="A266" s="1">
        <v>45692.705555555556</v>
      </c>
      <c r="B266" s="2">
        <v>80.290000000000006</v>
      </c>
      <c r="C266" s="2">
        <v>17.170000000000002</v>
      </c>
      <c r="E266">
        <f t="shared" si="8"/>
        <v>48.730000000000004</v>
      </c>
      <c r="G266">
        <f t="shared" si="9"/>
        <v>-2.7426705208312675E-2</v>
      </c>
    </row>
    <row r="267" spans="1:7" x14ac:dyDescent="0.25">
      <c r="A267" s="1">
        <v>45693.705555555556</v>
      </c>
      <c r="B267" s="2">
        <v>79.8</v>
      </c>
      <c r="C267" s="2">
        <v>17.41</v>
      </c>
      <c r="E267">
        <f t="shared" si="8"/>
        <v>48.604999999999997</v>
      </c>
      <c r="G267">
        <f t="shared" si="9"/>
        <v>-2.5684505823826624E-3</v>
      </c>
    </row>
    <row r="268" spans="1:7" x14ac:dyDescent="0.25">
      <c r="A268" s="1">
        <v>45694.705555555556</v>
      </c>
      <c r="B268" s="2">
        <v>77.989999999999995</v>
      </c>
      <c r="C268" s="2">
        <v>17.25</v>
      </c>
      <c r="E268">
        <f t="shared" si="8"/>
        <v>47.62</v>
      </c>
      <c r="G268">
        <f t="shared" si="9"/>
        <v>-2.0473565214315585E-2</v>
      </c>
    </row>
    <row r="269" spans="1:7" x14ac:dyDescent="0.25">
      <c r="A269" s="1">
        <v>45695.705555555556</v>
      </c>
      <c r="B269" s="2">
        <v>77.349999999999994</v>
      </c>
      <c r="C269" s="2">
        <v>17.420000000000002</v>
      </c>
      <c r="E269">
        <f t="shared" si="8"/>
        <v>47.384999999999998</v>
      </c>
      <c r="G269">
        <f t="shared" si="9"/>
        <v>-4.9471181365584923E-3</v>
      </c>
    </row>
    <row r="270" spans="1:7" x14ac:dyDescent="0.25">
      <c r="A270" s="1">
        <v>45698.705555555556</v>
      </c>
      <c r="B270" s="2">
        <v>78.290000000000006</v>
      </c>
      <c r="C270" s="2">
        <v>17.62</v>
      </c>
      <c r="E270">
        <f t="shared" si="8"/>
        <v>47.955000000000005</v>
      </c>
      <c r="G270">
        <f t="shared" si="9"/>
        <v>1.1957348257756302E-2</v>
      </c>
    </row>
    <row r="271" spans="1:7" x14ac:dyDescent="0.25">
      <c r="A271" s="1">
        <v>45699.705555555556</v>
      </c>
      <c r="B271" s="2">
        <v>76.599999999999994</v>
      </c>
      <c r="C271" s="2">
        <v>17.510000000000002</v>
      </c>
      <c r="E271">
        <f t="shared" si="8"/>
        <v>47.055</v>
      </c>
      <c r="G271">
        <f t="shared" si="9"/>
        <v>-1.8945940869163454E-2</v>
      </c>
    </row>
    <row r="272" spans="1:7" x14ac:dyDescent="0.25">
      <c r="A272" s="1">
        <v>45700.705555555556</v>
      </c>
      <c r="B272" s="2">
        <v>78.33</v>
      </c>
      <c r="C272" s="2">
        <v>17.510000000000002</v>
      </c>
      <c r="E272">
        <f t="shared" si="8"/>
        <v>47.92</v>
      </c>
      <c r="G272">
        <f t="shared" si="9"/>
        <v>1.8215823496442775E-2</v>
      </c>
    </row>
    <row r="273" spans="1:7" x14ac:dyDescent="0.25">
      <c r="A273" s="1">
        <v>45701.705555555556</v>
      </c>
      <c r="B273" s="2">
        <v>77.64</v>
      </c>
      <c r="C273" s="2">
        <v>17.690000000000001</v>
      </c>
      <c r="E273">
        <f t="shared" si="8"/>
        <v>47.664999999999999</v>
      </c>
      <c r="G273">
        <f t="shared" si="9"/>
        <v>-5.3355778616524458E-3</v>
      </c>
    </row>
    <row r="274" spans="1:7" x14ac:dyDescent="0.25">
      <c r="A274" s="1">
        <v>45702.705555555556</v>
      </c>
      <c r="B274" s="2">
        <v>77.900000000000006</v>
      </c>
      <c r="C274" s="2">
        <v>17.23</v>
      </c>
      <c r="E274">
        <f t="shared" si="8"/>
        <v>47.565000000000005</v>
      </c>
      <c r="G274">
        <f t="shared" si="9"/>
        <v>-2.1001792871210003E-3</v>
      </c>
    </row>
    <row r="275" spans="1:7" x14ac:dyDescent="0.25">
      <c r="A275" s="1">
        <v>45705.705555555556</v>
      </c>
      <c r="B275" s="2">
        <v>76.92</v>
      </c>
      <c r="C275" s="2">
        <v>17.399999999999999</v>
      </c>
      <c r="E275">
        <f t="shared" si="8"/>
        <v>47.16</v>
      </c>
      <c r="G275">
        <f t="shared" si="9"/>
        <v>-8.5511209892503645E-3</v>
      </c>
    </row>
    <row r="276" spans="1:7" x14ac:dyDescent="0.25">
      <c r="A276" s="1">
        <v>45706.705555555556</v>
      </c>
      <c r="B276" s="2">
        <v>74.650000000000006</v>
      </c>
      <c r="C276" s="2">
        <v>17.48</v>
      </c>
      <c r="E276">
        <f t="shared" si="8"/>
        <v>46.065000000000005</v>
      </c>
      <c r="G276">
        <f t="shared" si="9"/>
        <v>-2.3492633108274659E-2</v>
      </c>
    </row>
    <row r="277" spans="1:7" x14ac:dyDescent="0.25">
      <c r="A277" s="1">
        <v>45707.705555555556</v>
      </c>
      <c r="B277" s="2">
        <v>76.900000000000006</v>
      </c>
      <c r="C277" s="2">
        <v>17.61</v>
      </c>
      <c r="E277">
        <f t="shared" si="8"/>
        <v>47.255000000000003</v>
      </c>
      <c r="G277">
        <f t="shared" si="9"/>
        <v>2.5505025886124098E-2</v>
      </c>
    </row>
    <row r="278" spans="1:7" x14ac:dyDescent="0.25">
      <c r="A278" s="1">
        <v>45708.705555555556</v>
      </c>
      <c r="B278" s="2">
        <v>78</v>
      </c>
      <c r="C278" s="2">
        <v>17.55</v>
      </c>
      <c r="E278">
        <f t="shared" si="8"/>
        <v>47.774999999999999</v>
      </c>
      <c r="G278">
        <f t="shared" si="9"/>
        <v>1.094402167931721E-2</v>
      </c>
    </row>
    <row r="279" spans="1:7" x14ac:dyDescent="0.25">
      <c r="A279" s="1">
        <v>45709.705555555556</v>
      </c>
      <c r="B279" s="2">
        <v>75.819999999999993</v>
      </c>
      <c r="C279" s="2">
        <v>17.63</v>
      </c>
      <c r="E279">
        <f t="shared" si="8"/>
        <v>46.724999999999994</v>
      </c>
      <c r="G279">
        <f t="shared" si="9"/>
        <v>-2.222313678471035E-2</v>
      </c>
    </row>
    <row r="280" spans="1:7" x14ac:dyDescent="0.25">
      <c r="A280" s="1">
        <v>45712.705555555556</v>
      </c>
      <c r="B280" s="2">
        <v>74.650000000000006</v>
      </c>
      <c r="C280" s="2">
        <v>17.850000000000001</v>
      </c>
      <c r="E280">
        <f t="shared" si="8"/>
        <v>46.25</v>
      </c>
      <c r="G280">
        <f t="shared" si="9"/>
        <v>-1.021788938319218E-2</v>
      </c>
    </row>
    <row r="281" spans="1:7" x14ac:dyDescent="0.25">
      <c r="A281" s="1">
        <v>45713.705555555556</v>
      </c>
      <c r="B281" s="2">
        <v>69.45</v>
      </c>
      <c r="C281" s="2">
        <v>17.559999999999999</v>
      </c>
      <c r="E281">
        <f t="shared" si="8"/>
        <v>43.505000000000003</v>
      </c>
      <c r="G281">
        <f t="shared" si="9"/>
        <v>-6.1185589940446379E-2</v>
      </c>
    </row>
    <row r="282" spans="1:7" x14ac:dyDescent="0.25">
      <c r="A282" s="1">
        <v>45714.705555555556</v>
      </c>
      <c r="B282" s="2">
        <v>67.67</v>
      </c>
      <c r="C282" s="2">
        <v>17.760000000000002</v>
      </c>
      <c r="E282">
        <f t="shared" si="8"/>
        <v>42.715000000000003</v>
      </c>
      <c r="G282">
        <f t="shared" si="9"/>
        <v>-1.8325727414405732E-2</v>
      </c>
    </row>
    <row r="283" spans="1:7" x14ac:dyDescent="0.25">
      <c r="A283" s="1">
        <v>45715.705555555556</v>
      </c>
      <c r="B283" s="2">
        <v>67.42</v>
      </c>
      <c r="C283" s="2">
        <v>17.55</v>
      </c>
      <c r="E283">
        <f t="shared" si="8"/>
        <v>42.484999999999999</v>
      </c>
      <c r="G283">
        <f t="shared" si="9"/>
        <v>-5.3990741480773857E-3</v>
      </c>
    </row>
    <row r="284" spans="1:7" x14ac:dyDescent="0.25">
      <c r="A284" s="1">
        <v>45716.705555555556</v>
      </c>
      <c r="B284" s="2">
        <v>69.14</v>
      </c>
      <c r="C284" s="2">
        <v>17.59</v>
      </c>
      <c r="E284">
        <f t="shared" si="8"/>
        <v>43.365000000000002</v>
      </c>
      <c r="G284">
        <f t="shared" si="9"/>
        <v>2.0501591680914505E-2</v>
      </c>
    </row>
    <row r="285" spans="1:7" x14ac:dyDescent="0.25">
      <c r="A285" s="1">
        <v>45721.705555555556</v>
      </c>
      <c r="B285" s="2">
        <v>71.41</v>
      </c>
      <c r="C285" s="2">
        <v>17.63</v>
      </c>
      <c r="E285">
        <f t="shared" si="8"/>
        <v>44.519999999999996</v>
      </c>
      <c r="G285">
        <f t="shared" si="9"/>
        <v>2.6285862270924845E-2</v>
      </c>
    </row>
    <row r="286" spans="1:7" x14ac:dyDescent="0.25">
      <c r="A286" s="1">
        <v>45722.705555555556</v>
      </c>
      <c r="B286" s="2">
        <v>71.150000000000006</v>
      </c>
      <c r="C286" s="2">
        <v>17.57</v>
      </c>
      <c r="E286">
        <f t="shared" si="8"/>
        <v>44.36</v>
      </c>
      <c r="G286">
        <f t="shared" si="9"/>
        <v>-3.600363925177747E-3</v>
      </c>
    </row>
    <row r="287" spans="1:7" x14ac:dyDescent="0.25">
      <c r="A287" s="1">
        <v>45723.705555555556</v>
      </c>
      <c r="B287" s="2">
        <v>69.5</v>
      </c>
      <c r="C287" s="2">
        <v>17.649999999999999</v>
      </c>
      <c r="E287">
        <f t="shared" si="8"/>
        <v>43.575000000000003</v>
      </c>
      <c r="G287">
        <f t="shared" si="9"/>
        <v>-1.7854571076081537E-2</v>
      </c>
    </row>
    <row r="288" spans="1:7" x14ac:dyDescent="0.25">
      <c r="A288" s="1">
        <v>45726.705555555556</v>
      </c>
      <c r="B288" s="2">
        <v>62.45</v>
      </c>
      <c r="C288" s="2">
        <v>17.670000000000002</v>
      </c>
      <c r="E288">
        <f t="shared" si="8"/>
        <v>40.06</v>
      </c>
      <c r="G288">
        <f t="shared" si="9"/>
        <v>-8.410526116841241E-2</v>
      </c>
    </row>
    <row r="289" spans="1:7" x14ac:dyDescent="0.25">
      <c r="A289" s="1">
        <v>45727.705555555556</v>
      </c>
      <c r="B289" s="2">
        <v>65.599999999999994</v>
      </c>
      <c r="C289" s="2">
        <v>17.77</v>
      </c>
      <c r="E289">
        <f t="shared" si="8"/>
        <v>41.684999999999995</v>
      </c>
      <c r="G289">
        <f t="shared" si="9"/>
        <v>3.9763021624904311E-2</v>
      </c>
    </row>
    <row r="290" spans="1:7" x14ac:dyDescent="0.25">
      <c r="A290" s="1">
        <v>45728.705555555556</v>
      </c>
      <c r="B290" s="2">
        <v>65.010000000000005</v>
      </c>
      <c r="C290" s="2">
        <v>17.82</v>
      </c>
      <c r="E290">
        <f t="shared" si="8"/>
        <v>41.415000000000006</v>
      </c>
      <c r="G290">
        <f t="shared" si="9"/>
        <v>-6.4982178123490133E-3</v>
      </c>
    </row>
    <row r="291" spans="1:7" x14ac:dyDescent="0.25">
      <c r="A291" s="1">
        <v>45729.705555555556</v>
      </c>
      <c r="B291" s="2">
        <v>63.2</v>
      </c>
      <c r="C291" s="2">
        <v>18.12</v>
      </c>
      <c r="E291">
        <f t="shared" si="8"/>
        <v>40.660000000000004</v>
      </c>
      <c r="G291">
        <f t="shared" si="9"/>
        <v>-1.8398325850026966E-2</v>
      </c>
    </row>
    <row r="292" spans="1:7" x14ac:dyDescent="0.25">
      <c r="A292" s="1">
        <v>45730.705555555556</v>
      </c>
      <c r="B292" s="2">
        <v>65.7</v>
      </c>
      <c r="C292" s="2">
        <v>17.940000000000001</v>
      </c>
      <c r="E292">
        <f t="shared" si="8"/>
        <v>41.82</v>
      </c>
      <c r="G292">
        <f t="shared" si="9"/>
        <v>2.8129885800286879E-2</v>
      </c>
    </row>
    <row r="293" spans="1:7" x14ac:dyDescent="0.25">
      <c r="A293" s="1">
        <v>45733.705555555556</v>
      </c>
      <c r="B293" s="2">
        <v>64.569999999999993</v>
      </c>
      <c r="C293" s="2">
        <v>17.87</v>
      </c>
      <c r="E293">
        <f t="shared" si="8"/>
        <v>41.22</v>
      </c>
      <c r="G293">
        <f t="shared" si="9"/>
        <v>-1.4451118538174598E-2</v>
      </c>
    </row>
    <row r="294" spans="1:7" x14ac:dyDescent="0.25">
      <c r="A294" s="1">
        <v>45734.705555555556</v>
      </c>
      <c r="B294" s="2">
        <v>63.28</v>
      </c>
      <c r="C294" s="2">
        <v>18.04</v>
      </c>
      <c r="E294">
        <f t="shared" si="8"/>
        <v>40.659999999999997</v>
      </c>
      <c r="G294">
        <f t="shared" si="9"/>
        <v>-1.3678767262112404E-2</v>
      </c>
    </row>
    <row r="295" spans="1:7" x14ac:dyDescent="0.25">
      <c r="A295" s="1">
        <v>45735.705555555556</v>
      </c>
      <c r="B295" s="2">
        <v>66.180000000000007</v>
      </c>
      <c r="C295" s="2">
        <v>18.03</v>
      </c>
      <c r="E295">
        <f t="shared" si="8"/>
        <v>42.105000000000004</v>
      </c>
      <c r="G295">
        <f t="shared" si="9"/>
        <v>3.4921690281755055E-2</v>
      </c>
    </row>
    <row r="296" spans="1:7" x14ac:dyDescent="0.25">
      <c r="A296" s="1">
        <v>45736.705555555556</v>
      </c>
      <c r="B296" s="2">
        <v>65.150000000000006</v>
      </c>
      <c r="C296" s="2">
        <v>18.09</v>
      </c>
      <c r="E296">
        <f t="shared" si="8"/>
        <v>41.620000000000005</v>
      </c>
      <c r="G296">
        <f t="shared" si="9"/>
        <v>-1.1585677516467113E-2</v>
      </c>
    </row>
    <row r="297" spans="1:7" x14ac:dyDescent="0.25">
      <c r="A297" s="1">
        <v>45737.705555555556</v>
      </c>
      <c r="B297" s="2">
        <v>65.349999999999994</v>
      </c>
      <c r="C297" s="2">
        <v>18.07</v>
      </c>
      <c r="E297">
        <f t="shared" si="8"/>
        <v>41.709999999999994</v>
      </c>
      <c r="G297">
        <f t="shared" si="9"/>
        <v>2.1600872433652544E-3</v>
      </c>
    </row>
    <row r="298" spans="1:7" x14ac:dyDescent="0.25">
      <c r="A298" s="1">
        <v>45740.705555555556</v>
      </c>
      <c r="B298" s="2">
        <v>69.599999999999994</v>
      </c>
      <c r="C298" s="2">
        <v>18.11</v>
      </c>
      <c r="E298">
        <f t="shared" si="8"/>
        <v>43.854999999999997</v>
      </c>
      <c r="G298">
        <f t="shared" si="9"/>
        <v>5.0147829194491067E-2</v>
      </c>
    </row>
    <row r="299" spans="1:7" x14ac:dyDescent="0.25">
      <c r="A299" s="1">
        <v>45741.705555555556</v>
      </c>
      <c r="B299" s="2">
        <v>68.8</v>
      </c>
      <c r="C299" s="2">
        <v>18.059999999999999</v>
      </c>
      <c r="E299">
        <f t="shared" si="8"/>
        <v>43.43</v>
      </c>
      <c r="G299">
        <f t="shared" si="9"/>
        <v>-9.7382908566144132E-3</v>
      </c>
    </row>
    <row r="300" spans="1:7" x14ac:dyDescent="0.25">
      <c r="A300" s="1">
        <v>45742.705555555556</v>
      </c>
      <c r="B300" s="2">
        <v>67.52</v>
      </c>
      <c r="C300" s="2">
        <v>18.100000000000001</v>
      </c>
      <c r="E300">
        <f t="shared" si="8"/>
        <v>42.81</v>
      </c>
      <c r="G300">
        <f t="shared" si="9"/>
        <v>-1.4378726389875701E-2</v>
      </c>
    </row>
    <row r="301" spans="1:7" x14ac:dyDescent="0.25">
      <c r="A301" s="1">
        <v>45743.705555555556</v>
      </c>
      <c r="B301" s="2">
        <v>68.2</v>
      </c>
      <c r="C301" s="2">
        <v>18.399999999999999</v>
      </c>
      <c r="E301">
        <f t="shared" si="8"/>
        <v>43.3</v>
      </c>
      <c r="G301">
        <f t="shared" si="9"/>
        <v>1.138091485158923E-2</v>
      </c>
    </row>
    <row r="302" spans="1:7" x14ac:dyDescent="0.25">
      <c r="A302" s="1">
        <v>45744.705555555556</v>
      </c>
      <c r="B302" s="2">
        <v>65.209999999999994</v>
      </c>
      <c r="C302" s="2">
        <v>18.579999999999998</v>
      </c>
      <c r="E302">
        <f t="shared" si="8"/>
        <v>41.894999999999996</v>
      </c>
      <c r="G302">
        <f t="shared" si="9"/>
        <v>-3.2986146943194461E-2</v>
      </c>
    </row>
    <row r="303" spans="1:7" x14ac:dyDescent="0.25">
      <c r="A303" s="1">
        <v>45747.705555555556</v>
      </c>
      <c r="B303" s="2">
        <v>63.6</v>
      </c>
      <c r="C303" s="2">
        <v>18.670000000000002</v>
      </c>
      <c r="E303">
        <f t="shared" si="8"/>
        <v>41.135000000000005</v>
      </c>
      <c r="G303">
        <f t="shared" si="9"/>
        <v>-1.8307147444355902E-2</v>
      </c>
    </row>
    <row r="304" spans="1:7" x14ac:dyDescent="0.25">
      <c r="A304" s="1">
        <v>45748.705555555556</v>
      </c>
      <c r="B304" s="2">
        <v>65.180000000000007</v>
      </c>
      <c r="C304" s="2">
        <v>18.57</v>
      </c>
      <c r="E304">
        <f t="shared" si="8"/>
        <v>41.875</v>
      </c>
      <c r="G304">
        <f t="shared" si="9"/>
        <v>1.7829649524336754E-2</v>
      </c>
    </row>
    <row r="305" spans="1:7" x14ac:dyDescent="0.25">
      <c r="A305" s="1">
        <v>45749.705555555556</v>
      </c>
      <c r="B305" s="2">
        <v>66.5</v>
      </c>
      <c r="C305" s="2">
        <v>18.649999999999999</v>
      </c>
      <c r="E305">
        <f t="shared" si="8"/>
        <v>42.575000000000003</v>
      </c>
      <c r="G305">
        <f t="shared" si="9"/>
        <v>1.6578236403521466E-2</v>
      </c>
    </row>
    <row r="306" spans="1:7" x14ac:dyDescent="0.25">
      <c r="A306" s="1">
        <v>45750.705555555556</v>
      </c>
      <c r="B306" s="2">
        <v>61.46</v>
      </c>
      <c r="C306" s="2">
        <v>18.32</v>
      </c>
      <c r="E306">
        <f t="shared" si="8"/>
        <v>39.89</v>
      </c>
      <c r="G306">
        <f t="shared" si="9"/>
        <v>-6.5141560631436793E-2</v>
      </c>
    </row>
    <row r="307" spans="1:7" x14ac:dyDescent="0.25">
      <c r="A307" s="1">
        <v>45751.705555555556</v>
      </c>
      <c r="B307" s="2">
        <v>65.5</v>
      </c>
      <c r="C307" s="2">
        <v>18.53</v>
      </c>
      <c r="E307">
        <f t="shared" si="8"/>
        <v>42.015000000000001</v>
      </c>
      <c r="G307">
        <f t="shared" si="9"/>
        <v>5.1901031462866211E-2</v>
      </c>
    </row>
    <row r="308" spans="1:7" x14ac:dyDescent="0.25">
      <c r="A308" s="1">
        <v>45754.705555555556</v>
      </c>
      <c r="B308" s="2">
        <v>60.87</v>
      </c>
      <c r="C308" s="2">
        <v>18.37</v>
      </c>
      <c r="E308">
        <f t="shared" si="8"/>
        <v>39.619999999999997</v>
      </c>
      <c r="G308">
        <f t="shared" si="9"/>
        <v>-5.8692656109776732E-2</v>
      </c>
    </row>
    <row r="309" spans="1:7" x14ac:dyDescent="0.25">
      <c r="A309" s="1">
        <v>45755.705555555556</v>
      </c>
      <c r="B309" s="2">
        <v>60.33</v>
      </c>
      <c r="C309" s="2">
        <v>18.73</v>
      </c>
      <c r="E309">
        <f t="shared" si="8"/>
        <v>39.53</v>
      </c>
      <c r="G309">
        <f t="shared" si="9"/>
        <v>-2.2741639618106815E-3</v>
      </c>
    </row>
    <row r="310" spans="1:7" x14ac:dyDescent="0.25">
      <c r="A310" s="1">
        <v>45756.705555555556</v>
      </c>
      <c r="B310" s="2">
        <v>63.78</v>
      </c>
      <c r="C310" s="2">
        <v>18.93</v>
      </c>
      <c r="E310">
        <f t="shared" si="8"/>
        <v>41.355000000000004</v>
      </c>
      <c r="G310">
        <f t="shared" si="9"/>
        <v>4.5133455835275692E-2</v>
      </c>
    </row>
    <row r="311" spans="1:7" x14ac:dyDescent="0.25">
      <c r="A311" s="1">
        <v>45757.705555555556</v>
      </c>
      <c r="B311" s="2">
        <v>61.55</v>
      </c>
      <c r="C311" s="2">
        <v>19.579999999999998</v>
      </c>
      <c r="E311">
        <f t="shared" si="8"/>
        <v>40.564999999999998</v>
      </c>
      <c r="G311">
        <f t="shared" si="9"/>
        <v>-1.9287707296841622E-2</v>
      </c>
    </row>
    <row r="312" spans="1:7" x14ac:dyDescent="0.25">
      <c r="A312" s="1">
        <v>45758.705555555556</v>
      </c>
      <c r="B312" s="2">
        <v>64.72</v>
      </c>
      <c r="C312" s="2">
        <v>19.850000000000001</v>
      </c>
      <c r="E312">
        <f t="shared" si="8"/>
        <v>42.284999999999997</v>
      </c>
      <c r="G312">
        <f t="shared" si="9"/>
        <v>4.1526787387157295E-2</v>
      </c>
    </row>
    <row r="313" spans="1:7" x14ac:dyDescent="0.25">
      <c r="A313" s="1">
        <v>45761.705555555556</v>
      </c>
      <c r="B313" s="2">
        <v>65.459999999999994</v>
      </c>
      <c r="C313" s="2">
        <v>19.64</v>
      </c>
      <c r="E313">
        <f t="shared" si="8"/>
        <v>42.55</v>
      </c>
      <c r="G313">
        <f t="shared" si="9"/>
        <v>6.2474417851976476E-3</v>
      </c>
    </row>
    <row r="314" spans="1:7" x14ac:dyDescent="0.25">
      <c r="A314" s="1">
        <v>45762.705555555556</v>
      </c>
      <c r="B314" s="2">
        <v>65.45</v>
      </c>
      <c r="C314" s="2">
        <v>19.91</v>
      </c>
      <c r="E314">
        <f t="shared" si="8"/>
        <v>42.68</v>
      </c>
      <c r="G314">
        <f t="shared" si="9"/>
        <v>3.0505714141695114E-3</v>
      </c>
    </row>
    <row r="315" spans="1:7" x14ac:dyDescent="0.25">
      <c r="A315" s="1">
        <v>45763.705555555556</v>
      </c>
      <c r="B315" s="2">
        <v>65.3</v>
      </c>
      <c r="C315" s="2">
        <v>20.47</v>
      </c>
      <c r="E315">
        <f t="shared" si="8"/>
        <v>42.884999999999998</v>
      </c>
      <c r="G315">
        <f t="shared" si="9"/>
        <v>4.7916880088320632E-3</v>
      </c>
    </row>
    <row r="316" spans="1:7" x14ac:dyDescent="0.25">
      <c r="A316" s="1">
        <v>45764.705555555556</v>
      </c>
      <c r="B316" s="2">
        <v>65.099999999999994</v>
      </c>
      <c r="C316" s="2">
        <v>20.18</v>
      </c>
      <c r="E316">
        <f t="shared" si="8"/>
        <v>42.64</v>
      </c>
      <c r="G316">
        <f t="shared" si="9"/>
        <v>-5.7293345847956442E-3</v>
      </c>
    </row>
    <row r="317" spans="1:7" x14ac:dyDescent="0.25">
      <c r="A317" s="1">
        <v>45769.705555555556</v>
      </c>
      <c r="B317" s="2">
        <v>68.7</v>
      </c>
      <c r="C317" s="2">
        <v>20.239999999999998</v>
      </c>
      <c r="E317">
        <f t="shared" si="8"/>
        <v>44.47</v>
      </c>
      <c r="G317">
        <f t="shared" si="9"/>
        <v>4.2022024665015943E-2</v>
      </c>
    </row>
    <row r="318" spans="1:7" x14ac:dyDescent="0.25">
      <c r="A318" s="1">
        <v>45770.705555555556</v>
      </c>
      <c r="B318" s="2">
        <v>70.400000000000006</v>
      </c>
      <c r="C318" s="2">
        <v>19.71</v>
      </c>
      <c r="E318">
        <f t="shared" si="8"/>
        <v>45.055000000000007</v>
      </c>
      <c r="G318">
        <f t="shared" si="9"/>
        <v>1.3069161164395677E-2</v>
      </c>
    </row>
    <row r="319" spans="1:7" x14ac:dyDescent="0.25">
      <c r="A319" s="1">
        <v>45771.705555555556</v>
      </c>
      <c r="B319" s="2">
        <v>70.5</v>
      </c>
      <c r="C319" s="2">
        <v>19.89</v>
      </c>
      <c r="E319">
        <f t="shared" si="8"/>
        <v>45.195</v>
      </c>
      <c r="G319">
        <f t="shared" si="9"/>
        <v>3.1024955633735473E-3</v>
      </c>
    </row>
    <row r="320" spans="1:7" x14ac:dyDescent="0.25">
      <c r="A320" s="1">
        <v>45772.705555555556</v>
      </c>
      <c r="B320" s="2">
        <v>71.150000000000006</v>
      </c>
      <c r="C320" s="2">
        <v>19.690000000000001</v>
      </c>
      <c r="E320">
        <f t="shared" si="8"/>
        <v>45.42</v>
      </c>
      <c r="G320">
        <f t="shared" si="9"/>
        <v>4.9660754270381639E-3</v>
      </c>
    </row>
    <row r="321" spans="1:7" x14ac:dyDescent="0.25">
      <c r="A321" s="1">
        <v>45775.705555555556</v>
      </c>
      <c r="B321" s="2">
        <v>70.11</v>
      </c>
      <c r="C321" s="2">
        <v>19.829999999999998</v>
      </c>
      <c r="E321">
        <f t="shared" si="8"/>
        <v>44.97</v>
      </c>
      <c r="G321">
        <f t="shared" si="9"/>
        <v>-9.9569358947964506E-3</v>
      </c>
    </row>
    <row r="322" spans="1:7" x14ac:dyDescent="0.25">
      <c r="A322" s="1">
        <v>45776.705555555556</v>
      </c>
      <c r="B322" s="2">
        <v>70.67</v>
      </c>
      <c r="C322" s="2">
        <v>19.579999999999998</v>
      </c>
      <c r="E322">
        <f t="shared" si="8"/>
        <v>45.125</v>
      </c>
      <c r="G322">
        <f t="shared" si="9"/>
        <v>3.440815870429082E-3</v>
      </c>
    </row>
    <row r="323" spans="1:7" x14ac:dyDescent="0.25">
      <c r="A323" s="1">
        <v>45777.705555555556</v>
      </c>
      <c r="B323" s="2">
        <v>70.52</v>
      </c>
      <c r="C323" s="2">
        <v>19.600000000000001</v>
      </c>
      <c r="E323">
        <f t="shared" ref="E323:E386" si="10">AVERAGE(B323,C323)</f>
        <v>45.06</v>
      </c>
      <c r="G323">
        <f t="shared" si="9"/>
        <v>-1.4414816489466099E-3</v>
      </c>
    </row>
    <row r="324" spans="1:7" x14ac:dyDescent="0.25">
      <c r="A324" s="1">
        <v>45779.705555555556</v>
      </c>
      <c r="B324" s="2">
        <v>71.27</v>
      </c>
      <c r="C324" s="2">
        <v>19.12</v>
      </c>
      <c r="E324">
        <f t="shared" si="10"/>
        <v>45.195</v>
      </c>
      <c r="G324">
        <f t="shared" ref="G324:G387" si="11">LN(E324/E323)</f>
        <v>2.9915262462758573E-3</v>
      </c>
    </row>
    <row r="325" spans="1:7" x14ac:dyDescent="0.25">
      <c r="A325" s="1">
        <v>45782.705555555556</v>
      </c>
      <c r="B325" s="2">
        <v>70.2</v>
      </c>
      <c r="C325" s="2">
        <v>19.82</v>
      </c>
      <c r="E325">
        <f t="shared" si="10"/>
        <v>45.010000000000005</v>
      </c>
      <c r="G325">
        <f t="shared" si="11"/>
        <v>-4.101773945532813E-3</v>
      </c>
    </row>
    <row r="326" spans="1:7" x14ac:dyDescent="0.25">
      <c r="A326" s="1">
        <v>45783.705555555556</v>
      </c>
      <c r="B326" s="2">
        <v>71.099999999999994</v>
      </c>
      <c r="C326" s="2">
        <v>20.43</v>
      </c>
      <c r="E326">
        <f t="shared" si="10"/>
        <v>45.765000000000001</v>
      </c>
      <c r="G326">
        <f t="shared" si="11"/>
        <v>1.6634919531901167E-2</v>
      </c>
    </row>
    <row r="327" spans="1:7" x14ac:dyDescent="0.25">
      <c r="A327" s="1">
        <v>45784.705555555556</v>
      </c>
      <c r="B327" s="2">
        <v>72.010000000000005</v>
      </c>
      <c r="C327" s="2">
        <v>20.27</v>
      </c>
      <c r="E327">
        <f t="shared" si="10"/>
        <v>46.14</v>
      </c>
      <c r="G327">
        <f t="shared" si="11"/>
        <v>8.1606459088650538E-3</v>
      </c>
    </row>
    <row r="328" spans="1:7" x14ac:dyDescent="0.25">
      <c r="A328" s="1">
        <v>45785.705555555556</v>
      </c>
      <c r="B328" s="2">
        <v>75.790000000000006</v>
      </c>
      <c r="C328" s="2">
        <v>19.600000000000001</v>
      </c>
      <c r="E328">
        <f t="shared" si="10"/>
        <v>47.695000000000007</v>
      </c>
      <c r="G328">
        <f t="shared" si="11"/>
        <v>3.314631785156387E-2</v>
      </c>
    </row>
    <row r="329" spans="1:7" x14ac:dyDescent="0.25">
      <c r="A329" s="1">
        <v>45786.705555555556</v>
      </c>
      <c r="B329" s="2">
        <v>77.55</v>
      </c>
      <c r="C329" s="2">
        <v>19.690000000000001</v>
      </c>
      <c r="E329">
        <f t="shared" si="10"/>
        <v>48.62</v>
      </c>
      <c r="G329">
        <f t="shared" si="11"/>
        <v>1.9208398290805753E-2</v>
      </c>
    </row>
    <row r="330" spans="1:7" x14ac:dyDescent="0.25">
      <c r="A330" s="1">
        <v>45789.705555555556</v>
      </c>
      <c r="B330" s="2">
        <v>77.790000000000006</v>
      </c>
      <c r="C330" s="2">
        <v>19.239999999999998</v>
      </c>
      <c r="E330">
        <f t="shared" si="10"/>
        <v>48.515000000000001</v>
      </c>
      <c r="G330">
        <f t="shared" si="11"/>
        <v>-2.1619404107144483E-3</v>
      </c>
    </row>
    <row r="331" spans="1:7" x14ac:dyDescent="0.25">
      <c r="A331" s="1">
        <v>45790.705555555556</v>
      </c>
      <c r="B331" s="2">
        <v>79.52</v>
      </c>
      <c r="C331" s="2">
        <v>19.07</v>
      </c>
      <c r="E331">
        <f t="shared" si="10"/>
        <v>49.295000000000002</v>
      </c>
      <c r="G331">
        <f t="shared" si="11"/>
        <v>1.5949627549741895E-2</v>
      </c>
    </row>
    <row r="332" spans="1:7" x14ac:dyDescent="0.25">
      <c r="A332" s="1">
        <v>45791.705555555556</v>
      </c>
      <c r="B332" s="2">
        <v>78.849999999999994</v>
      </c>
      <c r="C332" s="2">
        <v>18.75</v>
      </c>
      <c r="E332">
        <f t="shared" si="10"/>
        <v>48.8</v>
      </c>
      <c r="G332">
        <f t="shared" si="11"/>
        <v>-1.0092343167903237E-2</v>
      </c>
    </row>
    <row r="333" spans="1:7" x14ac:dyDescent="0.25">
      <c r="A333" s="1">
        <v>45792.705555555556</v>
      </c>
      <c r="B333" s="2">
        <v>78.77</v>
      </c>
      <c r="C333" s="2">
        <v>19.2</v>
      </c>
      <c r="E333">
        <f t="shared" si="10"/>
        <v>48.984999999999999</v>
      </c>
      <c r="G333">
        <f t="shared" si="11"/>
        <v>3.7838159375042217E-3</v>
      </c>
    </row>
    <row r="334" spans="1:7" x14ac:dyDescent="0.25">
      <c r="A334" s="1">
        <v>45793.705555555556</v>
      </c>
      <c r="B334" s="2">
        <v>78.97</v>
      </c>
      <c r="C334" s="2">
        <v>18.899999999999999</v>
      </c>
      <c r="E334">
        <f t="shared" si="10"/>
        <v>48.935000000000002</v>
      </c>
      <c r="G334">
        <f t="shared" si="11"/>
        <v>-1.0212419188227642E-3</v>
      </c>
    </row>
    <row r="335" spans="1:7" x14ac:dyDescent="0.25">
      <c r="A335" s="1">
        <v>45796.705555555556</v>
      </c>
      <c r="B335" s="2">
        <v>79.34</v>
      </c>
      <c r="C335" s="2">
        <v>19.11</v>
      </c>
      <c r="E335">
        <f t="shared" si="10"/>
        <v>49.225000000000001</v>
      </c>
      <c r="G335">
        <f t="shared" si="11"/>
        <v>5.9087376474064009E-3</v>
      </c>
    </row>
    <row r="336" spans="1:7" x14ac:dyDescent="0.25">
      <c r="A336" s="1">
        <v>45797.705555555556</v>
      </c>
      <c r="B336" s="2">
        <v>80.3</v>
      </c>
      <c r="C336" s="2">
        <v>19.55</v>
      </c>
      <c r="E336">
        <f t="shared" si="10"/>
        <v>49.924999999999997</v>
      </c>
      <c r="G336">
        <f t="shared" si="11"/>
        <v>1.4120254776689581E-2</v>
      </c>
    </row>
    <row r="337" spans="1:7" x14ac:dyDescent="0.25">
      <c r="A337" s="1">
        <v>45798.705555555556</v>
      </c>
      <c r="B337" s="2">
        <v>81.14</v>
      </c>
      <c r="C337" s="2">
        <v>19.600000000000001</v>
      </c>
      <c r="E337">
        <f t="shared" si="10"/>
        <v>50.370000000000005</v>
      </c>
      <c r="G337">
        <f t="shared" si="11"/>
        <v>8.8738804556803535E-3</v>
      </c>
    </row>
    <row r="338" spans="1:7" x14ac:dyDescent="0.25">
      <c r="A338" s="1">
        <v>45799.705555555556</v>
      </c>
      <c r="B338" s="2">
        <v>83.3</v>
      </c>
      <c r="C338" s="2">
        <v>19.489999999999998</v>
      </c>
      <c r="E338">
        <f t="shared" si="10"/>
        <v>51.394999999999996</v>
      </c>
      <c r="G338">
        <f t="shared" si="11"/>
        <v>2.0145131707325913E-2</v>
      </c>
    </row>
    <row r="339" spans="1:7" x14ac:dyDescent="0.25">
      <c r="A339" s="1">
        <v>45800.705555555556</v>
      </c>
      <c r="B339" s="2">
        <v>81.64</v>
      </c>
      <c r="C339" s="2">
        <v>19.829999999999998</v>
      </c>
      <c r="E339">
        <f t="shared" si="10"/>
        <v>50.734999999999999</v>
      </c>
      <c r="G339">
        <f t="shared" si="11"/>
        <v>-1.2924883733839029E-2</v>
      </c>
    </row>
    <row r="340" spans="1:7" x14ac:dyDescent="0.25">
      <c r="A340" s="1">
        <v>45803.705555555556</v>
      </c>
      <c r="B340" s="2">
        <v>81.59</v>
      </c>
      <c r="C340" s="2">
        <v>19.95</v>
      </c>
      <c r="E340">
        <f t="shared" si="10"/>
        <v>50.77</v>
      </c>
      <c r="G340">
        <f t="shared" si="11"/>
        <v>6.8962122825683072E-4</v>
      </c>
    </row>
    <row r="341" spans="1:7" x14ac:dyDescent="0.25">
      <c r="A341" s="1">
        <v>45804.705555555556</v>
      </c>
      <c r="B341" s="2">
        <v>82.35</v>
      </c>
      <c r="C341" s="2">
        <v>19.510000000000002</v>
      </c>
      <c r="E341">
        <f t="shared" si="10"/>
        <v>50.93</v>
      </c>
      <c r="G341">
        <f t="shared" si="11"/>
        <v>3.1465119372102285E-3</v>
      </c>
    </row>
    <row r="342" spans="1:7" x14ac:dyDescent="0.25">
      <c r="A342" s="1">
        <v>45805.705555555556</v>
      </c>
      <c r="B342" s="2">
        <v>80.510000000000005</v>
      </c>
      <c r="C342" s="2">
        <v>19.63</v>
      </c>
      <c r="E342">
        <f t="shared" si="10"/>
        <v>50.07</v>
      </c>
      <c r="G342">
        <f t="shared" si="11"/>
        <v>-1.7030114554659848E-2</v>
      </c>
    </row>
    <row r="343" spans="1:7" x14ac:dyDescent="0.25">
      <c r="A343" s="1">
        <v>45806.705555555556</v>
      </c>
      <c r="B343" s="2">
        <v>79.459999999999994</v>
      </c>
      <c r="C343" s="2">
        <v>19.670000000000002</v>
      </c>
      <c r="E343">
        <f t="shared" si="10"/>
        <v>49.564999999999998</v>
      </c>
      <c r="G343">
        <f t="shared" si="11"/>
        <v>-1.0137086856992678E-2</v>
      </c>
    </row>
    <row r="344" spans="1:7" x14ac:dyDescent="0.25">
      <c r="A344" s="1">
        <v>45807.705555555556</v>
      </c>
      <c r="B344" s="2">
        <v>78.5</v>
      </c>
      <c r="C344" s="2">
        <v>19.71</v>
      </c>
      <c r="E344">
        <f t="shared" si="10"/>
        <v>49.105000000000004</v>
      </c>
      <c r="G344">
        <f t="shared" si="11"/>
        <v>-9.3240768751230649E-3</v>
      </c>
    </row>
    <row r="345" spans="1:7" x14ac:dyDescent="0.25">
      <c r="A345" s="1">
        <v>45810.705555555556</v>
      </c>
      <c r="B345" s="2">
        <v>78.180000000000007</v>
      </c>
      <c r="C345" s="2">
        <v>20.07</v>
      </c>
      <c r="E345">
        <f t="shared" si="10"/>
        <v>49.125</v>
      </c>
      <c r="G345">
        <f t="shared" si="11"/>
        <v>4.0720757968768265E-4</v>
      </c>
    </row>
    <row r="346" spans="1:7" x14ac:dyDescent="0.25">
      <c r="A346" s="1">
        <v>45811.705555555556</v>
      </c>
      <c r="B346" s="2">
        <v>78.709999999999994</v>
      </c>
      <c r="C346" s="2">
        <v>19.79</v>
      </c>
      <c r="E346">
        <f t="shared" si="10"/>
        <v>49.25</v>
      </c>
      <c r="G346">
        <f t="shared" si="11"/>
        <v>2.5412974286725481E-3</v>
      </c>
    </row>
    <row r="347" spans="1:7" x14ac:dyDescent="0.25">
      <c r="A347" s="1">
        <v>45812.705555555556</v>
      </c>
      <c r="B347" s="2">
        <v>78.400000000000006</v>
      </c>
      <c r="C347" s="2">
        <v>19.920000000000002</v>
      </c>
      <c r="E347">
        <f t="shared" si="10"/>
        <v>49.160000000000004</v>
      </c>
      <c r="G347">
        <f t="shared" si="11"/>
        <v>-1.8290829202637414E-3</v>
      </c>
    </row>
    <row r="348" spans="1:7" x14ac:dyDescent="0.25">
      <c r="A348" s="1">
        <v>45813.705555555556</v>
      </c>
      <c r="B348" s="2">
        <v>75.11</v>
      </c>
      <c r="C348" s="2">
        <v>19.61</v>
      </c>
      <c r="E348">
        <f t="shared" si="10"/>
        <v>47.36</v>
      </c>
      <c r="G348">
        <f t="shared" si="11"/>
        <v>-3.7302294122083905E-2</v>
      </c>
    </row>
    <row r="349" spans="1:7" x14ac:dyDescent="0.25">
      <c r="A349" s="1">
        <v>45814.705555555556</v>
      </c>
      <c r="B349" s="2">
        <v>76.790000000000006</v>
      </c>
      <c r="C349" s="2">
        <v>19.29</v>
      </c>
      <c r="E349">
        <f t="shared" si="10"/>
        <v>48.040000000000006</v>
      </c>
      <c r="G349">
        <f t="shared" si="11"/>
        <v>1.4256006636032775E-2</v>
      </c>
    </row>
    <row r="350" spans="1:7" x14ac:dyDescent="0.25">
      <c r="A350" s="1">
        <v>45817.705555555556</v>
      </c>
      <c r="B350" s="2">
        <v>79.5</v>
      </c>
      <c r="C350" s="2">
        <v>19.350000000000001</v>
      </c>
      <c r="E350">
        <f t="shared" si="10"/>
        <v>49.424999999999997</v>
      </c>
      <c r="G350">
        <f t="shared" si="11"/>
        <v>2.8422371844897525E-2</v>
      </c>
    </row>
    <row r="351" spans="1:7" x14ac:dyDescent="0.25">
      <c r="A351" s="1">
        <v>45818.705555555556</v>
      </c>
      <c r="B351" s="2">
        <v>80.650000000000006</v>
      </c>
      <c r="C351" s="2">
        <v>19.38</v>
      </c>
      <c r="E351">
        <f t="shared" si="10"/>
        <v>50.015000000000001</v>
      </c>
      <c r="G351">
        <f t="shared" si="11"/>
        <v>1.186659138046353E-2</v>
      </c>
    </row>
    <row r="352" spans="1:7" x14ac:dyDescent="0.25">
      <c r="A352" s="1">
        <v>45819.705555555556</v>
      </c>
      <c r="B352" s="2">
        <v>80.19</v>
      </c>
      <c r="C352" s="2">
        <v>19.39</v>
      </c>
      <c r="E352">
        <f t="shared" si="10"/>
        <v>49.79</v>
      </c>
      <c r="G352">
        <f t="shared" si="11"/>
        <v>-4.5087997830526522E-3</v>
      </c>
    </row>
    <row r="353" spans="1:7" x14ac:dyDescent="0.25">
      <c r="A353" s="1">
        <v>45820.705555555556</v>
      </c>
      <c r="B353" s="2">
        <v>78.06</v>
      </c>
      <c r="C353" s="2">
        <v>19.62</v>
      </c>
      <c r="E353">
        <f t="shared" si="10"/>
        <v>48.84</v>
      </c>
      <c r="G353">
        <f t="shared" si="11"/>
        <v>-1.9264511411587342E-2</v>
      </c>
    </row>
    <row r="354" spans="1:7" x14ac:dyDescent="0.25">
      <c r="A354" s="1">
        <v>45821.705555555556</v>
      </c>
      <c r="B354" s="2">
        <v>76.41</v>
      </c>
      <c r="C354" s="2">
        <v>19.87</v>
      </c>
      <c r="E354">
        <f t="shared" si="10"/>
        <v>48.14</v>
      </c>
      <c r="G354">
        <f t="shared" si="11"/>
        <v>-1.4436216887578074E-2</v>
      </c>
    </row>
    <row r="355" spans="1:7" x14ac:dyDescent="0.25">
      <c r="A355" s="1">
        <v>45824.705555555556</v>
      </c>
      <c r="B355" s="2">
        <v>78.34</v>
      </c>
      <c r="C355" s="2">
        <v>19.399999999999999</v>
      </c>
      <c r="E355">
        <f t="shared" si="10"/>
        <v>48.870000000000005</v>
      </c>
      <c r="G355">
        <f t="shared" si="11"/>
        <v>1.5050278927137619E-2</v>
      </c>
    </row>
    <row r="356" spans="1:7" x14ac:dyDescent="0.25">
      <c r="A356" s="1">
        <v>45826.705555555556</v>
      </c>
      <c r="B356" s="2">
        <v>75.260000000000005</v>
      </c>
      <c r="C356" s="2">
        <v>19.36</v>
      </c>
      <c r="E356">
        <f t="shared" si="10"/>
        <v>47.31</v>
      </c>
      <c r="G356">
        <f t="shared" si="11"/>
        <v>-3.2442021639006779E-2</v>
      </c>
    </row>
    <row r="357" spans="1:7" x14ac:dyDescent="0.25">
      <c r="A357" s="1">
        <v>45828.705555555556</v>
      </c>
      <c r="B357" s="2">
        <v>75.17</v>
      </c>
      <c r="C357" s="2">
        <v>19.420000000000002</v>
      </c>
      <c r="E357">
        <f t="shared" si="10"/>
        <v>47.295000000000002</v>
      </c>
      <c r="G357">
        <f t="shared" si="11"/>
        <v>-3.1710797792284477E-4</v>
      </c>
    </row>
    <row r="358" spans="1:7" x14ac:dyDescent="0.25">
      <c r="A358" s="1">
        <v>45831.705555555556</v>
      </c>
      <c r="B358" s="2">
        <v>73.81</v>
      </c>
      <c r="C358" s="2">
        <v>19.41</v>
      </c>
      <c r="E358">
        <f t="shared" si="10"/>
        <v>46.61</v>
      </c>
      <c r="G358">
        <f t="shared" si="11"/>
        <v>-1.458947128048433E-2</v>
      </c>
    </row>
    <row r="359" spans="1:7" x14ac:dyDescent="0.25">
      <c r="A359" s="1">
        <v>45832.705555555556</v>
      </c>
      <c r="B359" s="2">
        <v>76.3</v>
      </c>
      <c r="C359" s="2">
        <v>19.2</v>
      </c>
      <c r="E359">
        <f t="shared" si="10"/>
        <v>47.75</v>
      </c>
      <c r="G359">
        <f t="shared" si="11"/>
        <v>2.4163956542089658E-2</v>
      </c>
    </row>
    <row r="360" spans="1:7" x14ac:dyDescent="0.25">
      <c r="A360" s="1">
        <v>45833.705555555556</v>
      </c>
      <c r="B360" s="2">
        <v>77.650000000000006</v>
      </c>
      <c r="C360" s="2">
        <v>19.36</v>
      </c>
      <c r="E360">
        <f t="shared" si="10"/>
        <v>48.505000000000003</v>
      </c>
      <c r="G360">
        <f t="shared" si="11"/>
        <v>1.568781848650775E-2</v>
      </c>
    </row>
    <row r="361" spans="1:7" x14ac:dyDescent="0.25">
      <c r="A361" s="1">
        <v>45834.705555555556</v>
      </c>
      <c r="B361" s="2">
        <v>76.459999999999994</v>
      </c>
      <c r="C361" s="2">
        <v>19.16</v>
      </c>
      <c r="E361">
        <f t="shared" si="10"/>
        <v>47.809999999999995</v>
      </c>
      <c r="G361">
        <f t="shared" si="11"/>
        <v>-1.4432062775235014E-2</v>
      </c>
    </row>
    <row r="362" spans="1:7" x14ac:dyDescent="0.25">
      <c r="A362" s="1">
        <v>45835.705555555556</v>
      </c>
      <c r="B362" s="2">
        <v>75.92</v>
      </c>
      <c r="C362" s="2">
        <v>18.73</v>
      </c>
      <c r="E362">
        <f t="shared" si="10"/>
        <v>47.325000000000003</v>
      </c>
      <c r="G362">
        <f t="shared" si="11"/>
        <v>-1.0196125542625256E-2</v>
      </c>
    </row>
    <row r="363" spans="1:7" x14ac:dyDescent="0.25">
      <c r="A363" s="1">
        <v>45838.705555555556</v>
      </c>
      <c r="B363" s="2">
        <v>76.739999999999995</v>
      </c>
      <c r="C363" s="2">
        <v>18.77</v>
      </c>
      <c r="E363">
        <f t="shared" si="10"/>
        <v>47.754999999999995</v>
      </c>
      <c r="G363">
        <f t="shared" si="11"/>
        <v>9.0450763913141191E-3</v>
      </c>
    </row>
    <row r="364" spans="1:7" x14ac:dyDescent="0.25">
      <c r="A364" s="1">
        <v>45839.705555555556</v>
      </c>
      <c r="B364" s="2">
        <v>74.91</v>
      </c>
      <c r="C364" s="2">
        <v>19.04</v>
      </c>
      <c r="E364">
        <f t="shared" si="10"/>
        <v>46.974999999999994</v>
      </c>
      <c r="G364">
        <f t="shared" si="11"/>
        <v>-1.6468228187171873E-2</v>
      </c>
    </row>
    <row r="365" spans="1:7" x14ac:dyDescent="0.25">
      <c r="A365" s="1">
        <v>45840.705555555556</v>
      </c>
      <c r="B365" s="2">
        <v>77.63</v>
      </c>
      <c r="C365" s="2">
        <v>19.04</v>
      </c>
      <c r="E365">
        <f t="shared" si="10"/>
        <v>48.334999999999994</v>
      </c>
      <c r="G365">
        <f t="shared" si="11"/>
        <v>2.8540390617039814E-2</v>
      </c>
    </row>
    <row r="366" spans="1:7" x14ac:dyDescent="0.25">
      <c r="A366" s="1">
        <v>45841.705555555556</v>
      </c>
      <c r="B366" s="2">
        <v>77.36</v>
      </c>
      <c r="C366" s="2">
        <v>18.84</v>
      </c>
      <c r="E366">
        <f t="shared" si="10"/>
        <v>48.1</v>
      </c>
      <c r="G366">
        <f t="shared" si="11"/>
        <v>-4.8737588048530876E-3</v>
      </c>
    </row>
    <row r="367" spans="1:7" x14ac:dyDescent="0.25">
      <c r="A367" s="1">
        <v>45842.705555555556</v>
      </c>
      <c r="B367" s="2">
        <v>76.349999999999994</v>
      </c>
      <c r="C367" s="2">
        <v>18.91</v>
      </c>
      <c r="E367">
        <f t="shared" si="10"/>
        <v>47.629999999999995</v>
      </c>
      <c r="G367">
        <f t="shared" si="11"/>
        <v>-9.8193622989466139E-3</v>
      </c>
    </row>
    <row r="368" spans="1:7" x14ac:dyDescent="0.25">
      <c r="A368" s="1">
        <v>45845.705555555556</v>
      </c>
      <c r="B368" s="2">
        <v>77.02</v>
      </c>
      <c r="C368" s="2">
        <v>19.11</v>
      </c>
      <c r="E368">
        <f t="shared" si="10"/>
        <v>48.064999999999998</v>
      </c>
      <c r="G368">
        <f t="shared" si="11"/>
        <v>9.0914467050104211E-3</v>
      </c>
    </row>
    <row r="369" spans="1:7" x14ac:dyDescent="0.25">
      <c r="A369" s="1">
        <v>45846.705555555556</v>
      </c>
      <c r="B369" s="2">
        <v>77.849999999999994</v>
      </c>
      <c r="C369" s="2">
        <v>18.760000000000002</v>
      </c>
      <c r="E369">
        <f t="shared" si="10"/>
        <v>48.305</v>
      </c>
      <c r="G369">
        <f t="shared" si="11"/>
        <v>4.9808134516934601E-3</v>
      </c>
    </row>
    <row r="370" spans="1:7" x14ac:dyDescent="0.25">
      <c r="A370" s="1">
        <v>45847.705555555556</v>
      </c>
      <c r="B370" s="2">
        <v>80.680000000000007</v>
      </c>
      <c r="C370" s="2">
        <v>19.09</v>
      </c>
      <c r="E370">
        <f t="shared" si="10"/>
        <v>49.885000000000005</v>
      </c>
      <c r="G370">
        <f t="shared" si="11"/>
        <v>3.2185281395997564E-2</v>
      </c>
    </row>
    <row r="371" spans="1:7" x14ac:dyDescent="0.25">
      <c r="A371" s="1">
        <v>45848.705555555556</v>
      </c>
      <c r="B371" s="2">
        <v>82.85</v>
      </c>
      <c r="C371" s="2">
        <v>19.239999999999998</v>
      </c>
      <c r="E371">
        <f t="shared" si="10"/>
        <v>51.044999999999995</v>
      </c>
      <c r="G371">
        <f t="shared" si="11"/>
        <v>2.2987240255508148E-2</v>
      </c>
    </row>
    <row r="372" spans="1:7" x14ac:dyDescent="0.25">
      <c r="A372" s="1">
        <v>45849.705555555556</v>
      </c>
      <c r="B372" s="2">
        <v>86.21</v>
      </c>
      <c r="C372" s="2">
        <v>19.48</v>
      </c>
      <c r="E372">
        <f t="shared" si="10"/>
        <v>52.844999999999999</v>
      </c>
      <c r="G372">
        <f t="shared" si="11"/>
        <v>3.4655503840332079E-2</v>
      </c>
    </row>
    <row r="373" spans="1:7" x14ac:dyDescent="0.25">
      <c r="A373" s="1">
        <v>45852.705555555556</v>
      </c>
      <c r="B373" s="2">
        <v>88.36</v>
      </c>
      <c r="C373" s="2">
        <v>19.52</v>
      </c>
      <c r="E373">
        <f t="shared" si="10"/>
        <v>53.94</v>
      </c>
      <c r="G373">
        <f t="shared" si="11"/>
        <v>2.0509217250273232E-2</v>
      </c>
    </row>
    <row r="374" spans="1:7" x14ac:dyDescent="0.25">
      <c r="A374" s="1">
        <v>45853.705555555556</v>
      </c>
      <c r="B374" s="2">
        <v>85.8</v>
      </c>
      <c r="C374" s="2">
        <v>19.37</v>
      </c>
      <c r="E374">
        <f t="shared" si="10"/>
        <v>52.585000000000001</v>
      </c>
      <c r="G374">
        <f t="shared" si="11"/>
        <v>-2.5441409739592045E-2</v>
      </c>
    </row>
    <row r="375" spans="1:7" x14ac:dyDescent="0.25">
      <c r="A375" s="1">
        <v>45854.705555555556</v>
      </c>
      <c r="B375" s="2">
        <v>89</v>
      </c>
      <c r="C375" s="2">
        <v>19.46</v>
      </c>
      <c r="E375">
        <f t="shared" si="10"/>
        <v>54.230000000000004</v>
      </c>
      <c r="G375">
        <f t="shared" si="11"/>
        <v>3.0803352880977655E-2</v>
      </c>
    </row>
    <row r="376" spans="1:7" x14ac:dyDescent="0.25">
      <c r="A376" s="1">
        <v>45855.705555555556</v>
      </c>
      <c r="B376" s="2">
        <v>89.64</v>
      </c>
      <c r="C376" s="2">
        <v>19.36</v>
      </c>
      <c r="E376">
        <f t="shared" si="10"/>
        <v>54.5</v>
      </c>
      <c r="G376">
        <f t="shared" si="11"/>
        <v>4.9664408162290357E-3</v>
      </c>
    </row>
    <row r="377" spans="1:7" x14ac:dyDescent="0.25">
      <c r="A377" s="1">
        <v>45856.705555555556</v>
      </c>
      <c r="B377" s="2">
        <v>90</v>
      </c>
      <c r="C377" s="2">
        <v>19.55</v>
      </c>
      <c r="E377">
        <f t="shared" si="10"/>
        <v>54.774999999999999</v>
      </c>
      <c r="G377">
        <f t="shared" si="11"/>
        <v>5.0331838123318972E-3</v>
      </c>
    </row>
    <row r="378" spans="1:7" x14ac:dyDescent="0.25">
      <c r="A378" s="1">
        <v>45859.705555555556</v>
      </c>
      <c r="B378" s="2">
        <v>91.01</v>
      </c>
      <c r="C378" s="2">
        <v>19.77</v>
      </c>
      <c r="E378">
        <f t="shared" si="10"/>
        <v>55.39</v>
      </c>
      <c r="G378">
        <f t="shared" si="11"/>
        <v>1.1165186563482272E-2</v>
      </c>
    </row>
    <row r="379" spans="1:7" x14ac:dyDescent="0.25">
      <c r="A379" s="1">
        <v>45860.705555555556</v>
      </c>
      <c r="B379" s="2">
        <v>92.3</v>
      </c>
      <c r="C379" s="2">
        <v>19.96</v>
      </c>
      <c r="E379">
        <f t="shared" si="10"/>
        <v>56.129999999999995</v>
      </c>
      <c r="G379">
        <f t="shared" si="11"/>
        <v>1.3271356909095342E-2</v>
      </c>
    </row>
    <row r="380" spans="1:7" x14ac:dyDescent="0.25">
      <c r="A380" s="1">
        <v>45861.705555555556</v>
      </c>
      <c r="B380" s="2">
        <v>90.5</v>
      </c>
      <c r="C380" s="2">
        <v>19.559999999999999</v>
      </c>
      <c r="E380">
        <f t="shared" si="10"/>
        <v>55.03</v>
      </c>
      <c r="G380">
        <f t="shared" si="11"/>
        <v>-1.9791937882440373E-2</v>
      </c>
    </row>
    <row r="381" spans="1:7" x14ac:dyDescent="0.25">
      <c r="A381" s="1">
        <v>45862.705555555556</v>
      </c>
      <c r="B381" s="2">
        <v>91.35</v>
      </c>
      <c r="C381" s="2">
        <v>19.43</v>
      </c>
      <c r="E381">
        <f t="shared" si="10"/>
        <v>55.39</v>
      </c>
      <c r="G381">
        <f t="shared" si="11"/>
        <v>6.5205809733449877E-3</v>
      </c>
    </row>
    <row r="382" spans="1:7" x14ac:dyDescent="0.25">
      <c r="A382" s="1">
        <v>45863.705555555556</v>
      </c>
      <c r="B382" s="2">
        <v>89.61</v>
      </c>
      <c r="C382" s="2">
        <v>19.38</v>
      </c>
      <c r="E382">
        <f t="shared" si="10"/>
        <v>54.494999999999997</v>
      </c>
      <c r="G382">
        <f t="shared" si="11"/>
        <v>-1.6290117703737596E-2</v>
      </c>
    </row>
    <row r="383" spans="1:7" x14ac:dyDescent="0.25">
      <c r="A383" s="1">
        <v>45866.705555555556</v>
      </c>
      <c r="B383" s="2">
        <v>90.93</v>
      </c>
      <c r="C383" s="2">
        <v>19.36</v>
      </c>
      <c r="E383">
        <f t="shared" si="10"/>
        <v>55.145000000000003</v>
      </c>
      <c r="G383">
        <f t="shared" si="11"/>
        <v>1.1857125416835488E-2</v>
      </c>
    </row>
    <row r="384" spans="1:7" x14ac:dyDescent="0.25">
      <c r="A384" s="1">
        <v>45867.705555555556</v>
      </c>
      <c r="B384" s="2">
        <v>90.55</v>
      </c>
      <c r="C384" s="2">
        <v>19.36</v>
      </c>
      <c r="E384">
        <f t="shared" si="10"/>
        <v>54.954999999999998</v>
      </c>
      <c r="G384">
        <f t="shared" si="11"/>
        <v>-3.4514112372465923E-3</v>
      </c>
    </row>
    <row r="385" spans="1:7" x14ac:dyDescent="0.25">
      <c r="A385" s="1">
        <v>45868.705555555556</v>
      </c>
      <c r="B385" s="2">
        <v>90.45</v>
      </c>
      <c r="C385" s="2">
        <v>19.04</v>
      </c>
      <c r="E385">
        <f t="shared" si="10"/>
        <v>54.745000000000005</v>
      </c>
      <c r="G385">
        <f t="shared" si="11"/>
        <v>-3.8286281954753149E-3</v>
      </c>
    </row>
    <row r="386" spans="1:7" x14ac:dyDescent="0.25">
      <c r="A386" s="1">
        <v>45869.705555555556</v>
      </c>
      <c r="B386" s="2">
        <v>90.75</v>
      </c>
      <c r="C386" s="2">
        <v>19.239999999999998</v>
      </c>
      <c r="E386">
        <f t="shared" si="10"/>
        <v>54.994999999999997</v>
      </c>
      <c r="G386">
        <f t="shared" si="11"/>
        <v>4.5562316836915764E-3</v>
      </c>
    </row>
    <row r="387" spans="1:7" x14ac:dyDescent="0.25">
      <c r="A387" s="1">
        <v>45870.705555555556</v>
      </c>
      <c r="B387" s="2">
        <v>86.48</v>
      </c>
      <c r="C387" s="2">
        <v>19.47</v>
      </c>
      <c r="E387">
        <f t="shared" ref="E387:E450" si="12">AVERAGE(B387,C387)</f>
        <v>52.975000000000001</v>
      </c>
      <c r="G387">
        <f t="shared" si="11"/>
        <v>-3.742216785471715E-2</v>
      </c>
    </row>
    <row r="388" spans="1:7" x14ac:dyDescent="0.25">
      <c r="A388" s="1">
        <v>45873.705555555556</v>
      </c>
      <c r="B388" s="2">
        <v>87.32</v>
      </c>
      <c r="C388" s="2">
        <v>19.41</v>
      </c>
      <c r="E388">
        <f t="shared" si="12"/>
        <v>53.364999999999995</v>
      </c>
      <c r="G388">
        <f t="shared" ref="G388:G451" si="13">LN(E388/E387)</f>
        <v>7.3349962115654707E-3</v>
      </c>
    </row>
    <row r="389" spans="1:7" x14ac:dyDescent="0.25">
      <c r="A389" s="1">
        <v>45874.705555555556</v>
      </c>
      <c r="B389" s="2">
        <v>86.67</v>
      </c>
      <c r="C389" s="2">
        <v>19.45</v>
      </c>
      <c r="E389">
        <f t="shared" si="12"/>
        <v>53.06</v>
      </c>
      <c r="G389">
        <f t="shared" si="13"/>
        <v>-5.7317516563345364E-3</v>
      </c>
    </row>
    <row r="390" spans="1:7" x14ac:dyDescent="0.25">
      <c r="A390" s="1">
        <v>45875.705555555556</v>
      </c>
      <c r="B390" s="2">
        <v>87.29</v>
      </c>
      <c r="C390" s="2">
        <v>19.260000000000002</v>
      </c>
      <c r="E390">
        <f t="shared" si="12"/>
        <v>53.275000000000006</v>
      </c>
      <c r="G390">
        <f t="shared" si="13"/>
        <v>4.0438292750873345E-3</v>
      </c>
    </row>
    <row r="391" spans="1:7" x14ac:dyDescent="0.25">
      <c r="A391" s="1">
        <v>45876.705555555556</v>
      </c>
      <c r="B391" s="2">
        <v>88.52</v>
      </c>
      <c r="C391" s="2">
        <v>19.27</v>
      </c>
      <c r="E391">
        <f t="shared" si="12"/>
        <v>53.894999999999996</v>
      </c>
      <c r="G391">
        <f t="shared" si="13"/>
        <v>1.1570531248910628E-2</v>
      </c>
    </row>
    <row r="392" spans="1:7" x14ac:dyDescent="0.25">
      <c r="A392" s="1">
        <v>45877.705555555556</v>
      </c>
      <c r="B392" s="2">
        <v>89.12</v>
      </c>
      <c r="C392" s="2">
        <v>19.309999999999999</v>
      </c>
      <c r="E392">
        <f t="shared" si="12"/>
        <v>54.215000000000003</v>
      </c>
      <c r="G392">
        <f t="shared" si="13"/>
        <v>5.9199136905537242E-3</v>
      </c>
    </row>
    <row r="393" spans="1:7" x14ac:dyDescent="0.25">
      <c r="A393" s="1">
        <v>45880.705555555556</v>
      </c>
      <c r="B393" s="2">
        <v>91.07</v>
      </c>
      <c r="C393" s="2">
        <v>19.03</v>
      </c>
      <c r="E393">
        <f t="shared" si="12"/>
        <v>55.05</v>
      </c>
      <c r="G393">
        <f t="shared" si="13"/>
        <v>1.5284240244543631E-2</v>
      </c>
    </row>
    <row r="394" spans="1:7" x14ac:dyDescent="0.25">
      <c r="A394" s="1">
        <v>45881.705555555556</v>
      </c>
      <c r="B394" s="2">
        <v>91.8</v>
      </c>
      <c r="C394" s="2">
        <v>18.829999999999998</v>
      </c>
      <c r="E394">
        <f t="shared" si="12"/>
        <v>55.314999999999998</v>
      </c>
      <c r="G394">
        <f t="shared" si="13"/>
        <v>4.8022563181852398E-3</v>
      </c>
    </row>
    <row r="395" spans="1:7" x14ac:dyDescent="0.25">
      <c r="A395" s="1">
        <v>45882.705555555556</v>
      </c>
      <c r="B395" s="2">
        <v>94.44</v>
      </c>
      <c r="C395" s="2">
        <v>18.93</v>
      </c>
      <c r="E395">
        <f t="shared" si="12"/>
        <v>56.685000000000002</v>
      </c>
      <c r="G395">
        <f t="shared" si="13"/>
        <v>2.4465505982687812E-2</v>
      </c>
    </row>
    <row r="396" spans="1:7" x14ac:dyDescent="0.25">
      <c r="A396" s="1">
        <v>45883.705555555556</v>
      </c>
      <c r="B396" s="2">
        <v>91.05</v>
      </c>
      <c r="C396" s="2">
        <v>18.87</v>
      </c>
      <c r="E396">
        <f t="shared" si="12"/>
        <v>54.96</v>
      </c>
      <c r="G396">
        <f t="shared" si="13"/>
        <v>-3.0903977555468073E-2</v>
      </c>
    </row>
    <row r="397" spans="1:7" x14ac:dyDescent="0.25">
      <c r="A397" s="1">
        <v>45884.705555555556</v>
      </c>
      <c r="B397" s="2">
        <v>89.9</v>
      </c>
      <c r="C397" s="2">
        <v>18.82</v>
      </c>
      <c r="E397">
        <f t="shared" si="12"/>
        <v>54.36</v>
      </c>
      <c r="G397">
        <f t="shared" si="13"/>
        <v>-1.097705863115102E-2</v>
      </c>
    </row>
    <row r="398" spans="1:7" x14ac:dyDescent="0.25">
      <c r="A398" s="1">
        <v>45887.705555555556</v>
      </c>
      <c r="B398" s="2">
        <v>90.21</v>
      </c>
      <c r="C398" s="2">
        <v>18.93</v>
      </c>
      <c r="E398">
        <f t="shared" si="12"/>
        <v>54.569999999999993</v>
      </c>
      <c r="G398">
        <f t="shared" si="13"/>
        <v>3.8556919151975788E-3</v>
      </c>
    </row>
    <row r="399" spans="1:7" x14ac:dyDescent="0.25">
      <c r="A399" s="1">
        <v>45888.705555555556</v>
      </c>
      <c r="B399" s="2">
        <v>88.33</v>
      </c>
      <c r="C399" s="2">
        <v>19.03</v>
      </c>
      <c r="E399">
        <f t="shared" si="12"/>
        <v>53.68</v>
      </c>
      <c r="G399">
        <f t="shared" si="13"/>
        <v>-1.64437885347141E-2</v>
      </c>
    </row>
    <row r="400" spans="1:7" x14ac:dyDescent="0.25">
      <c r="A400" s="1">
        <v>45889.705555555556</v>
      </c>
      <c r="B400" s="2">
        <v>89.61</v>
      </c>
      <c r="C400" s="2">
        <v>19.14</v>
      </c>
      <c r="E400">
        <f t="shared" si="12"/>
        <v>54.375</v>
      </c>
      <c r="G400">
        <f t="shared" si="13"/>
        <v>1.2863996745421902E-2</v>
      </c>
    </row>
    <row r="401" spans="1:7" x14ac:dyDescent="0.25">
      <c r="A401" s="1">
        <v>45890.705555555556</v>
      </c>
      <c r="B401" s="2">
        <v>87.75</v>
      </c>
      <c r="C401" s="2">
        <v>19.11</v>
      </c>
      <c r="E401">
        <f t="shared" si="12"/>
        <v>53.43</v>
      </c>
      <c r="G401">
        <f t="shared" si="13"/>
        <v>-1.753210343916814E-2</v>
      </c>
    </row>
    <row r="402" spans="1:7" x14ac:dyDescent="0.25">
      <c r="A402" s="1">
        <v>45891.705555555556</v>
      </c>
      <c r="B402" s="2">
        <v>92.1</v>
      </c>
      <c r="C402" s="2">
        <v>19.11</v>
      </c>
      <c r="E402">
        <f t="shared" si="12"/>
        <v>55.604999999999997</v>
      </c>
      <c r="G402">
        <f t="shared" si="13"/>
        <v>3.9900739301125289E-2</v>
      </c>
    </row>
    <row r="403" spans="1:7" x14ac:dyDescent="0.25">
      <c r="A403" s="1">
        <v>45894.705555555556</v>
      </c>
      <c r="B403" s="2">
        <v>86.9</v>
      </c>
      <c r="C403" s="2">
        <v>19.05</v>
      </c>
      <c r="E403">
        <f t="shared" si="12"/>
        <v>52.975000000000001</v>
      </c>
      <c r="G403">
        <f t="shared" si="13"/>
        <v>-4.8453021116442403E-2</v>
      </c>
    </row>
    <row r="404" spans="1:7" x14ac:dyDescent="0.25">
      <c r="A404" s="1">
        <v>45895.705555555556</v>
      </c>
      <c r="B404" s="2">
        <v>88.25</v>
      </c>
      <c r="C404" s="2">
        <v>19.23</v>
      </c>
      <c r="E404">
        <f t="shared" si="12"/>
        <v>53.74</v>
      </c>
      <c r="G404">
        <f t="shared" si="13"/>
        <v>1.4337499032982334E-2</v>
      </c>
    </row>
    <row r="405" spans="1:7" x14ac:dyDescent="0.25">
      <c r="A405" s="1">
        <v>45896.705555555556</v>
      </c>
      <c r="B405" s="2">
        <v>87.9</v>
      </c>
      <c r="C405" s="2">
        <v>19.22</v>
      </c>
      <c r="E405">
        <f t="shared" si="12"/>
        <v>53.56</v>
      </c>
      <c r="G405">
        <f t="shared" si="13"/>
        <v>-3.3550823643734508E-3</v>
      </c>
    </row>
    <row r="406" spans="1:7" x14ac:dyDescent="0.25">
      <c r="A406" s="1">
        <v>45897.705555555556</v>
      </c>
      <c r="B406" s="2">
        <v>87.68</v>
      </c>
      <c r="C406" s="2">
        <v>19.309999999999999</v>
      </c>
      <c r="E406">
        <f t="shared" si="12"/>
        <v>53.495000000000005</v>
      </c>
      <c r="G406">
        <f t="shared" si="13"/>
        <v>-1.214329232401831E-3</v>
      </c>
    </row>
    <row r="407" spans="1:7" x14ac:dyDescent="0.25">
      <c r="A407" s="1">
        <v>45898.705555555556</v>
      </c>
      <c r="B407" s="2">
        <v>85.28</v>
      </c>
      <c r="C407" s="2">
        <v>19.579999999999998</v>
      </c>
      <c r="E407">
        <f t="shared" si="12"/>
        <v>52.43</v>
      </c>
      <c r="G407">
        <f t="shared" si="13"/>
        <v>-2.0109245006128585E-2</v>
      </c>
    </row>
    <row r="408" spans="1:7" x14ac:dyDescent="0.25">
      <c r="A408" s="1">
        <v>45901.705555555556</v>
      </c>
      <c r="B408" s="2">
        <v>85.9</v>
      </c>
      <c r="C408" s="2">
        <v>19.66</v>
      </c>
      <c r="E408">
        <f t="shared" si="12"/>
        <v>52.78</v>
      </c>
      <c r="G408">
        <f t="shared" si="13"/>
        <v>6.6533844907366736E-3</v>
      </c>
    </row>
    <row r="409" spans="1:7" x14ac:dyDescent="0.25">
      <c r="A409" s="1">
        <v>45902.705555555556</v>
      </c>
      <c r="B409" s="2">
        <v>87.3</v>
      </c>
      <c r="C409" s="2">
        <v>20.21</v>
      </c>
      <c r="E409">
        <f t="shared" si="12"/>
        <v>53.754999999999995</v>
      </c>
      <c r="G409">
        <f t="shared" si="13"/>
        <v>1.8304354862013313E-2</v>
      </c>
    </row>
    <row r="410" spans="1:7" x14ac:dyDescent="0.25">
      <c r="A410" s="1">
        <v>45903.705555555556</v>
      </c>
      <c r="B410" s="2">
        <v>88.49</v>
      </c>
      <c r="C410" s="2">
        <v>20.29</v>
      </c>
      <c r="E410">
        <f t="shared" si="12"/>
        <v>54.39</v>
      </c>
      <c r="G410">
        <f t="shared" si="13"/>
        <v>1.1743627497678003E-2</v>
      </c>
    </row>
    <row r="411" spans="1:7" x14ac:dyDescent="0.25">
      <c r="A411" s="1">
        <v>45904.705555555556</v>
      </c>
      <c r="B411" s="2">
        <v>86.73</v>
      </c>
      <c r="C411" s="2">
        <v>20.2</v>
      </c>
      <c r="E411">
        <f t="shared" si="12"/>
        <v>53.465000000000003</v>
      </c>
      <c r="G411">
        <f t="shared" si="13"/>
        <v>-1.7153079226249358E-2</v>
      </c>
    </row>
    <row r="412" spans="1:7" x14ac:dyDescent="0.25">
      <c r="A412" s="1">
        <v>45905.705555555556</v>
      </c>
      <c r="B412" s="2">
        <v>87.07</v>
      </c>
      <c r="C412" s="2">
        <v>20.329999999999998</v>
      </c>
      <c r="E412">
        <f t="shared" si="12"/>
        <v>53.699999999999996</v>
      </c>
      <c r="G412">
        <f t="shared" si="13"/>
        <v>4.3857673061989877E-3</v>
      </c>
    </row>
    <row r="413" spans="1:7" x14ac:dyDescent="0.25">
      <c r="A413" s="1">
        <v>45908.705555555556</v>
      </c>
      <c r="B413" s="2">
        <v>87.62</v>
      </c>
      <c r="C413" s="2">
        <v>20.56</v>
      </c>
      <c r="E413">
        <f t="shared" si="12"/>
        <v>54.09</v>
      </c>
      <c r="G413">
        <f t="shared" si="13"/>
        <v>7.2363243685168305E-3</v>
      </c>
    </row>
    <row r="414" spans="1:7" x14ac:dyDescent="0.25">
      <c r="A414" s="1">
        <v>45909.705555555556</v>
      </c>
      <c r="B414" s="2">
        <v>87.58</v>
      </c>
      <c r="C414" s="2">
        <v>20.59</v>
      </c>
      <c r="E414">
        <f t="shared" si="12"/>
        <v>54.085000000000001</v>
      </c>
      <c r="G414">
        <f t="shared" si="13"/>
        <v>-9.2442801082776903E-5</v>
      </c>
    </row>
    <row r="415" spans="1:7" x14ac:dyDescent="0.25">
      <c r="A415" s="1">
        <v>45910.705555555556</v>
      </c>
      <c r="B415" s="2">
        <v>88.78</v>
      </c>
      <c r="C415" s="2">
        <v>20.57</v>
      </c>
      <c r="E415">
        <f t="shared" si="12"/>
        <v>54.674999999999997</v>
      </c>
      <c r="G415">
        <f t="shared" si="13"/>
        <v>1.084968348057863E-2</v>
      </c>
    </row>
    <row r="416" spans="1:7" x14ac:dyDescent="0.25">
      <c r="A416" s="1">
        <v>45911.705555555556</v>
      </c>
      <c r="B416" s="2">
        <v>89.29</v>
      </c>
      <c r="C416" s="2">
        <v>20.48</v>
      </c>
      <c r="E416">
        <f t="shared" si="12"/>
        <v>54.885000000000005</v>
      </c>
      <c r="G416">
        <f t="shared" si="13"/>
        <v>3.8335205764484324E-3</v>
      </c>
    </row>
    <row r="417" spans="1:7" x14ac:dyDescent="0.25">
      <c r="A417" s="1">
        <v>45912.705555555556</v>
      </c>
      <c r="B417" s="2">
        <v>91.1</v>
      </c>
      <c r="C417" s="2">
        <v>20.38</v>
      </c>
      <c r="E417">
        <f t="shared" si="12"/>
        <v>55.739999999999995</v>
      </c>
      <c r="G417">
        <f t="shared" si="13"/>
        <v>1.5457934914522123E-2</v>
      </c>
    </row>
    <row r="418" spans="1:7" x14ac:dyDescent="0.25">
      <c r="A418" s="1">
        <v>45915.705555555556</v>
      </c>
      <c r="B418" s="2">
        <v>88.95</v>
      </c>
      <c r="C418" s="2">
        <v>20.47</v>
      </c>
      <c r="E418">
        <f t="shared" si="12"/>
        <v>54.71</v>
      </c>
      <c r="G418">
        <f t="shared" si="13"/>
        <v>-1.8651513978067434E-2</v>
      </c>
    </row>
    <row r="419" spans="1:7" x14ac:dyDescent="0.25">
      <c r="A419" s="1">
        <v>45916.705555555556</v>
      </c>
      <c r="B419" s="2">
        <v>89.55</v>
      </c>
      <c r="C419" s="2">
        <v>20.39</v>
      </c>
      <c r="E419">
        <f t="shared" si="12"/>
        <v>54.97</v>
      </c>
      <c r="G419">
        <f t="shared" si="13"/>
        <v>4.7410737968345005E-3</v>
      </c>
    </row>
    <row r="420" spans="1:7" x14ac:dyDescent="0.25">
      <c r="A420" s="1">
        <v>45917.705555555556</v>
      </c>
      <c r="B420" s="2">
        <v>89.27</v>
      </c>
      <c r="C420" s="2">
        <v>20.25</v>
      </c>
      <c r="E420">
        <f t="shared" si="12"/>
        <v>54.76</v>
      </c>
      <c r="G420">
        <f t="shared" si="13"/>
        <v>-3.8275814523208241E-3</v>
      </c>
    </row>
    <row r="421" spans="1:7" x14ac:dyDescent="0.25">
      <c r="A421" s="1">
        <v>45918.705555555556</v>
      </c>
      <c r="B421" s="2">
        <v>90.9</v>
      </c>
      <c r="C421" s="2">
        <v>20.25</v>
      </c>
      <c r="E421">
        <f t="shared" si="12"/>
        <v>55.575000000000003</v>
      </c>
      <c r="G421">
        <f t="shared" si="13"/>
        <v>1.4773459430012254E-2</v>
      </c>
    </row>
    <row r="422" spans="1:7" x14ac:dyDescent="0.25">
      <c r="A422" s="1">
        <v>45919.705555555556</v>
      </c>
      <c r="B422" s="2">
        <v>88.84</v>
      </c>
      <c r="C422" s="2">
        <v>20.45</v>
      </c>
      <c r="E422">
        <f t="shared" si="12"/>
        <v>54.645000000000003</v>
      </c>
      <c r="G422">
        <f t="shared" si="13"/>
        <v>-1.6875740721623424E-2</v>
      </c>
    </row>
    <row r="423" spans="1:7" x14ac:dyDescent="0.25">
      <c r="A423" s="1">
        <v>45922.705555555556</v>
      </c>
      <c r="B423" s="2">
        <v>85.9</v>
      </c>
      <c r="C423" s="2">
        <v>20.9</v>
      </c>
      <c r="E423">
        <f t="shared" si="12"/>
        <v>53.400000000000006</v>
      </c>
      <c r="G423">
        <f t="shared" si="13"/>
        <v>-2.3046973162487598E-2</v>
      </c>
    </row>
    <row r="424" spans="1:7" x14ac:dyDescent="0.25">
      <c r="A424" s="1">
        <v>45923.705555555556</v>
      </c>
      <c r="B424" s="2">
        <v>84.93</v>
      </c>
      <c r="C424" s="2">
        <v>20.75</v>
      </c>
      <c r="E424">
        <f t="shared" si="12"/>
        <v>52.84</v>
      </c>
      <c r="G424">
        <f t="shared" si="13"/>
        <v>-1.0542266312024656E-2</v>
      </c>
    </row>
    <row r="425" spans="1:7" x14ac:dyDescent="0.25">
      <c r="A425" s="1">
        <v>45924.705555555556</v>
      </c>
      <c r="B425" s="2">
        <v>86.41</v>
      </c>
      <c r="C425" s="2">
        <v>20.74</v>
      </c>
      <c r="E425">
        <f t="shared" si="12"/>
        <v>53.574999999999996</v>
      </c>
      <c r="G425">
        <f t="shared" si="13"/>
        <v>1.3814061705516018E-2</v>
      </c>
    </row>
    <row r="426" spans="1:7" x14ac:dyDescent="0.25">
      <c r="A426" s="1">
        <v>45925.705555555556</v>
      </c>
      <c r="B426" s="2">
        <v>83.5</v>
      </c>
      <c r="C426" s="2">
        <v>20.74</v>
      </c>
      <c r="E426">
        <f t="shared" si="12"/>
        <v>52.12</v>
      </c>
      <c r="G426">
        <f t="shared" si="13"/>
        <v>-2.7533789102996312E-2</v>
      </c>
    </row>
    <row r="427" spans="1:7" x14ac:dyDescent="0.25">
      <c r="A427" s="1">
        <v>45926.705555555556</v>
      </c>
      <c r="B427" s="2">
        <v>83.73</v>
      </c>
      <c r="C427" s="2">
        <v>21</v>
      </c>
      <c r="E427">
        <f t="shared" si="12"/>
        <v>52.365000000000002</v>
      </c>
      <c r="G427">
        <f t="shared" si="13"/>
        <v>4.6896769684648364E-3</v>
      </c>
    </row>
    <row r="428" spans="1:7" x14ac:dyDescent="0.25">
      <c r="A428" s="1">
        <v>45929.705555555556</v>
      </c>
      <c r="B428" s="2">
        <v>86.91</v>
      </c>
      <c r="C428" s="2">
        <v>21.28</v>
      </c>
      <c r="E428">
        <f t="shared" si="12"/>
        <v>54.094999999999999</v>
      </c>
      <c r="G428">
        <f t="shared" si="13"/>
        <v>3.2503330914427683E-2</v>
      </c>
    </row>
    <row r="429" spans="1:7" x14ac:dyDescent="0.25">
      <c r="A429" s="1">
        <v>45930.705555555556</v>
      </c>
      <c r="B429" s="2">
        <v>86.4</v>
      </c>
      <c r="C429" s="2">
        <v>21.46</v>
      </c>
      <c r="E429">
        <f t="shared" si="12"/>
        <v>53.930000000000007</v>
      </c>
      <c r="G429">
        <f t="shared" si="13"/>
        <v>-3.0548507904009214E-3</v>
      </c>
    </row>
    <row r="430" spans="1:7" x14ac:dyDescent="0.25">
      <c r="A430" s="1">
        <v>45931.705555555556</v>
      </c>
      <c r="B430" s="2">
        <v>89.06</v>
      </c>
      <c r="C430" s="2">
        <v>21.52</v>
      </c>
      <c r="E430">
        <f t="shared" si="12"/>
        <v>55.29</v>
      </c>
      <c r="G430">
        <f t="shared" si="13"/>
        <v>2.4905151000705731E-2</v>
      </c>
    </row>
    <row r="431" spans="1:7" x14ac:dyDescent="0.25">
      <c r="A431" s="1">
        <v>45932.705555555556</v>
      </c>
      <c r="B431" s="2">
        <v>91.84</v>
      </c>
      <c r="C431" s="2">
        <v>21.48</v>
      </c>
      <c r="E431">
        <f t="shared" si="12"/>
        <v>56.660000000000004</v>
      </c>
      <c r="G431">
        <f t="shared" si="13"/>
        <v>2.4476434052529028E-2</v>
      </c>
    </row>
    <row r="432" spans="1:7" x14ac:dyDescent="0.25">
      <c r="A432" s="1">
        <v>45933.705555555556</v>
      </c>
      <c r="B432" s="2">
        <v>92.55</v>
      </c>
      <c r="C432" s="2">
        <v>21.65</v>
      </c>
      <c r="E432">
        <f t="shared" si="12"/>
        <v>57.099999999999994</v>
      </c>
      <c r="G432">
        <f t="shared" si="13"/>
        <v>7.7356222595939472E-3</v>
      </c>
    </row>
    <row r="433" spans="1:7" x14ac:dyDescent="0.25">
      <c r="A433" s="1">
        <v>45936.705555555556</v>
      </c>
      <c r="B433" s="2">
        <v>94.11</v>
      </c>
      <c r="C433" s="2">
        <v>21.95</v>
      </c>
      <c r="E433">
        <f t="shared" si="12"/>
        <v>58.03</v>
      </c>
      <c r="G433">
        <f t="shared" si="13"/>
        <v>1.615600154055246E-2</v>
      </c>
    </row>
    <row r="434" spans="1:7" x14ac:dyDescent="0.25">
      <c r="A434" s="1">
        <v>45937.705555555556</v>
      </c>
      <c r="B434" s="2">
        <v>92.05</v>
      </c>
      <c r="C434" s="2">
        <v>22.22</v>
      </c>
      <c r="E434">
        <f t="shared" si="12"/>
        <v>57.134999999999998</v>
      </c>
      <c r="G434">
        <f t="shared" si="13"/>
        <v>-1.5543229603839961E-2</v>
      </c>
    </row>
    <row r="435" spans="1:7" x14ac:dyDescent="0.25">
      <c r="A435" s="1">
        <v>45938.705555555556</v>
      </c>
      <c r="B435" s="2">
        <v>93.04</v>
      </c>
      <c r="C435" s="2">
        <v>22.57</v>
      </c>
      <c r="E435">
        <f t="shared" si="12"/>
        <v>57.805000000000007</v>
      </c>
      <c r="G435">
        <f t="shared" si="13"/>
        <v>1.1658388528608029E-2</v>
      </c>
    </row>
    <row r="436" spans="1:7" x14ac:dyDescent="0.25">
      <c r="A436" s="1">
        <v>45939.705555555556</v>
      </c>
      <c r="B436" s="2">
        <v>91.1</v>
      </c>
      <c r="C436" s="2">
        <v>22.3</v>
      </c>
      <c r="E436">
        <f t="shared" si="12"/>
        <v>56.699999999999996</v>
      </c>
      <c r="G436">
        <f t="shared" si="13"/>
        <v>-1.9301066393578831E-2</v>
      </c>
    </row>
    <row r="437" spans="1:7" x14ac:dyDescent="0.25">
      <c r="A437" s="1">
        <v>45940.705555555556</v>
      </c>
      <c r="B437" s="2">
        <v>89.21</v>
      </c>
      <c r="C437" s="2">
        <v>23.03</v>
      </c>
      <c r="E437">
        <f t="shared" si="12"/>
        <v>56.12</v>
      </c>
      <c r="G437">
        <f t="shared" si="13"/>
        <v>-1.0281955499446185E-2</v>
      </c>
    </row>
    <row r="438" spans="1:7" x14ac:dyDescent="0.25">
      <c r="A438" s="1">
        <v>45943.705555555556</v>
      </c>
      <c r="B438" s="2">
        <v>89.42</v>
      </c>
      <c r="C438" s="2">
        <v>23.43</v>
      </c>
      <c r="E438">
        <f t="shared" si="12"/>
        <v>56.424999999999997</v>
      </c>
      <c r="G438">
        <f t="shared" si="13"/>
        <v>5.4200674693391133E-3</v>
      </c>
    </row>
    <row r="439" spans="1:7" x14ac:dyDescent="0.25">
      <c r="A439" s="1">
        <v>45944.705555555556</v>
      </c>
      <c r="B439" s="2">
        <v>86.76</v>
      </c>
      <c r="C439" s="2">
        <v>23.66</v>
      </c>
      <c r="E439">
        <f t="shared" si="12"/>
        <v>55.21</v>
      </c>
      <c r="G439">
        <f t="shared" si="13"/>
        <v>-2.1768226407646057E-2</v>
      </c>
    </row>
    <row r="440" spans="1:7" x14ac:dyDescent="0.25">
      <c r="A440" s="1">
        <v>45945.705555555556</v>
      </c>
      <c r="B440" s="2">
        <v>85.45</v>
      </c>
      <c r="C440" s="2">
        <v>24</v>
      </c>
      <c r="E440">
        <f t="shared" si="12"/>
        <v>54.725000000000001</v>
      </c>
      <c r="G440">
        <f t="shared" si="13"/>
        <v>-8.8234528870265901E-3</v>
      </c>
    </row>
    <row r="441" spans="1:7" x14ac:dyDescent="0.25">
      <c r="A441" s="1">
        <v>45946.705555555556</v>
      </c>
      <c r="B441" s="2">
        <v>82.4</v>
      </c>
      <c r="C441" s="2">
        <v>24.48</v>
      </c>
      <c r="E441">
        <f t="shared" si="12"/>
        <v>53.440000000000005</v>
      </c>
      <c r="G441">
        <f t="shared" si="13"/>
        <v>-2.3761114180536294E-2</v>
      </c>
    </row>
    <row r="442" spans="1:7" x14ac:dyDescent="0.25">
      <c r="A442" s="1">
        <v>45947.705555555556</v>
      </c>
      <c r="B442" s="2">
        <v>80.849999999999994</v>
      </c>
      <c r="C442" s="2">
        <v>23.86</v>
      </c>
      <c r="E442">
        <f t="shared" si="12"/>
        <v>52.354999999999997</v>
      </c>
      <c r="G442">
        <f t="shared" si="13"/>
        <v>-2.0512085488965069E-2</v>
      </c>
    </row>
    <row r="443" spans="1:7" x14ac:dyDescent="0.25">
      <c r="A443" s="1">
        <v>45951.705555555556</v>
      </c>
      <c r="B443" s="2">
        <v>83.83</v>
      </c>
      <c r="C443" s="2">
        <v>23.09</v>
      </c>
      <c r="E443">
        <f t="shared" si="12"/>
        <v>53.46</v>
      </c>
      <c r="G443">
        <f t="shared" si="13"/>
        <v>2.0886266971347663E-2</v>
      </c>
    </row>
    <row r="444" spans="1:7" x14ac:dyDescent="0.25">
      <c r="A444" s="1">
        <v>45952.705555555556</v>
      </c>
      <c r="B444" s="2">
        <v>81.400000000000006</v>
      </c>
      <c r="C444" s="2">
        <v>23.08</v>
      </c>
      <c r="E444">
        <f t="shared" si="12"/>
        <v>52.24</v>
      </c>
      <c r="G444">
        <f t="shared" si="13"/>
        <v>-2.3085225742597328E-2</v>
      </c>
    </row>
    <row r="445" spans="1:7" x14ac:dyDescent="0.25">
      <c r="A445" s="1">
        <v>45953.705555555556</v>
      </c>
      <c r="B445" s="2">
        <v>82.72</v>
      </c>
      <c r="C445" s="2">
        <v>23.14</v>
      </c>
      <c r="E445">
        <f t="shared" si="12"/>
        <v>52.93</v>
      </c>
      <c r="G445">
        <f t="shared" si="13"/>
        <v>1.3121800901720561E-2</v>
      </c>
    </row>
    <row r="446" spans="1:7" x14ac:dyDescent="0.25">
      <c r="A446" s="1">
        <v>45954.705555555556</v>
      </c>
      <c r="B446" s="2">
        <v>83.11</v>
      </c>
      <c r="C446" s="2">
        <v>23.09</v>
      </c>
      <c r="E446">
        <f t="shared" si="12"/>
        <v>53.1</v>
      </c>
      <c r="G446">
        <f t="shared" si="13"/>
        <v>3.2066423779969475E-3</v>
      </c>
    </row>
    <row r="447" spans="1:7" x14ac:dyDescent="0.25">
      <c r="A447" s="1">
        <v>45957.705555555556</v>
      </c>
      <c r="B447" s="2">
        <v>86.33</v>
      </c>
      <c r="C447" s="2">
        <v>22.36</v>
      </c>
      <c r="E447">
        <f t="shared" si="12"/>
        <v>54.344999999999999</v>
      </c>
      <c r="G447">
        <f t="shared" si="13"/>
        <v>2.3175684767257152E-2</v>
      </c>
    </row>
    <row r="448" spans="1:7" x14ac:dyDescent="0.25">
      <c r="A448" s="1">
        <v>45958.705555555556</v>
      </c>
      <c r="B448" s="2">
        <v>84.25</v>
      </c>
      <c r="C448" s="2">
        <v>22.13</v>
      </c>
      <c r="E448">
        <f t="shared" si="12"/>
        <v>53.19</v>
      </c>
      <c r="G448">
        <f t="shared" si="13"/>
        <v>-2.1482204260924023E-2</v>
      </c>
    </row>
    <row r="449" spans="1:7" x14ac:dyDescent="0.25">
      <c r="A449" s="1">
        <v>45959.705555555556</v>
      </c>
      <c r="B449" s="2">
        <v>82.67</v>
      </c>
      <c r="C449" s="2">
        <v>22.06</v>
      </c>
      <c r="E449">
        <f t="shared" si="12"/>
        <v>52.365000000000002</v>
      </c>
      <c r="G449">
        <f t="shared" si="13"/>
        <v>-1.5631979529117133E-2</v>
      </c>
    </row>
    <row r="450" spans="1:7" x14ac:dyDescent="0.25">
      <c r="A450" s="1">
        <v>45960.705555555556</v>
      </c>
      <c r="B450" s="2">
        <v>80.25</v>
      </c>
      <c r="C450" s="2">
        <v>22.6</v>
      </c>
      <c r="E450">
        <f t="shared" si="12"/>
        <v>51.424999999999997</v>
      </c>
      <c r="G450">
        <f t="shared" si="13"/>
        <v>-1.8113993686088268E-2</v>
      </c>
    </row>
    <row r="451" spans="1:7" x14ac:dyDescent="0.25">
      <c r="A451" s="1">
        <v>45961.705555555556</v>
      </c>
      <c r="B451" s="2">
        <v>82.63</v>
      </c>
      <c r="C451" s="2">
        <v>22.45</v>
      </c>
      <c r="E451">
        <f t="shared" ref="E451:E489" si="14">AVERAGE(B451,C451)</f>
        <v>52.54</v>
      </c>
      <c r="G451">
        <f t="shared" si="13"/>
        <v>2.1450348718373043E-2</v>
      </c>
    </row>
    <row r="452" spans="1:7" x14ac:dyDescent="0.25">
      <c r="A452" s="1">
        <v>45964.705555555556</v>
      </c>
      <c r="B452" s="2">
        <v>78.61</v>
      </c>
      <c r="C452" s="2">
        <v>22.42</v>
      </c>
      <c r="E452">
        <f t="shared" si="14"/>
        <v>50.515000000000001</v>
      </c>
      <c r="G452">
        <f t="shared" ref="G452:G489" si="15">LN(E452/E451)</f>
        <v>-3.930446237769817E-2</v>
      </c>
    </row>
    <row r="453" spans="1:7" x14ac:dyDescent="0.25">
      <c r="A453" s="1">
        <v>45965.705555555556</v>
      </c>
      <c r="B453" s="2">
        <v>73.989999999999995</v>
      </c>
      <c r="C453" s="2">
        <v>22.2</v>
      </c>
      <c r="E453">
        <f t="shared" si="14"/>
        <v>48.094999999999999</v>
      </c>
      <c r="G453">
        <f t="shared" si="15"/>
        <v>-4.9092100275116721E-2</v>
      </c>
    </row>
    <row r="454" spans="1:7" x14ac:dyDescent="0.25">
      <c r="A454" s="1">
        <v>45966.705555555556</v>
      </c>
      <c r="B454" s="2">
        <v>76.5</v>
      </c>
      <c r="C454" s="2">
        <v>22.27</v>
      </c>
      <c r="E454">
        <f t="shared" si="14"/>
        <v>49.384999999999998</v>
      </c>
      <c r="G454">
        <f t="shared" si="15"/>
        <v>2.6468512755511792E-2</v>
      </c>
    </row>
    <row r="455" spans="1:7" x14ac:dyDescent="0.25">
      <c r="A455" s="1">
        <v>45967.705555555556</v>
      </c>
      <c r="B455" s="2">
        <v>73.92</v>
      </c>
      <c r="C455" s="2">
        <v>22.2</v>
      </c>
      <c r="E455">
        <f t="shared" si="14"/>
        <v>48.06</v>
      </c>
      <c r="G455">
        <f t="shared" si="15"/>
        <v>-2.7196504051767652E-2</v>
      </c>
    </row>
    <row r="456" spans="1:7" x14ac:dyDescent="0.25">
      <c r="A456" s="1">
        <v>45968.705555555556</v>
      </c>
      <c r="B456" s="2">
        <v>76.5</v>
      </c>
      <c r="C456" s="2">
        <v>22.29</v>
      </c>
      <c r="E456">
        <f t="shared" si="14"/>
        <v>49.394999999999996</v>
      </c>
      <c r="G456">
        <f t="shared" si="15"/>
        <v>2.7398974188114347E-2</v>
      </c>
    </row>
    <row r="457" spans="1:7" x14ac:dyDescent="0.25">
      <c r="A457" s="1">
        <v>45971.705555555556</v>
      </c>
      <c r="B457" s="2">
        <v>77.66</v>
      </c>
      <c r="C457" s="2">
        <v>22.71</v>
      </c>
      <c r="E457">
        <f t="shared" si="14"/>
        <v>50.185000000000002</v>
      </c>
      <c r="G457">
        <f t="shared" si="15"/>
        <v>1.5866972769326443E-2</v>
      </c>
    </row>
    <row r="458" spans="1:7" x14ac:dyDescent="0.25">
      <c r="A458" s="1">
        <v>45972.705555555556</v>
      </c>
      <c r="B458" s="2">
        <v>75</v>
      </c>
      <c r="C458" s="2">
        <v>22.73</v>
      </c>
      <c r="E458">
        <f t="shared" si="14"/>
        <v>48.865000000000002</v>
      </c>
      <c r="G458">
        <f t="shared" si="15"/>
        <v>-2.6654783474964507E-2</v>
      </c>
    </row>
    <row r="459" spans="1:7" x14ac:dyDescent="0.25">
      <c r="A459" s="1">
        <v>45973.705555555556</v>
      </c>
      <c r="B459" s="2">
        <v>74.62</v>
      </c>
      <c r="C459" s="2">
        <v>23.18</v>
      </c>
      <c r="E459">
        <f t="shared" si="14"/>
        <v>48.900000000000006</v>
      </c>
      <c r="G459">
        <f t="shared" si="15"/>
        <v>7.1600269002737994E-4</v>
      </c>
    </row>
    <row r="460" spans="1:7" x14ac:dyDescent="0.25">
      <c r="A460" s="1">
        <v>45974.705555555556</v>
      </c>
      <c r="B460" s="2">
        <v>71.599999999999994</v>
      </c>
      <c r="C460" s="2">
        <v>23.02</v>
      </c>
      <c r="E460">
        <f t="shared" si="14"/>
        <v>47.309999999999995</v>
      </c>
      <c r="G460">
        <f t="shared" si="15"/>
        <v>-3.3055706837769899E-2</v>
      </c>
    </row>
    <row r="461" spans="1:7" x14ac:dyDescent="0.25">
      <c r="A461" s="1">
        <v>45975.705555555556</v>
      </c>
      <c r="B461" s="2">
        <v>69.37</v>
      </c>
      <c r="C461" s="2">
        <v>22.59</v>
      </c>
      <c r="E461">
        <f t="shared" si="14"/>
        <v>45.980000000000004</v>
      </c>
      <c r="G461">
        <f t="shared" si="15"/>
        <v>-2.8515170308021007E-2</v>
      </c>
    </row>
    <row r="462" spans="1:7" x14ac:dyDescent="0.25">
      <c r="A462" s="1">
        <v>45978.705555555556</v>
      </c>
      <c r="B462" s="2">
        <v>67.069999999999993</v>
      </c>
      <c r="C462" s="2">
        <v>22.46</v>
      </c>
      <c r="E462">
        <f t="shared" si="14"/>
        <v>44.765000000000001</v>
      </c>
      <c r="G462">
        <f t="shared" si="15"/>
        <v>-2.6779935248916302E-2</v>
      </c>
    </row>
    <row r="463" spans="1:7" x14ac:dyDescent="0.25">
      <c r="A463" s="1">
        <v>45979.705555555556</v>
      </c>
      <c r="B463" s="2">
        <v>68.05</v>
      </c>
      <c r="C463" s="2">
        <v>22.61</v>
      </c>
      <c r="E463">
        <f t="shared" si="14"/>
        <v>45.33</v>
      </c>
      <c r="G463">
        <f t="shared" si="15"/>
        <v>1.2542480866638596E-2</v>
      </c>
    </row>
    <row r="464" spans="1:7" x14ac:dyDescent="0.25">
      <c r="A464" s="1">
        <v>45980.705555555556</v>
      </c>
      <c r="B464" s="2">
        <v>65.569999999999993</v>
      </c>
      <c r="C464" s="2">
        <v>22.69</v>
      </c>
      <c r="E464">
        <f t="shared" si="14"/>
        <v>44.129999999999995</v>
      </c>
      <c r="G464">
        <f t="shared" si="15"/>
        <v>-2.6829241671302149E-2</v>
      </c>
    </row>
    <row r="465" spans="1:7" x14ac:dyDescent="0.25">
      <c r="A465" s="1">
        <v>45982.705555555556</v>
      </c>
      <c r="B465" s="2">
        <v>62.63</v>
      </c>
      <c r="C465" s="2">
        <v>22.9</v>
      </c>
      <c r="E465">
        <f t="shared" si="14"/>
        <v>42.765000000000001</v>
      </c>
      <c r="G465">
        <f t="shared" si="15"/>
        <v>-3.1419812248710731E-2</v>
      </c>
    </row>
    <row r="466" spans="1:7" x14ac:dyDescent="0.25">
      <c r="A466" s="1">
        <v>45985.705555555556</v>
      </c>
      <c r="B466" s="2">
        <v>66.5</v>
      </c>
      <c r="C466" s="2">
        <v>23.21</v>
      </c>
      <c r="E466">
        <f t="shared" si="14"/>
        <v>44.855000000000004</v>
      </c>
      <c r="G466">
        <f t="shared" si="15"/>
        <v>4.7715053978501926E-2</v>
      </c>
    </row>
    <row r="467" spans="1:7" x14ac:dyDescent="0.25">
      <c r="A467" s="1">
        <v>45986.705555555556</v>
      </c>
      <c r="B467" s="2">
        <v>65.349999999999994</v>
      </c>
      <c r="C467" s="2">
        <v>23.22</v>
      </c>
      <c r="E467">
        <f t="shared" si="14"/>
        <v>44.284999999999997</v>
      </c>
      <c r="G467">
        <f t="shared" si="15"/>
        <v>-1.2789045749700688E-2</v>
      </c>
    </row>
    <row r="468" spans="1:7" x14ac:dyDescent="0.25">
      <c r="A468" s="1">
        <v>45987.705555555556</v>
      </c>
      <c r="B468" s="2">
        <v>66.569999999999993</v>
      </c>
      <c r="C468" s="2">
        <v>23.17</v>
      </c>
      <c r="E468">
        <f t="shared" si="14"/>
        <v>44.87</v>
      </c>
      <c r="G468">
        <f t="shared" si="15"/>
        <v>1.3123400726345632E-2</v>
      </c>
    </row>
    <row r="469" spans="1:7" x14ac:dyDescent="0.25">
      <c r="A469" s="1">
        <v>45988.705555555556</v>
      </c>
      <c r="B469" s="2">
        <v>67.59</v>
      </c>
      <c r="C469" s="2">
        <v>23.22</v>
      </c>
      <c r="E469">
        <f t="shared" si="14"/>
        <v>45.405000000000001</v>
      </c>
      <c r="G469">
        <f t="shared" si="15"/>
        <v>1.1852811153899863E-2</v>
      </c>
    </row>
    <row r="470" spans="1:7" x14ac:dyDescent="0.25">
      <c r="A470" s="1">
        <v>45989.705555555556</v>
      </c>
      <c r="B470" s="2">
        <v>67.7</v>
      </c>
      <c r="C470" s="2">
        <v>23.42</v>
      </c>
      <c r="E470">
        <f t="shared" si="14"/>
        <v>45.56</v>
      </c>
      <c r="G470">
        <f t="shared" si="15"/>
        <v>3.4079074371896651E-3</v>
      </c>
    </row>
    <row r="471" spans="1:7" x14ac:dyDescent="0.25">
      <c r="A471" s="1">
        <v>45992.705555555556</v>
      </c>
      <c r="B471" s="2">
        <v>62.7</v>
      </c>
      <c r="C471" s="2">
        <v>23.67</v>
      </c>
      <c r="E471">
        <f t="shared" si="14"/>
        <v>43.185000000000002</v>
      </c>
      <c r="G471">
        <f t="shared" si="15"/>
        <v>-5.3536925846732496E-2</v>
      </c>
    </row>
    <row r="472" spans="1:7" x14ac:dyDescent="0.25">
      <c r="A472" s="1">
        <v>45993.705555555556</v>
      </c>
      <c r="B472" s="2">
        <v>67</v>
      </c>
      <c r="C472" s="2">
        <v>23.39</v>
      </c>
      <c r="E472">
        <f t="shared" si="14"/>
        <v>45.195</v>
      </c>
      <c r="G472">
        <f t="shared" si="15"/>
        <v>4.5493248518125265E-2</v>
      </c>
    </row>
    <row r="473" spans="1:7" x14ac:dyDescent="0.25">
      <c r="A473" s="1">
        <v>45994.705555555556</v>
      </c>
      <c r="B473" s="2">
        <v>68.5</v>
      </c>
      <c r="C473" s="2">
        <v>23.38</v>
      </c>
      <c r="E473">
        <f t="shared" si="14"/>
        <v>45.94</v>
      </c>
      <c r="G473">
        <f t="shared" si="15"/>
        <v>1.6349736010577876E-2</v>
      </c>
    </row>
    <row r="474" spans="1:7" x14ac:dyDescent="0.25">
      <c r="A474" s="1">
        <v>45995.705555555556</v>
      </c>
      <c r="B474" s="2">
        <v>68</v>
      </c>
      <c r="C474" s="2">
        <v>23.32</v>
      </c>
      <c r="E474">
        <f t="shared" si="14"/>
        <v>45.66</v>
      </c>
      <c r="G474">
        <f t="shared" si="15"/>
        <v>-6.1135561593027151E-3</v>
      </c>
    </row>
    <row r="475" spans="1:7" x14ac:dyDescent="0.25">
      <c r="A475" s="1">
        <v>45996.705555555556</v>
      </c>
      <c r="B475" s="2">
        <v>66.92</v>
      </c>
      <c r="C475" s="2">
        <v>23.86</v>
      </c>
      <c r="E475">
        <f t="shared" si="14"/>
        <v>45.39</v>
      </c>
      <c r="G475">
        <f t="shared" si="15"/>
        <v>-5.9308246332751367E-3</v>
      </c>
    </row>
    <row r="476" spans="1:7" x14ac:dyDescent="0.25">
      <c r="A476" s="1">
        <v>45999.705555555556</v>
      </c>
      <c r="B476" s="2">
        <v>67.8</v>
      </c>
      <c r="C476" s="2">
        <v>23.76</v>
      </c>
      <c r="E476">
        <f t="shared" si="14"/>
        <v>45.78</v>
      </c>
      <c r="G476">
        <f t="shared" si="15"/>
        <v>8.5554980560463272E-3</v>
      </c>
    </row>
    <row r="477" spans="1:7" x14ac:dyDescent="0.25">
      <c r="A477" s="1">
        <v>46000.705555555556</v>
      </c>
      <c r="B477" s="2">
        <v>69.900000000000006</v>
      </c>
      <c r="C477" s="2">
        <v>23.88</v>
      </c>
      <c r="E477">
        <f t="shared" si="14"/>
        <v>46.89</v>
      </c>
      <c r="G477">
        <f t="shared" si="15"/>
        <v>2.3957118577074291E-2</v>
      </c>
    </row>
    <row r="478" spans="1:7" x14ac:dyDescent="0.25">
      <c r="A478" s="1">
        <v>46001.705555555556</v>
      </c>
      <c r="B478" s="2">
        <v>69.86</v>
      </c>
      <c r="C478" s="2">
        <v>24.12</v>
      </c>
      <c r="E478">
        <f t="shared" si="14"/>
        <v>46.99</v>
      </c>
      <c r="G478">
        <f t="shared" si="15"/>
        <v>2.1303800132294018E-3</v>
      </c>
    </row>
    <row r="479" spans="1:7" x14ac:dyDescent="0.25">
      <c r="A479" s="1">
        <v>46003.705555555556</v>
      </c>
      <c r="B479" s="2">
        <v>67.8</v>
      </c>
      <c r="C479" s="2">
        <v>24.28</v>
      </c>
      <c r="E479">
        <f t="shared" si="14"/>
        <v>46.04</v>
      </c>
      <c r="G479">
        <f t="shared" si="15"/>
        <v>-2.0424229261042537E-2</v>
      </c>
    </row>
    <row r="480" spans="1:7" x14ac:dyDescent="0.25">
      <c r="A480" s="1">
        <v>46006.705555555556</v>
      </c>
      <c r="B480" s="2">
        <v>63.61</v>
      </c>
      <c r="C480" s="2">
        <v>24.33</v>
      </c>
      <c r="E480">
        <f t="shared" si="14"/>
        <v>43.97</v>
      </c>
      <c r="G480">
        <f t="shared" si="15"/>
        <v>-4.6003000660963148E-2</v>
      </c>
    </row>
    <row r="481" spans="1:7" x14ac:dyDescent="0.25">
      <c r="A481" s="1">
        <v>46007.705555555556</v>
      </c>
      <c r="B481" s="2">
        <v>66.37</v>
      </c>
      <c r="C481" s="2">
        <v>24.54</v>
      </c>
      <c r="E481">
        <f t="shared" si="14"/>
        <v>45.454999999999998</v>
      </c>
      <c r="G481">
        <f t="shared" si="15"/>
        <v>3.3215242381102739E-2</v>
      </c>
    </row>
    <row r="482" spans="1:7" x14ac:dyDescent="0.25">
      <c r="A482" s="1">
        <v>46008.705555555556</v>
      </c>
      <c r="B482" s="2">
        <v>64.52</v>
      </c>
      <c r="C482" s="2">
        <v>24.94</v>
      </c>
      <c r="E482">
        <f t="shared" si="14"/>
        <v>44.73</v>
      </c>
      <c r="G482">
        <f t="shared" si="15"/>
        <v>-1.6078408129064789E-2</v>
      </c>
    </row>
    <row r="483" spans="1:7" x14ac:dyDescent="0.25">
      <c r="A483" s="1">
        <v>46009.705555555556</v>
      </c>
      <c r="B483" s="2">
        <v>63.52</v>
      </c>
      <c r="C483" s="2">
        <v>24.96</v>
      </c>
      <c r="E483">
        <f t="shared" si="14"/>
        <v>44.24</v>
      </c>
      <c r="G483">
        <f t="shared" si="15"/>
        <v>-1.1015060230677318E-2</v>
      </c>
    </row>
    <row r="484" spans="1:7" x14ac:dyDescent="0.25">
      <c r="A484" s="1">
        <v>46010.705555555556</v>
      </c>
      <c r="B484" s="2">
        <v>66.7</v>
      </c>
      <c r="C484" s="2">
        <v>25.06</v>
      </c>
      <c r="E484">
        <f t="shared" si="14"/>
        <v>45.88</v>
      </c>
      <c r="G484">
        <f t="shared" si="15"/>
        <v>3.6399935047090652E-2</v>
      </c>
    </row>
    <row r="485" spans="1:7" x14ac:dyDescent="0.25">
      <c r="A485" s="1">
        <v>46013.705555555556</v>
      </c>
      <c r="B485" s="2">
        <v>66.97</v>
      </c>
      <c r="C485" s="2">
        <v>25.88</v>
      </c>
      <c r="E485">
        <f t="shared" si="14"/>
        <v>46.424999999999997</v>
      </c>
      <c r="G485">
        <f t="shared" si="15"/>
        <v>1.1808814977599365E-2</v>
      </c>
    </row>
    <row r="486" spans="1:7" x14ac:dyDescent="0.25">
      <c r="A486" s="1">
        <v>46014.705555555556</v>
      </c>
      <c r="B486" s="2">
        <v>65.680000000000007</v>
      </c>
      <c r="C486" s="2">
        <v>25.92</v>
      </c>
      <c r="E486">
        <f t="shared" si="14"/>
        <v>45.800000000000004</v>
      </c>
      <c r="G486">
        <f t="shared" si="15"/>
        <v>-1.3554016118630044E-2</v>
      </c>
    </row>
    <row r="487" spans="1:7" x14ac:dyDescent="0.25">
      <c r="A487" s="1">
        <v>46017.705555555556</v>
      </c>
      <c r="B487" s="2">
        <v>65.099999999999994</v>
      </c>
      <c r="C487" s="2">
        <v>26.19</v>
      </c>
      <c r="E487">
        <f t="shared" si="14"/>
        <v>45.644999999999996</v>
      </c>
      <c r="G487">
        <f t="shared" si="15"/>
        <v>-3.3900191030953948E-3</v>
      </c>
    </row>
    <row r="488" spans="1:7" x14ac:dyDescent="0.25">
      <c r="A488" s="1">
        <v>46020.705555555556</v>
      </c>
      <c r="B488" s="2">
        <v>66.150000000000006</v>
      </c>
      <c r="C488" s="2">
        <v>25.18</v>
      </c>
      <c r="E488">
        <f t="shared" si="14"/>
        <v>45.665000000000006</v>
      </c>
      <c r="G488">
        <f t="shared" si="15"/>
        <v>4.3806812659844414E-4</v>
      </c>
    </row>
    <row r="489" spans="1:7" x14ac:dyDescent="0.25">
      <c r="A489" s="1">
        <v>46021.705555555556</v>
      </c>
      <c r="B489" s="2">
        <v>65.75</v>
      </c>
      <c r="C489" s="2">
        <v>24.77</v>
      </c>
      <c r="E489">
        <f t="shared" si="14"/>
        <v>45.26</v>
      </c>
      <c r="G489">
        <f t="shared" si="15"/>
        <v>-8.9084999382511732E-3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FD6D-EA6E-47F0-A8D3-D7F14AFED936}">
  <dimension ref="A1:I488"/>
  <sheetViews>
    <sheetView workbookViewId="0">
      <selection activeCell="I6" sqref="I6"/>
    </sheetView>
  </sheetViews>
  <sheetFormatPr defaultRowHeight="15" x14ac:dyDescent="0.25"/>
  <cols>
    <col min="1" max="1" width="15.5703125" bestFit="1" customWidth="1"/>
    <col min="3" max="3" width="12" bestFit="1" customWidth="1"/>
    <col min="5" max="5" width="12" bestFit="1" customWidth="1"/>
    <col min="8" max="8" width="10.28515625" bestFit="1" customWidth="1"/>
    <col min="9" max="9" width="11.140625" bestFit="1" customWidth="1"/>
  </cols>
  <sheetData>
    <row r="1" spans="1:9" x14ac:dyDescent="0.25">
      <c r="B1" t="s">
        <v>4</v>
      </c>
      <c r="C1" t="s">
        <v>6</v>
      </c>
      <c r="D1" t="s">
        <v>7</v>
      </c>
      <c r="E1" t="s">
        <v>8</v>
      </c>
    </row>
    <row r="2" spans="1:9" x14ac:dyDescent="0.25">
      <c r="A2" s="1">
        <v>46021.705555555556</v>
      </c>
      <c r="B2">
        <v>-8.9084999382511732E-3</v>
      </c>
      <c r="C2">
        <f>B2^2</f>
        <v>7.9361371149821151E-5</v>
      </c>
      <c r="D2">
        <f>(1-$I$2)^F2</f>
        <v>6.0000000000000053E-2</v>
      </c>
      <c r="E2">
        <f>D2*C2</f>
        <v>4.7616822689892736E-6</v>
      </c>
      <c r="F2">
        <v>1</v>
      </c>
      <c r="H2" t="s">
        <v>9</v>
      </c>
      <c r="I2">
        <v>0.94</v>
      </c>
    </row>
    <row r="3" spans="1:9" x14ac:dyDescent="0.25">
      <c r="A3" s="1">
        <v>46020.705555555556</v>
      </c>
      <c r="B3">
        <v>4.3806812659844414E-4</v>
      </c>
      <c r="C3">
        <f t="shared" ref="C3:C66" si="0">B3^2</f>
        <v>1.9190368354147048E-7</v>
      </c>
      <c r="D3">
        <f t="shared" ref="D3:D66" si="1">(1-$I$2)^F3</f>
        <v>3.6000000000000064E-3</v>
      </c>
      <c r="E3">
        <f>D3*C3</f>
        <v>6.9085326074929493E-10</v>
      </c>
      <c r="F3">
        <v>2</v>
      </c>
      <c r="H3" s="4" t="s">
        <v>11</v>
      </c>
      <c r="I3" s="8">
        <f>SUM(E2:E488)</f>
        <v>4.7674069904091656E-6</v>
      </c>
    </row>
    <row r="4" spans="1:9" x14ac:dyDescent="0.25">
      <c r="A4" s="1">
        <v>46017.705555555556</v>
      </c>
      <c r="B4">
        <v>-3.3900191030953948E-3</v>
      </c>
      <c r="C4">
        <f t="shared" si="0"/>
        <v>1.1492229519351705E-5</v>
      </c>
      <c r="D4">
        <f t="shared" si="1"/>
        <v>2.1600000000000059E-4</v>
      </c>
      <c r="E4">
        <f t="shared" ref="E3:E66" si="2">D4*C4</f>
        <v>2.4823215761799751E-9</v>
      </c>
      <c r="F4">
        <v>3</v>
      </c>
      <c r="H4" s="5" t="s">
        <v>10</v>
      </c>
      <c r="I4" s="6">
        <f>SQRT(I3)</f>
        <v>2.1834392573206992E-3</v>
      </c>
    </row>
    <row r="5" spans="1:9" x14ac:dyDescent="0.25">
      <c r="A5" s="1">
        <v>46014.705555555556</v>
      </c>
      <c r="B5">
        <v>-1.3554016118630044E-2</v>
      </c>
      <c r="C5">
        <f t="shared" si="0"/>
        <v>1.8371135294408303E-4</v>
      </c>
      <c r="D5">
        <f t="shared" si="1"/>
        <v>1.2960000000000045E-5</v>
      </c>
      <c r="E5">
        <f t="shared" si="2"/>
        <v>2.3808991341553244E-9</v>
      </c>
      <c r="F5">
        <v>4</v>
      </c>
      <c r="H5" s="5" t="s">
        <v>12</v>
      </c>
      <c r="I5" s="7">
        <f>_xlfn.STDEV.S(B2:B488)</f>
        <v>2.489091623540968E-2</v>
      </c>
    </row>
    <row r="6" spans="1:9" x14ac:dyDescent="0.25">
      <c r="A6" s="1">
        <v>46013.705555555556</v>
      </c>
      <c r="B6">
        <v>1.1808814977599365E-2</v>
      </c>
      <c r="C6">
        <f t="shared" si="0"/>
        <v>1.394481111751751E-4</v>
      </c>
      <c r="D6">
        <f t="shared" si="1"/>
        <v>7.7760000000000336E-7</v>
      </c>
      <c r="E6">
        <f t="shared" si="2"/>
        <v>1.0843485124981663E-10</v>
      </c>
      <c r="F6">
        <v>5</v>
      </c>
      <c r="H6" t="s">
        <v>13</v>
      </c>
      <c r="I6" s="9">
        <f>AVERAGE(I4,I5)</f>
        <v>1.3537177746365189E-2</v>
      </c>
    </row>
    <row r="7" spans="1:9" x14ac:dyDescent="0.25">
      <c r="A7" s="1">
        <v>46010.705555555556</v>
      </c>
      <c r="B7">
        <v>3.6399935047090652E-2</v>
      </c>
      <c r="C7">
        <f t="shared" si="0"/>
        <v>1.3249552714324183E-3</v>
      </c>
      <c r="D7">
        <f t="shared" si="1"/>
        <v>4.6656000000000249E-8</v>
      </c>
      <c r="E7">
        <f t="shared" si="2"/>
        <v>6.1817113143951237E-11</v>
      </c>
      <c r="F7">
        <v>6</v>
      </c>
    </row>
    <row r="8" spans="1:9" x14ac:dyDescent="0.25">
      <c r="A8" s="1">
        <v>46009.705555555556</v>
      </c>
      <c r="B8">
        <v>-1.1015060230677318E-2</v>
      </c>
      <c r="C8">
        <f t="shared" si="0"/>
        <v>1.2133155188544904E-4</v>
      </c>
      <c r="D8">
        <f t="shared" si="1"/>
        <v>2.7993600000000175E-9</v>
      </c>
      <c r="E8">
        <f t="shared" si="2"/>
        <v>3.3965069308605273E-13</v>
      </c>
      <c r="F8">
        <v>7</v>
      </c>
      <c r="H8" s="10" t="s">
        <v>5</v>
      </c>
      <c r="I8" s="11">
        <f>AVERAGE(B2:B488)-1.65*I4</f>
        <v>-2.1789208718699079E-3</v>
      </c>
    </row>
    <row r="9" spans="1:9" x14ac:dyDescent="0.25">
      <c r="A9" s="1">
        <v>46008.705555555556</v>
      </c>
      <c r="B9">
        <v>-1.6078408129064789E-2</v>
      </c>
      <c r="C9">
        <f t="shared" si="0"/>
        <v>2.5851520796477671E-4</v>
      </c>
      <c r="D9">
        <f t="shared" si="1"/>
        <v>1.6796160000000116E-10</v>
      </c>
      <c r="E9">
        <f t="shared" si="2"/>
        <v>4.3420627954096941E-14</v>
      </c>
      <c r="F9">
        <v>8</v>
      </c>
    </row>
    <row r="10" spans="1:9" x14ac:dyDescent="0.25">
      <c r="A10" s="1">
        <v>46007.705555555556</v>
      </c>
      <c r="B10">
        <v>3.3215242381102739E-2</v>
      </c>
      <c r="C10">
        <f t="shared" si="0"/>
        <v>1.1032523264354035E-3</v>
      </c>
      <c r="D10">
        <f t="shared" si="1"/>
        <v>1.0077696000000079E-11</v>
      </c>
      <c r="E10">
        <f t="shared" si="2"/>
        <v>1.1118241557108849E-14</v>
      </c>
      <c r="F10">
        <v>9</v>
      </c>
    </row>
    <row r="11" spans="1:9" x14ac:dyDescent="0.25">
      <c r="A11" s="1">
        <v>46006.705555555556</v>
      </c>
      <c r="B11">
        <v>-4.6003000660963148E-2</v>
      </c>
      <c r="C11">
        <f t="shared" si="0"/>
        <v>2.1162760698125757E-3</v>
      </c>
      <c r="D11">
        <f t="shared" si="1"/>
        <v>6.0466176000000531E-13</v>
      </c>
      <c r="E11">
        <f t="shared" si="2"/>
        <v>1.2796312130187662E-15</v>
      </c>
      <c r="F11">
        <v>10</v>
      </c>
    </row>
    <row r="12" spans="1:9" x14ac:dyDescent="0.25">
      <c r="A12" s="1">
        <v>46003.705555555556</v>
      </c>
      <c r="B12">
        <v>-2.0424229261042537E-2</v>
      </c>
      <c r="C12">
        <f t="shared" si="0"/>
        <v>4.1714914090762618E-4</v>
      </c>
      <c r="D12">
        <f t="shared" si="1"/>
        <v>3.6279705600000347E-14</v>
      </c>
      <c r="E12">
        <f t="shared" si="2"/>
        <v>1.513404802342174E-17</v>
      </c>
      <c r="F12">
        <v>11</v>
      </c>
    </row>
    <row r="13" spans="1:9" x14ac:dyDescent="0.25">
      <c r="A13" s="1">
        <v>46001.705555555556</v>
      </c>
      <c r="B13">
        <v>2.1303800132294018E-3</v>
      </c>
      <c r="C13">
        <f t="shared" si="0"/>
        <v>4.5385190007673061E-6</v>
      </c>
      <c r="D13">
        <f t="shared" si="1"/>
        <v>2.1767823360000226E-15</v>
      </c>
      <c r="E13">
        <f t="shared" si="2"/>
        <v>9.8793679924707448E-21</v>
      </c>
      <c r="F13">
        <v>12</v>
      </c>
    </row>
    <row r="14" spans="1:9" x14ac:dyDescent="0.25">
      <c r="A14" s="1">
        <v>46000.705555555556</v>
      </c>
      <c r="B14">
        <v>2.3957118577074291E-2</v>
      </c>
      <c r="C14">
        <f t="shared" si="0"/>
        <v>5.7394353051599804E-4</v>
      </c>
      <c r="D14">
        <f t="shared" si="1"/>
        <v>1.3060694016000148E-16</v>
      </c>
      <c r="E14">
        <f t="shared" si="2"/>
        <v>7.4961008345322943E-20</v>
      </c>
      <c r="F14">
        <v>13</v>
      </c>
    </row>
    <row r="15" spans="1:9" x14ac:dyDescent="0.25">
      <c r="A15" s="1">
        <v>45999.705555555556</v>
      </c>
      <c r="B15">
        <v>8.5554980560463272E-3</v>
      </c>
      <c r="C15">
        <f t="shared" si="0"/>
        <v>7.3196546987012483E-5</v>
      </c>
      <c r="D15">
        <f t="shared" si="1"/>
        <v>7.8364164096000961E-18</v>
      </c>
      <c r="E15">
        <f t="shared" si="2"/>
        <v>5.7359862193508907E-22</v>
      </c>
      <c r="F15">
        <v>14</v>
      </c>
    </row>
    <row r="16" spans="1:9" x14ac:dyDescent="0.25">
      <c r="A16" s="1">
        <v>45996.705555555556</v>
      </c>
      <c r="B16">
        <v>-5.9308246332751367E-3</v>
      </c>
      <c r="C16">
        <f t="shared" si="0"/>
        <v>3.5174680830663161E-5</v>
      </c>
      <c r="D16">
        <f t="shared" si="1"/>
        <v>4.7018498457600622E-19</v>
      </c>
      <c r="E16">
        <f t="shared" si="2"/>
        <v>1.65386067638313E-23</v>
      </c>
      <c r="F16">
        <v>15</v>
      </c>
    </row>
    <row r="17" spans="1:6" x14ac:dyDescent="0.25">
      <c r="A17" s="1">
        <v>45995.705555555556</v>
      </c>
      <c r="B17">
        <v>-6.1135561593027151E-3</v>
      </c>
      <c r="C17">
        <f t="shared" si="0"/>
        <v>3.7375568912948164E-5</v>
      </c>
      <c r="D17">
        <f t="shared" si="1"/>
        <v>2.8211099074560388E-20</v>
      </c>
      <c r="E17">
        <f t="shared" si="2"/>
        <v>1.05440587757124E-24</v>
      </c>
      <c r="F17">
        <v>16</v>
      </c>
    </row>
    <row r="18" spans="1:6" x14ac:dyDescent="0.25">
      <c r="A18" s="1">
        <v>45994.705555555556</v>
      </c>
      <c r="B18">
        <v>1.6349736010577876E-2</v>
      </c>
      <c r="C18">
        <f t="shared" si="0"/>
        <v>2.6731386761558694E-4</v>
      </c>
      <c r="D18">
        <f t="shared" si="1"/>
        <v>1.6926659444736248E-21</v>
      </c>
      <c r="E18">
        <f t="shared" si="2"/>
        <v>4.5247308019843496E-25</v>
      </c>
      <c r="F18">
        <v>17</v>
      </c>
    </row>
    <row r="19" spans="1:6" x14ac:dyDescent="0.25">
      <c r="A19" s="1">
        <v>45993.705555555556</v>
      </c>
      <c r="B19">
        <v>4.5493248518125265E-2</v>
      </c>
      <c r="C19">
        <f t="shared" si="0"/>
        <v>2.0696356607319065E-3</v>
      </c>
      <c r="D19">
        <f t="shared" si="1"/>
        <v>1.0155995666841757E-22</v>
      </c>
      <c r="E19">
        <f t="shared" si="2"/>
        <v>2.1019210802334419E-25</v>
      </c>
      <c r="F19">
        <v>18</v>
      </c>
    </row>
    <row r="20" spans="1:6" x14ac:dyDescent="0.25">
      <c r="A20" s="1">
        <v>45992.705555555556</v>
      </c>
      <c r="B20">
        <v>-5.3536925846732496E-2</v>
      </c>
      <c r="C20">
        <f t="shared" si="0"/>
        <v>2.8662024291185341E-3</v>
      </c>
      <c r="D20">
        <f t="shared" si="1"/>
        <v>6.0935974001050602E-24</v>
      </c>
      <c r="E20">
        <f t="shared" si="2"/>
        <v>1.7465483670251508E-26</v>
      </c>
      <c r="F20">
        <v>19</v>
      </c>
    </row>
    <row r="21" spans="1:6" x14ac:dyDescent="0.25">
      <c r="A21" s="1">
        <v>45989.705555555556</v>
      </c>
      <c r="B21">
        <v>3.4079074371896651E-3</v>
      </c>
      <c r="C21">
        <f t="shared" si="0"/>
        <v>1.1613833100452631E-5</v>
      </c>
      <c r="D21">
        <f t="shared" si="1"/>
        <v>3.656158440063039E-25</v>
      </c>
      <c r="E21">
        <f t="shared" si="2"/>
        <v>4.2462013911703381E-30</v>
      </c>
      <c r="F21">
        <v>20</v>
      </c>
    </row>
    <row r="22" spans="1:6" x14ac:dyDescent="0.25">
      <c r="A22" s="1">
        <v>45988.705555555556</v>
      </c>
      <c r="B22">
        <v>1.1852811153899863E-2</v>
      </c>
      <c r="C22">
        <f t="shared" si="0"/>
        <v>1.4048913225001299E-4</v>
      </c>
      <c r="D22">
        <f t="shared" si="1"/>
        <v>2.1936950640378254E-26</v>
      </c>
      <c r="E22">
        <f t="shared" si="2"/>
        <v>3.0819031596781076E-30</v>
      </c>
      <c r="F22">
        <v>21</v>
      </c>
    </row>
    <row r="23" spans="1:6" x14ac:dyDescent="0.25">
      <c r="A23" s="1">
        <v>45987.705555555556</v>
      </c>
      <c r="B23">
        <v>1.3123400726345632E-2</v>
      </c>
      <c r="C23">
        <f t="shared" si="0"/>
        <v>1.7222364662424904E-4</v>
      </c>
      <c r="D23">
        <f t="shared" si="1"/>
        <v>1.3162170384226964E-27</v>
      </c>
      <c r="E23">
        <f t="shared" si="2"/>
        <v>2.2668369810612608E-31</v>
      </c>
      <c r="F23">
        <v>22</v>
      </c>
    </row>
    <row r="24" spans="1:6" x14ac:dyDescent="0.25">
      <c r="A24" s="1">
        <v>45986.705555555556</v>
      </c>
      <c r="B24">
        <v>-1.2789045749700688E-2</v>
      </c>
      <c r="C24">
        <f t="shared" si="0"/>
        <v>1.6355969118793723E-4</v>
      </c>
      <c r="D24">
        <f t="shared" si="1"/>
        <v>7.8973022305361858E-29</v>
      </c>
      <c r="E24">
        <f t="shared" si="2"/>
        <v>1.2916803140443065E-32</v>
      </c>
      <c r="F24">
        <v>23</v>
      </c>
    </row>
    <row r="25" spans="1:6" x14ac:dyDescent="0.25">
      <c r="A25" s="1">
        <v>45985.705555555556</v>
      </c>
      <c r="B25">
        <v>4.7715053978501926E-2</v>
      </c>
      <c r="C25">
        <f t="shared" si="0"/>
        <v>2.2767263761713525E-3</v>
      </c>
      <c r="D25">
        <f t="shared" si="1"/>
        <v>4.738381338321715E-30</v>
      </c>
      <c r="E25">
        <f t="shared" si="2"/>
        <v>1.0787997773315162E-32</v>
      </c>
      <c r="F25">
        <v>24</v>
      </c>
    </row>
    <row r="26" spans="1:6" x14ac:dyDescent="0.25">
      <c r="A26" s="1">
        <v>45982.705555555556</v>
      </c>
      <c r="B26">
        <v>-3.1419812248710731E-2</v>
      </c>
      <c r="C26">
        <f t="shared" si="0"/>
        <v>9.8720460174423277E-4</v>
      </c>
      <c r="D26">
        <f t="shared" si="1"/>
        <v>2.8430288029930316E-31</v>
      </c>
      <c r="E26">
        <f t="shared" si="2"/>
        <v>2.8066511172061184E-34</v>
      </c>
      <c r="F26">
        <v>25</v>
      </c>
    </row>
    <row r="27" spans="1:6" x14ac:dyDescent="0.25">
      <c r="A27" s="1">
        <v>45980.705555555556</v>
      </c>
      <c r="B27">
        <v>-2.6829241671302149E-2</v>
      </c>
      <c r="C27">
        <f t="shared" si="0"/>
        <v>7.1980820865713579E-4</v>
      </c>
      <c r="D27">
        <f t="shared" si="1"/>
        <v>1.7058172817958206E-32</v>
      </c>
      <c r="E27">
        <f t="shared" si="2"/>
        <v>1.2278612819058342E-35</v>
      </c>
      <c r="F27">
        <v>26</v>
      </c>
    </row>
    <row r="28" spans="1:6" x14ac:dyDescent="0.25">
      <c r="A28" s="1">
        <v>45979.705555555556</v>
      </c>
      <c r="B28">
        <v>1.2542480866638596E-2</v>
      </c>
      <c r="C28">
        <f t="shared" si="0"/>
        <v>1.5731382628999526E-4</v>
      </c>
      <c r="D28">
        <f t="shared" si="1"/>
        <v>1.0234903690774931E-33</v>
      </c>
      <c r="E28">
        <f t="shared" si="2"/>
        <v>1.6100918613053989E-37</v>
      </c>
      <c r="F28">
        <v>27</v>
      </c>
    </row>
    <row r="29" spans="1:6" x14ac:dyDescent="0.25">
      <c r="A29" s="1">
        <v>45978.705555555556</v>
      </c>
      <c r="B29">
        <v>-2.6779935248916302E-2</v>
      </c>
      <c r="C29">
        <f t="shared" si="0"/>
        <v>7.1716493193614984E-4</v>
      </c>
      <c r="D29">
        <f t="shared" si="1"/>
        <v>6.1409422144649633E-35</v>
      </c>
      <c r="E29">
        <f t="shared" si="2"/>
        <v>4.4040684052605949E-38</v>
      </c>
      <c r="F29">
        <v>28</v>
      </c>
    </row>
    <row r="30" spans="1:6" x14ac:dyDescent="0.25">
      <c r="A30" s="1">
        <v>45975.705555555556</v>
      </c>
      <c r="B30">
        <v>-2.8515170308021007E-2</v>
      </c>
      <c r="C30">
        <f t="shared" si="0"/>
        <v>8.1311493769544287E-4</v>
      </c>
      <c r="D30">
        <f t="shared" si="1"/>
        <v>3.6845653286789814E-36</v>
      </c>
      <c r="E30">
        <f t="shared" si="2"/>
        <v>2.9959751076635992E-39</v>
      </c>
      <c r="F30">
        <v>29</v>
      </c>
    </row>
    <row r="31" spans="1:6" x14ac:dyDescent="0.25">
      <c r="A31" s="1">
        <v>45974.705555555556</v>
      </c>
      <c r="B31">
        <v>-3.3055706837769899E-2</v>
      </c>
      <c r="C31">
        <f t="shared" si="0"/>
        <v>1.0926797545445877E-3</v>
      </c>
      <c r="D31">
        <f t="shared" si="1"/>
        <v>2.2107391972073912E-37</v>
      </c>
      <c r="E31">
        <f t="shared" si="2"/>
        <v>2.415629963366671E-40</v>
      </c>
      <c r="F31">
        <v>30</v>
      </c>
    </row>
    <row r="32" spans="1:6" x14ac:dyDescent="0.25">
      <c r="A32" s="1">
        <v>45973.705555555556</v>
      </c>
      <c r="B32">
        <v>7.1600269002737994E-4</v>
      </c>
      <c r="C32">
        <f t="shared" si="0"/>
        <v>5.1265985212644437E-7</v>
      </c>
      <c r="D32">
        <f t="shared" si="1"/>
        <v>1.3264435183244361E-38</v>
      </c>
      <c r="E32">
        <f t="shared" si="2"/>
        <v>6.8001433795828603E-45</v>
      </c>
      <c r="F32">
        <v>31</v>
      </c>
    </row>
    <row r="33" spans="1:6" x14ac:dyDescent="0.25">
      <c r="A33" s="1">
        <v>45972.705555555556</v>
      </c>
      <c r="B33">
        <v>-2.6654783474964507E-2</v>
      </c>
      <c r="C33">
        <f t="shared" si="0"/>
        <v>7.1047748209724097E-4</v>
      </c>
      <c r="D33">
        <f t="shared" si="1"/>
        <v>7.9586611099466195E-40</v>
      </c>
      <c r="E33">
        <f t="shared" si="2"/>
        <v>5.6544495062601073E-43</v>
      </c>
      <c r="F33">
        <v>32</v>
      </c>
    </row>
    <row r="34" spans="1:6" x14ac:dyDescent="0.25">
      <c r="A34" s="1">
        <v>45971.705555555556</v>
      </c>
      <c r="B34">
        <v>1.5866972769326443E-2</v>
      </c>
      <c r="C34">
        <f t="shared" si="0"/>
        <v>2.5176082486254683E-4</v>
      </c>
      <c r="D34">
        <f t="shared" si="1"/>
        <v>4.7751966659679761E-41</v>
      </c>
      <c r="E34">
        <f t="shared" si="2"/>
        <v>1.2022074515049811E-44</v>
      </c>
      <c r="F34">
        <v>33</v>
      </c>
    </row>
    <row r="35" spans="1:6" x14ac:dyDescent="0.25">
      <c r="A35" s="1">
        <v>45968.705555555556</v>
      </c>
      <c r="B35">
        <v>2.7398974188114347E-2</v>
      </c>
      <c r="C35">
        <f t="shared" si="0"/>
        <v>7.5070378656095626E-4</v>
      </c>
      <c r="D35">
        <f t="shared" si="1"/>
        <v>2.8651179995807881E-42</v>
      </c>
      <c r="E35">
        <f t="shared" si="2"/>
        <v>2.15085493122925E-45</v>
      </c>
      <c r="F35">
        <v>34</v>
      </c>
    </row>
    <row r="36" spans="1:6" x14ac:dyDescent="0.25">
      <c r="A36" s="1">
        <v>45967.705555555556</v>
      </c>
      <c r="B36">
        <v>-2.7196504051767652E-2</v>
      </c>
      <c r="C36">
        <f t="shared" si="0"/>
        <v>7.3964983263781437E-4</v>
      </c>
      <c r="D36">
        <f t="shared" si="1"/>
        <v>1.7190707997484745E-43</v>
      </c>
      <c r="E36">
        <f t="shared" si="2"/>
        <v>1.2715104293265128E-46</v>
      </c>
      <c r="F36">
        <v>35</v>
      </c>
    </row>
    <row r="37" spans="1:6" x14ac:dyDescent="0.25">
      <c r="A37" s="1">
        <v>45966.705555555556</v>
      </c>
      <c r="B37">
        <v>2.6468512755511792E-2</v>
      </c>
      <c r="C37">
        <f t="shared" si="0"/>
        <v>7.0058216748869039E-4</v>
      </c>
      <c r="D37">
        <f t="shared" si="1"/>
        <v>1.0314424798490855E-44</v>
      </c>
      <c r="E37">
        <f t="shared" si="2"/>
        <v>7.2261020817258219E-48</v>
      </c>
      <c r="F37">
        <v>36</v>
      </c>
    </row>
    <row r="38" spans="1:6" x14ac:dyDescent="0.25">
      <c r="A38" s="1">
        <v>45965.705555555556</v>
      </c>
      <c r="B38">
        <v>-4.9092100275116721E-2</v>
      </c>
      <c r="C38">
        <f t="shared" si="0"/>
        <v>2.4100343094221152E-3</v>
      </c>
      <c r="D38">
        <f t="shared" si="1"/>
        <v>6.1886548790945179E-46</v>
      </c>
      <c r="E38">
        <f t="shared" si="2"/>
        <v>1.4914870587790362E-48</v>
      </c>
      <c r="F38">
        <v>37</v>
      </c>
    </row>
    <row r="39" spans="1:6" x14ac:dyDescent="0.25">
      <c r="A39" s="1">
        <v>45964.705555555556</v>
      </c>
      <c r="B39">
        <v>-3.930446237769817E-2</v>
      </c>
      <c r="C39">
        <f t="shared" si="0"/>
        <v>1.5448407627998908E-3</v>
      </c>
      <c r="D39">
        <f t="shared" si="1"/>
        <v>3.7131929274567147E-47</v>
      </c>
      <c r="E39">
        <f t="shared" si="2"/>
        <v>5.7362917944753903E-50</v>
      </c>
      <c r="F39">
        <v>38</v>
      </c>
    </row>
    <row r="40" spans="1:6" x14ac:dyDescent="0.25">
      <c r="A40" s="1">
        <v>45961.705555555556</v>
      </c>
      <c r="B40">
        <v>2.1450348718373043E-2</v>
      </c>
      <c r="C40">
        <f t="shared" si="0"/>
        <v>4.6011746013980805E-4</v>
      </c>
      <c r="D40">
        <f t="shared" si="1"/>
        <v>2.2279157564740308E-48</v>
      </c>
      <c r="E40">
        <f t="shared" si="2"/>
        <v>1.0251029392742902E-51</v>
      </c>
      <c r="F40">
        <v>39</v>
      </c>
    </row>
    <row r="41" spans="1:6" x14ac:dyDescent="0.25">
      <c r="A41" s="1">
        <v>45960.705555555556</v>
      </c>
      <c r="B41">
        <v>-1.8113993686088268E-2</v>
      </c>
      <c r="C41">
        <f t="shared" si="0"/>
        <v>3.2811676725964562E-4</v>
      </c>
      <c r="D41">
        <f t="shared" si="1"/>
        <v>1.3367494538844193E-49</v>
      </c>
      <c r="E41">
        <f t="shared" si="2"/>
        <v>4.3860990944465239E-53</v>
      </c>
      <c r="F41">
        <v>40</v>
      </c>
    </row>
    <row r="42" spans="1:6" x14ac:dyDescent="0.25">
      <c r="A42" s="1">
        <v>45959.705555555556</v>
      </c>
      <c r="B42">
        <v>-1.5631979529117133E-2</v>
      </c>
      <c r="C42">
        <f t="shared" si="0"/>
        <v>2.443587839987371E-4</v>
      </c>
      <c r="D42">
        <f t="shared" si="1"/>
        <v>8.0204967233065241E-51</v>
      </c>
      <c r="E42">
        <f t="shared" si="2"/>
        <v>1.9598788263730376E-54</v>
      </c>
      <c r="F42">
        <v>41</v>
      </c>
    </row>
    <row r="43" spans="1:6" x14ac:dyDescent="0.25">
      <c r="A43" s="1">
        <v>45958.705555555556</v>
      </c>
      <c r="B43">
        <v>-2.1482204260924023E-2</v>
      </c>
      <c r="C43">
        <f t="shared" si="0"/>
        <v>4.6148509990806227E-4</v>
      </c>
      <c r="D43">
        <f t="shared" si="1"/>
        <v>4.8122980339839185E-52</v>
      </c>
      <c r="E43">
        <f t="shared" si="2"/>
        <v>2.2208038390004402E-55</v>
      </c>
      <c r="F43">
        <v>42</v>
      </c>
    </row>
    <row r="44" spans="1:6" x14ac:dyDescent="0.25">
      <c r="A44" s="1">
        <v>45957.705555555556</v>
      </c>
      <c r="B44">
        <v>2.3175684767257152E-2</v>
      </c>
      <c r="C44">
        <f t="shared" si="0"/>
        <v>5.3711236443127516E-4</v>
      </c>
      <c r="D44">
        <f t="shared" si="1"/>
        <v>2.8873788203903537E-53</v>
      </c>
      <c r="E44">
        <f t="shared" si="2"/>
        <v>1.5508468652286491E-56</v>
      </c>
      <c r="F44">
        <v>43</v>
      </c>
    </row>
    <row r="45" spans="1:6" x14ac:dyDescent="0.25">
      <c r="A45" s="1">
        <v>45954.705555555556</v>
      </c>
      <c r="B45">
        <v>3.2066423779969475E-3</v>
      </c>
      <c r="C45">
        <f t="shared" si="0"/>
        <v>1.0282555340365918E-5</v>
      </c>
      <c r="D45">
        <f t="shared" si="1"/>
        <v>1.7324272922342136E-54</v>
      </c>
      <c r="E45">
        <f t="shared" si="2"/>
        <v>1.781377950555858E-59</v>
      </c>
      <c r="F45">
        <v>44</v>
      </c>
    </row>
    <row r="46" spans="1:6" x14ac:dyDescent="0.25">
      <c r="A46" s="1">
        <v>45953.705555555556</v>
      </c>
      <c r="B46">
        <v>1.3121800901720561E-2</v>
      </c>
      <c r="C46">
        <f t="shared" si="0"/>
        <v>1.7218165890439452E-4</v>
      </c>
      <c r="D46">
        <f t="shared" si="1"/>
        <v>1.0394563753405291E-55</v>
      </c>
      <c r="E46">
        <f t="shared" si="2"/>
        <v>1.7897532306488126E-59</v>
      </c>
      <c r="F46">
        <v>45</v>
      </c>
    </row>
    <row r="47" spans="1:6" x14ac:dyDescent="0.25">
      <c r="A47" s="1">
        <v>45952.705555555556</v>
      </c>
      <c r="B47">
        <v>-2.3085225742597328E-2</v>
      </c>
      <c r="C47">
        <f t="shared" si="0"/>
        <v>5.3292764758667839E-4</v>
      </c>
      <c r="D47">
        <f t="shared" si="1"/>
        <v>6.2367382520431801E-57</v>
      </c>
      <c r="E47">
        <f t="shared" si="2"/>
        <v>3.3237302452752246E-60</v>
      </c>
      <c r="F47">
        <v>46</v>
      </c>
    </row>
    <row r="48" spans="1:6" x14ac:dyDescent="0.25">
      <c r="A48" s="1">
        <v>45951.705555555556</v>
      </c>
      <c r="B48">
        <v>2.0886266971347663E-2</v>
      </c>
      <c r="C48">
        <f t="shared" si="0"/>
        <v>4.3623614799840824E-4</v>
      </c>
      <c r="D48">
        <f t="shared" si="1"/>
        <v>3.7420429512259118E-58</v>
      </c>
      <c r="E48">
        <f t="shared" si="2"/>
        <v>1.6324144026873873E-61</v>
      </c>
      <c r="F48">
        <v>47</v>
      </c>
    </row>
    <row r="49" spans="1:6" x14ac:dyDescent="0.25">
      <c r="A49" s="1">
        <v>45947.705555555556</v>
      </c>
      <c r="B49">
        <v>-2.0512085488965069E-2</v>
      </c>
      <c r="C49">
        <f t="shared" si="0"/>
        <v>4.2074565110661137E-4</v>
      </c>
      <c r="D49">
        <f t="shared" si="1"/>
        <v>2.2452257707355482E-59</v>
      </c>
      <c r="E49">
        <f t="shared" si="2"/>
        <v>9.4466897878947155E-63</v>
      </c>
      <c r="F49">
        <v>48</v>
      </c>
    </row>
    <row r="50" spans="1:6" x14ac:dyDescent="0.25">
      <c r="A50" s="1">
        <v>45946.705555555556</v>
      </c>
      <c r="B50">
        <v>-2.3761114180536294E-2</v>
      </c>
      <c r="C50">
        <f t="shared" si="0"/>
        <v>5.6459054710048299E-4</v>
      </c>
      <c r="D50">
        <f t="shared" si="1"/>
        <v>1.3471354624413301E-60</v>
      </c>
      <c r="E50">
        <f t="shared" si="2"/>
        <v>7.6057994775821266E-64</v>
      </c>
      <c r="F50">
        <v>49</v>
      </c>
    </row>
    <row r="51" spans="1:6" x14ac:dyDescent="0.25">
      <c r="A51" s="1">
        <v>45945.705555555556</v>
      </c>
      <c r="B51">
        <v>-8.8234528870265901E-3</v>
      </c>
      <c r="C51">
        <f t="shared" si="0"/>
        <v>7.7853320849577865E-5</v>
      </c>
      <c r="D51">
        <f t="shared" si="1"/>
        <v>8.0828127746479885E-62</v>
      </c>
      <c r="E51">
        <f t="shared" si="2"/>
        <v>6.2927381631173658E-66</v>
      </c>
      <c r="F51">
        <v>50</v>
      </c>
    </row>
    <row r="52" spans="1:6" x14ac:dyDescent="0.25">
      <c r="A52" s="1">
        <v>45944.705555555556</v>
      </c>
      <c r="B52">
        <v>-2.1768226407646057E-2</v>
      </c>
      <c r="C52">
        <f t="shared" si="0"/>
        <v>4.7385568093453919E-4</v>
      </c>
      <c r="D52">
        <f t="shared" si="1"/>
        <v>4.8496876647887972E-63</v>
      </c>
      <c r="E52">
        <f t="shared" si="2"/>
        <v>2.2980520507183308E-66</v>
      </c>
      <c r="F52">
        <v>51</v>
      </c>
    </row>
    <row r="53" spans="1:6" x14ac:dyDescent="0.25">
      <c r="A53" s="1">
        <v>45943.705555555556</v>
      </c>
      <c r="B53">
        <v>5.4200674693391133E-3</v>
      </c>
      <c r="C53">
        <f t="shared" si="0"/>
        <v>2.9377131372188102E-5</v>
      </c>
      <c r="D53">
        <f t="shared" si="1"/>
        <v>2.9098125988732807E-64</v>
      </c>
      <c r="E53">
        <f t="shared" si="2"/>
        <v>8.5481946985548446E-69</v>
      </c>
      <c r="F53">
        <v>52</v>
      </c>
    </row>
    <row r="54" spans="1:6" x14ac:dyDescent="0.25">
      <c r="A54" s="1">
        <v>45940.705555555556</v>
      </c>
      <c r="B54">
        <v>-1.0281955499446185E-2</v>
      </c>
      <c r="C54">
        <f t="shared" si="0"/>
        <v>1.0571860889259164E-4</v>
      </c>
      <c r="D54">
        <f t="shared" si="1"/>
        <v>1.74588755932397E-65</v>
      </c>
      <c r="E54">
        <f t="shared" si="2"/>
        <v>1.8457280405461215E-69</v>
      </c>
      <c r="F54">
        <v>53</v>
      </c>
    </row>
    <row r="55" spans="1:6" x14ac:dyDescent="0.25">
      <c r="A55" s="1">
        <v>45939.705555555556</v>
      </c>
      <c r="B55">
        <v>-1.9301066393578831E-2</v>
      </c>
      <c r="C55">
        <f t="shared" si="0"/>
        <v>3.7253116392933815E-4</v>
      </c>
      <c r="D55">
        <f t="shared" si="1"/>
        <v>1.047532535594383E-66</v>
      </c>
      <c r="E55">
        <f t="shared" si="2"/>
        <v>3.9023851473882635E-70</v>
      </c>
      <c r="F55">
        <v>54</v>
      </c>
    </row>
    <row r="56" spans="1:6" x14ac:dyDescent="0.25">
      <c r="A56" s="1">
        <v>45938.705555555556</v>
      </c>
      <c r="B56">
        <v>1.1658388528608029E-2</v>
      </c>
      <c r="C56">
        <f t="shared" si="0"/>
        <v>1.3591802308397929E-4</v>
      </c>
      <c r="D56">
        <f t="shared" si="1"/>
        <v>6.2851952135663036E-68</v>
      </c>
      <c r="E56">
        <f t="shared" si="2"/>
        <v>8.5427130812482102E-72</v>
      </c>
      <c r="F56">
        <v>55</v>
      </c>
    </row>
    <row r="57" spans="1:6" x14ac:dyDescent="0.25">
      <c r="A57" s="1">
        <v>45937.705555555556</v>
      </c>
      <c r="B57">
        <v>-1.5543229603839961E-2</v>
      </c>
      <c r="C57">
        <f t="shared" si="0"/>
        <v>2.4159198651768694E-4</v>
      </c>
      <c r="D57">
        <f t="shared" si="1"/>
        <v>3.771117128139785E-69</v>
      </c>
      <c r="E57">
        <f t="shared" si="2"/>
        <v>9.1107167837816524E-73</v>
      </c>
      <c r="F57">
        <v>56</v>
      </c>
    </row>
    <row r="58" spans="1:6" x14ac:dyDescent="0.25">
      <c r="A58" s="1">
        <v>45936.705555555556</v>
      </c>
      <c r="B58">
        <v>1.615600154055246E-2</v>
      </c>
      <c r="C58">
        <f t="shared" si="0"/>
        <v>2.6101638577833347E-4</v>
      </c>
      <c r="D58">
        <f t="shared" si="1"/>
        <v>2.2626702768838728E-70</v>
      </c>
      <c r="E58">
        <f t="shared" si="2"/>
        <v>5.9059401788028955E-74</v>
      </c>
      <c r="F58">
        <v>57</v>
      </c>
    </row>
    <row r="59" spans="1:6" x14ac:dyDescent="0.25">
      <c r="A59" s="1">
        <v>45933.705555555556</v>
      </c>
      <c r="B59">
        <v>7.7356222595939472E-3</v>
      </c>
      <c r="C59">
        <f t="shared" si="0"/>
        <v>5.9839851743125365E-5</v>
      </c>
      <c r="D59">
        <f t="shared" si="1"/>
        <v>1.3576021661303251E-71</v>
      </c>
      <c r="E59">
        <f t="shared" si="2"/>
        <v>8.123871234738451E-76</v>
      </c>
      <c r="F59">
        <v>58</v>
      </c>
    </row>
    <row r="60" spans="1:6" x14ac:dyDescent="0.25">
      <c r="A60" s="1">
        <v>45932.705555555556</v>
      </c>
      <c r="B60">
        <v>2.4476434052529028E-2</v>
      </c>
      <c r="C60">
        <f t="shared" si="0"/>
        <v>5.9909582392780262E-4</v>
      </c>
      <c r="D60">
        <f t="shared" si="1"/>
        <v>8.1456129967819568E-73</v>
      </c>
      <c r="E60">
        <f t="shared" si="2"/>
        <v>4.8800027297041038E-76</v>
      </c>
      <c r="F60">
        <v>59</v>
      </c>
    </row>
    <row r="61" spans="1:6" x14ac:dyDescent="0.25">
      <c r="A61" s="1">
        <v>45931.705555555556</v>
      </c>
      <c r="B61">
        <v>2.4905151000705731E-2</v>
      </c>
      <c r="C61">
        <f t="shared" si="0"/>
        <v>6.2026654636795366E-4</v>
      </c>
      <c r="D61">
        <f t="shared" si="1"/>
        <v>4.8873677980691775E-74</v>
      </c>
      <c r="E61">
        <f t="shared" si="2"/>
        <v>3.0314707449383192E-77</v>
      </c>
      <c r="F61">
        <v>60</v>
      </c>
    </row>
    <row r="62" spans="1:6" x14ac:dyDescent="0.25">
      <c r="A62" s="1">
        <v>45930.705555555556</v>
      </c>
      <c r="B62">
        <v>-3.0548507904009214E-3</v>
      </c>
      <c r="C62">
        <f t="shared" si="0"/>
        <v>9.3321133516131348E-6</v>
      </c>
      <c r="D62">
        <f t="shared" si="1"/>
        <v>2.9324206788415091E-75</v>
      </c>
      <c r="E62">
        <f t="shared" si="2"/>
        <v>2.7365682169563301E-80</v>
      </c>
      <c r="F62">
        <v>61</v>
      </c>
    </row>
    <row r="63" spans="1:6" x14ac:dyDescent="0.25">
      <c r="A63" s="1">
        <v>45929.705555555556</v>
      </c>
      <c r="B63">
        <v>3.2503330914427683E-2</v>
      </c>
      <c r="C63">
        <f t="shared" si="0"/>
        <v>1.0564665205327903E-3</v>
      </c>
      <c r="D63">
        <f t="shared" si="1"/>
        <v>1.7594524073049073E-76</v>
      </c>
      <c r="E63">
        <f t="shared" si="2"/>
        <v>1.8588025627884571E-79</v>
      </c>
      <c r="F63">
        <v>62</v>
      </c>
    </row>
    <row r="64" spans="1:6" x14ac:dyDescent="0.25">
      <c r="A64" s="1">
        <v>45926.705555555556</v>
      </c>
      <c r="B64">
        <v>4.6896769684648364E-3</v>
      </c>
      <c r="C64">
        <f t="shared" si="0"/>
        <v>2.1993070068549539E-5</v>
      </c>
      <c r="D64">
        <f t="shared" si="1"/>
        <v>1.0556714443829456E-77</v>
      </c>
      <c r="E64">
        <f t="shared" si="2"/>
        <v>2.3217456045681021E-82</v>
      </c>
      <c r="F64">
        <v>63</v>
      </c>
    </row>
    <row r="65" spans="1:6" x14ac:dyDescent="0.25">
      <c r="A65" s="1">
        <v>45925.705555555556</v>
      </c>
      <c r="B65">
        <v>-2.7533789102996312E-2</v>
      </c>
      <c r="C65">
        <f t="shared" si="0"/>
        <v>7.5810954236827852E-4</v>
      </c>
      <c r="D65">
        <f t="shared" si="1"/>
        <v>6.3340286662976762E-79</v>
      </c>
      <c r="E65">
        <f t="shared" si="2"/>
        <v>4.8018875735544889E-82</v>
      </c>
      <c r="F65">
        <v>64</v>
      </c>
    </row>
    <row r="66" spans="1:6" x14ac:dyDescent="0.25">
      <c r="A66" s="1">
        <v>45924.705555555556</v>
      </c>
      <c r="B66">
        <v>1.3814061705516018E-2</v>
      </c>
      <c r="C66">
        <f t="shared" si="0"/>
        <v>1.908283008038041E-4</v>
      </c>
      <c r="D66">
        <f t="shared" si="1"/>
        <v>3.8004171997786093E-80</v>
      </c>
      <c r="E66">
        <f t="shared" si="2"/>
        <v>7.2522715657930329E-84</v>
      </c>
      <c r="F66">
        <v>65</v>
      </c>
    </row>
    <row r="67" spans="1:6" x14ac:dyDescent="0.25">
      <c r="A67" s="1">
        <v>45923.705555555556</v>
      </c>
      <c r="B67">
        <v>-1.0542266312024656E-2</v>
      </c>
      <c r="C67">
        <f t="shared" ref="C67:C130" si="3">B67^2</f>
        <v>1.1113937899364993E-4</v>
      </c>
      <c r="D67">
        <f t="shared" ref="D67:D130" si="4">(1-$I$2)^F67</f>
        <v>2.2802503198671674E-81</v>
      </c>
      <c r="E67">
        <f t="shared" ref="E67:E130" si="5">D67*C67</f>
        <v>2.5342560450010862E-85</v>
      </c>
      <c r="F67">
        <v>66</v>
      </c>
    </row>
    <row r="68" spans="1:6" x14ac:dyDescent="0.25">
      <c r="A68" s="1">
        <v>45922.705555555556</v>
      </c>
      <c r="B68">
        <v>-2.3046973162487598E-2</v>
      </c>
      <c r="C68">
        <f t="shared" si="3"/>
        <v>5.3116297195242356E-4</v>
      </c>
      <c r="D68">
        <f t="shared" si="4"/>
        <v>1.3681501919203016E-82</v>
      </c>
      <c r="E68">
        <f t="shared" si="5"/>
        <v>7.2671072201766604E-86</v>
      </c>
      <c r="F68">
        <v>67</v>
      </c>
    </row>
    <row r="69" spans="1:6" x14ac:dyDescent="0.25">
      <c r="A69" s="1">
        <v>45919.705555555556</v>
      </c>
      <c r="B69">
        <v>-1.6875740721623424E-2</v>
      </c>
      <c r="C69">
        <f t="shared" si="3"/>
        <v>2.847906249034591E-4</v>
      </c>
      <c r="D69">
        <f t="shared" si="4"/>
        <v>8.2089011515218173E-84</v>
      </c>
      <c r="E69">
        <f t="shared" si="5"/>
        <v>2.3378180887126235E-87</v>
      </c>
      <c r="F69">
        <v>68</v>
      </c>
    </row>
    <row r="70" spans="1:6" x14ac:dyDescent="0.25">
      <c r="A70" s="1">
        <v>45918.705555555556</v>
      </c>
      <c r="B70">
        <v>1.4773459430012254E-2</v>
      </c>
      <c r="C70">
        <f t="shared" si="3"/>
        <v>2.18255103530218E-4</v>
      </c>
      <c r="D70">
        <f t="shared" si="4"/>
        <v>4.9253406909130943E-85</v>
      </c>
      <c r="E70">
        <f t="shared" si="5"/>
        <v>1.0749807424168328E-88</v>
      </c>
      <c r="F70">
        <v>69</v>
      </c>
    </row>
    <row r="71" spans="1:6" x14ac:dyDescent="0.25">
      <c r="A71" s="1">
        <v>45917.705555555556</v>
      </c>
      <c r="B71">
        <v>-3.8275814523208241E-3</v>
      </c>
      <c r="C71">
        <f t="shared" si="3"/>
        <v>1.4650379774150389E-5</v>
      </c>
      <c r="D71">
        <f t="shared" si="4"/>
        <v>2.9552044145478597E-86</v>
      </c>
      <c r="E71">
        <f t="shared" si="5"/>
        <v>4.3294866983371908E-91</v>
      </c>
      <c r="F71">
        <v>70</v>
      </c>
    </row>
    <row r="72" spans="1:6" x14ac:dyDescent="0.25">
      <c r="A72" s="1">
        <v>45916.705555555556</v>
      </c>
      <c r="B72">
        <v>4.7410737968345005E-3</v>
      </c>
      <c r="C72">
        <f t="shared" si="3"/>
        <v>2.2477780747030705E-5</v>
      </c>
      <c r="D72">
        <f t="shared" si="4"/>
        <v>1.7731226487287174E-87</v>
      </c>
      <c r="E72">
        <f t="shared" si="5"/>
        <v>3.9855862135718449E-92</v>
      </c>
      <c r="F72">
        <v>71</v>
      </c>
    </row>
    <row r="73" spans="1:6" x14ac:dyDescent="0.25">
      <c r="A73" s="1">
        <v>45915.705555555556</v>
      </c>
      <c r="B73">
        <v>-1.8651513978067434E-2</v>
      </c>
      <c r="C73">
        <f t="shared" si="3"/>
        <v>3.4787897367404491E-4</v>
      </c>
      <c r="D73">
        <f t="shared" si="4"/>
        <v>1.0638735892372312E-88</v>
      </c>
      <c r="E73">
        <f t="shared" si="5"/>
        <v>3.7009925234277043E-92</v>
      </c>
      <c r="F73">
        <v>72</v>
      </c>
    </row>
    <row r="74" spans="1:6" x14ac:dyDescent="0.25">
      <c r="A74" s="1">
        <v>45912.705555555556</v>
      </c>
      <c r="B74">
        <v>1.5457934914522123E-2</v>
      </c>
      <c r="C74">
        <f t="shared" si="3"/>
        <v>2.3894775182160206E-4</v>
      </c>
      <c r="D74">
        <f t="shared" si="4"/>
        <v>6.3832415354233926E-90</v>
      </c>
      <c r="E74">
        <f t="shared" si="5"/>
        <v>1.5252612142236909E-93</v>
      </c>
      <c r="F74">
        <v>73</v>
      </c>
    </row>
    <row r="75" spans="1:6" x14ac:dyDescent="0.25">
      <c r="A75" s="1">
        <v>45911.705555555556</v>
      </c>
      <c r="B75">
        <v>3.8335205764484324E-3</v>
      </c>
      <c r="C75">
        <f t="shared" si="3"/>
        <v>1.4695880010053522E-5</v>
      </c>
      <c r="D75">
        <f t="shared" si="4"/>
        <v>3.8299449212540393E-91</v>
      </c>
      <c r="E75">
        <f t="shared" si="5"/>
        <v>5.6284411007863244E-96</v>
      </c>
      <c r="F75">
        <v>74</v>
      </c>
    </row>
    <row r="76" spans="1:6" x14ac:dyDescent="0.25">
      <c r="A76" s="1">
        <v>45910.705555555556</v>
      </c>
      <c r="B76">
        <v>1.084968348057863E-2</v>
      </c>
      <c r="C76">
        <f t="shared" si="3"/>
        <v>1.177156316287408E-4</v>
      </c>
      <c r="D76">
        <f t="shared" si="4"/>
        <v>2.2979669527524253E-92</v>
      </c>
      <c r="E76">
        <f t="shared" si="5"/>
        <v>2.705066313052245E-96</v>
      </c>
      <c r="F76">
        <v>75</v>
      </c>
    </row>
    <row r="77" spans="1:6" x14ac:dyDescent="0.25">
      <c r="A77" s="1">
        <v>45909.705555555556</v>
      </c>
      <c r="B77">
        <v>-9.2442801082776903E-5</v>
      </c>
      <c r="C77">
        <f t="shared" si="3"/>
        <v>8.5456714720298591E-9</v>
      </c>
      <c r="D77">
        <f t="shared" si="4"/>
        <v>1.3787801716514564E-93</v>
      </c>
      <c r="E77">
        <f t="shared" si="5"/>
        <v>1.1782602379082283E-101</v>
      </c>
      <c r="F77">
        <v>76</v>
      </c>
    </row>
    <row r="78" spans="1:6" x14ac:dyDescent="0.25">
      <c r="A78" s="1">
        <v>45908.705555555556</v>
      </c>
      <c r="B78">
        <v>7.2363243685168305E-3</v>
      </c>
      <c r="C78">
        <f t="shared" si="3"/>
        <v>5.2364390366390507E-5</v>
      </c>
      <c r="D78">
        <f t="shared" si="4"/>
        <v>8.2726810299087461E-95</v>
      </c>
      <c r="E78">
        <f t="shared" si="5"/>
        <v>4.3319389882677505E-99</v>
      </c>
      <c r="F78">
        <v>77</v>
      </c>
    </row>
    <row r="79" spans="1:6" x14ac:dyDescent="0.25">
      <c r="A79" s="1">
        <v>45905.705555555556</v>
      </c>
      <c r="B79">
        <v>4.3857673061989877E-3</v>
      </c>
      <c r="C79">
        <f t="shared" si="3"/>
        <v>1.9234954864123926E-5</v>
      </c>
      <c r="D79">
        <f t="shared" si="4"/>
        <v>4.9636086179452523E-96</v>
      </c>
      <c r="E79">
        <f t="shared" si="5"/>
        <v>9.547478772935347E-101</v>
      </c>
      <c r="F79">
        <v>78</v>
      </c>
    </row>
    <row r="80" spans="1:6" x14ac:dyDescent="0.25">
      <c r="A80" s="1">
        <v>45904.705555555556</v>
      </c>
      <c r="B80">
        <v>-1.7153079226249358E-2</v>
      </c>
      <c r="C80">
        <f t="shared" si="3"/>
        <v>2.9422812694198725E-4</v>
      </c>
      <c r="D80">
        <f t="shared" si="4"/>
        <v>2.9781651707671542E-97</v>
      </c>
      <c r="E80">
        <f t="shared" si="5"/>
        <v>8.7625995991868337E-101</v>
      </c>
      <c r="F80">
        <v>79</v>
      </c>
    </row>
    <row r="81" spans="1:6" x14ac:dyDescent="0.25">
      <c r="A81" s="1">
        <v>45903.705555555556</v>
      </c>
      <c r="B81">
        <v>1.1743627497678003E-2</v>
      </c>
      <c r="C81">
        <f t="shared" si="3"/>
        <v>1.3791278680421891E-4</v>
      </c>
      <c r="D81">
        <f t="shared" si="4"/>
        <v>1.7868991024602935E-98</v>
      </c>
      <c r="E81">
        <f t="shared" si="5"/>
        <v>2.4643623495825658E-102</v>
      </c>
      <c r="F81">
        <v>80</v>
      </c>
    </row>
    <row r="82" spans="1:6" x14ac:dyDescent="0.25">
      <c r="A82" s="1">
        <v>45902.705555555556</v>
      </c>
      <c r="B82">
        <v>1.8304354862013313E-2</v>
      </c>
      <c r="C82">
        <f t="shared" si="3"/>
        <v>3.3504940691451041E-4</v>
      </c>
      <c r="D82">
        <f t="shared" si="4"/>
        <v>1.072139461476177E-99</v>
      </c>
      <c r="E82">
        <f t="shared" si="5"/>
        <v>3.5921969069723568E-103</v>
      </c>
      <c r="F82">
        <v>81</v>
      </c>
    </row>
    <row r="83" spans="1:6" x14ac:dyDescent="0.25">
      <c r="A83" s="1">
        <v>45901.705555555556</v>
      </c>
      <c r="B83">
        <v>6.6533844907366736E-3</v>
      </c>
      <c r="C83">
        <f t="shared" si="3"/>
        <v>4.4267525181575306E-5</v>
      </c>
      <c r="D83">
        <f t="shared" si="4"/>
        <v>6.4328367688570671E-101</v>
      </c>
      <c r="E83">
        <f t="shared" si="5"/>
        <v>2.8476576365434376E-105</v>
      </c>
      <c r="F83">
        <v>82</v>
      </c>
    </row>
    <row r="84" spans="1:6" x14ac:dyDescent="0.25">
      <c r="A84" s="1">
        <v>45898.705555555556</v>
      </c>
      <c r="B84">
        <v>-2.0109245006128585E-2</v>
      </c>
      <c r="C84">
        <f t="shared" si="3"/>
        <v>4.0438173471650746E-4</v>
      </c>
      <c r="D84">
        <f t="shared" si="4"/>
        <v>3.8597020613142445E-102</v>
      </c>
      <c r="E84">
        <f t="shared" si="5"/>
        <v>1.5607930150431339E-105</v>
      </c>
      <c r="F84">
        <v>83</v>
      </c>
    </row>
    <row r="85" spans="1:6" x14ac:dyDescent="0.25">
      <c r="A85" s="1">
        <v>45897.705555555556</v>
      </c>
      <c r="B85">
        <v>-1.214329232401831E-3</v>
      </c>
      <c r="C85">
        <f t="shared" si="3"/>
        <v>1.47459548466562E-6</v>
      </c>
      <c r="D85">
        <f t="shared" si="4"/>
        <v>2.3158212367885485E-103</v>
      </c>
      <c r="E85">
        <f t="shared" si="5"/>
        <v>3.4148995390611452E-109</v>
      </c>
      <c r="F85">
        <v>84</v>
      </c>
    </row>
    <row r="86" spans="1:6" x14ac:dyDescent="0.25">
      <c r="A86" s="1">
        <v>45896.705555555556</v>
      </c>
      <c r="B86">
        <v>-3.3550823643734508E-3</v>
      </c>
      <c r="C86">
        <f t="shared" si="3"/>
        <v>1.1256577671729745E-5</v>
      </c>
      <c r="D86">
        <f t="shared" si="4"/>
        <v>1.3894927420731302E-104</v>
      </c>
      <c r="E86">
        <f t="shared" si="5"/>
        <v>1.5640932975450936E-109</v>
      </c>
      <c r="F86">
        <v>85</v>
      </c>
    </row>
    <row r="87" spans="1:6" x14ac:dyDescent="0.25">
      <c r="A87" s="1">
        <v>45895.705555555556</v>
      </c>
      <c r="B87">
        <v>1.4337499032982334E-2</v>
      </c>
      <c r="C87">
        <f t="shared" si="3"/>
        <v>2.0556387852076937E-4</v>
      </c>
      <c r="D87">
        <f t="shared" si="4"/>
        <v>8.3369564524387895E-106</v>
      </c>
      <c r="E87">
        <f t="shared" si="5"/>
        <v>1.7137771034220716E-109</v>
      </c>
      <c r="F87">
        <v>86</v>
      </c>
    </row>
    <row r="88" spans="1:6" x14ac:dyDescent="0.25">
      <c r="A88" s="1">
        <v>45894.705555555556</v>
      </c>
      <c r="B88">
        <v>-4.8453021116442403E-2</v>
      </c>
      <c r="C88">
        <f t="shared" si="3"/>
        <v>2.3476952553104133E-3</v>
      </c>
      <c r="D88">
        <f t="shared" si="4"/>
        <v>5.0021738714632778E-107</v>
      </c>
      <c r="E88">
        <f t="shared" si="5"/>
        <v>1.1743579864272059E-109</v>
      </c>
      <c r="F88">
        <v>87</v>
      </c>
    </row>
    <row r="89" spans="1:6" x14ac:dyDescent="0.25">
      <c r="A89" s="1">
        <v>45891.705555555556</v>
      </c>
      <c r="B89">
        <v>3.9900739301125289E-2</v>
      </c>
      <c r="C89">
        <f t="shared" si="3"/>
        <v>1.5920689967763642E-3</v>
      </c>
      <c r="D89">
        <f t="shared" si="4"/>
        <v>3.0013043228779692E-108</v>
      </c>
      <c r="E89">
        <f t="shared" si="5"/>
        <v>4.7782835623448935E-111</v>
      </c>
      <c r="F89">
        <v>88</v>
      </c>
    </row>
    <row r="90" spans="1:6" x14ac:dyDescent="0.25">
      <c r="A90" s="1">
        <v>45890.705555555556</v>
      </c>
      <c r="B90">
        <v>-1.753210343916814E-2</v>
      </c>
      <c r="C90">
        <f t="shared" si="3"/>
        <v>3.0737465100169132E-4</v>
      </c>
      <c r="D90">
        <f t="shared" si="4"/>
        <v>1.800782593726783E-109</v>
      </c>
      <c r="E90">
        <f t="shared" si="5"/>
        <v>5.5351492127669043E-113</v>
      </c>
      <c r="F90">
        <v>89</v>
      </c>
    </row>
    <row r="91" spans="1:6" x14ac:dyDescent="0.25">
      <c r="A91" s="1">
        <v>45889.705555555556</v>
      </c>
      <c r="B91">
        <v>1.2863996745421902E-2</v>
      </c>
      <c r="C91">
        <f t="shared" si="3"/>
        <v>1.6548241226622528E-4</v>
      </c>
      <c r="D91">
        <f t="shared" si="4"/>
        <v>1.0804695562360709E-110</v>
      </c>
      <c r="E91">
        <f t="shared" si="5"/>
        <v>1.7879870854616297E-114</v>
      </c>
      <c r="F91">
        <v>90</v>
      </c>
    </row>
    <row r="92" spans="1:6" x14ac:dyDescent="0.25">
      <c r="A92" s="1">
        <v>45888.705555555556</v>
      </c>
      <c r="B92">
        <v>-1.64437885347141E-2</v>
      </c>
      <c r="C92">
        <f t="shared" si="3"/>
        <v>2.7039818137439492E-4</v>
      </c>
      <c r="D92">
        <f t="shared" si="4"/>
        <v>6.4828173374164302E-112</v>
      </c>
      <c r="E92">
        <f t="shared" si="5"/>
        <v>1.7529420182197998E-115</v>
      </c>
      <c r="F92">
        <v>91</v>
      </c>
    </row>
    <row r="93" spans="1:6" x14ac:dyDescent="0.25">
      <c r="A93" s="1">
        <v>45887.705555555556</v>
      </c>
      <c r="B93">
        <v>3.8556919151975788E-3</v>
      </c>
      <c r="C93">
        <f t="shared" si="3"/>
        <v>1.4866360144919973E-5</v>
      </c>
      <c r="D93">
        <f t="shared" si="4"/>
        <v>3.8896904024498608E-113</v>
      </c>
      <c r="E93">
        <f t="shared" si="5"/>
        <v>5.7825538375058343E-118</v>
      </c>
      <c r="F93">
        <v>92</v>
      </c>
    </row>
    <row r="94" spans="1:6" x14ac:dyDescent="0.25">
      <c r="A94" s="1">
        <v>45884.705555555556</v>
      </c>
      <c r="B94">
        <v>-1.097705863115102E-2</v>
      </c>
      <c r="C94">
        <f t="shared" si="3"/>
        <v>1.2049581619172711E-4</v>
      </c>
      <c r="D94">
        <f t="shared" si="4"/>
        <v>2.3338142414699187E-114</v>
      </c>
      <c r="E94">
        <f t="shared" si="5"/>
        <v>2.8121485186579435E-118</v>
      </c>
      <c r="F94">
        <v>93</v>
      </c>
    </row>
    <row r="95" spans="1:6" x14ac:dyDescent="0.25">
      <c r="A95" s="1">
        <v>45883.705555555556</v>
      </c>
      <c r="B95">
        <v>-3.0903977555468073E-2</v>
      </c>
      <c r="C95">
        <f t="shared" si="3"/>
        <v>9.5505582874887444E-4</v>
      </c>
      <c r="D95">
        <f t="shared" si="4"/>
        <v>1.4002885448819528E-115</v>
      </c>
      <c r="E95">
        <f t="shared" si="5"/>
        <v>1.3373537367197888E-118</v>
      </c>
      <c r="F95">
        <v>94</v>
      </c>
    </row>
    <row r="96" spans="1:6" x14ac:dyDescent="0.25">
      <c r="A96" s="1">
        <v>45882.705555555556</v>
      </c>
      <c r="B96">
        <v>2.4465505982687812E-2</v>
      </c>
      <c r="C96">
        <f t="shared" si="3"/>
        <v>5.9856098298893313E-4</v>
      </c>
      <c r="D96">
        <f t="shared" si="4"/>
        <v>8.4017312692917244E-117</v>
      </c>
      <c r="E96">
        <f t="shared" si="5"/>
        <v>5.0289485273561115E-120</v>
      </c>
      <c r="F96">
        <v>95</v>
      </c>
    </row>
    <row r="97" spans="1:6" x14ac:dyDescent="0.25">
      <c r="A97" s="1">
        <v>45881.705555555556</v>
      </c>
      <c r="B97">
        <v>4.8022563181852398E-3</v>
      </c>
      <c r="C97">
        <f t="shared" si="3"/>
        <v>2.3061665745550056E-5</v>
      </c>
      <c r="D97">
        <f t="shared" si="4"/>
        <v>5.041038761575037E-118</v>
      </c>
      <c r="E97">
        <f t="shared" si="5"/>
        <v>1.1625475092980511E-122</v>
      </c>
      <c r="F97">
        <v>96</v>
      </c>
    </row>
    <row r="98" spans="1:6" x14ac:dyDescent="0.25">
      <c r="A98" s="1">
        <v>45880.705555555556</v>
      </c>
      <c r="B98">
        <v>1.5284240244543631E-2</v>
      </c>
      <c r="C98">
        <f t="shared" si="3"/>
        <v>2.3360799985292717E-4</v>
      </c>
      <c r="D98">
        <f t="shared" si="4"/>
        <v>3.024623256945025E-119</v>
      </c>
      <c r="E98">
        <f t="shared" si="5"/>
        <v>7.0657618936357346E-123</v>
      </c>
      <c r="F98">
        <v>97</v>
      </c>
    </row>
    <row r="99" spans="1:6" x14ac:dyDescent="0.25">
      <c r="A99" s="1">
        <v>45877.705555555556</v>
      </c>
      <c r="B99">
        <v>5.9199136905537242E-3</v>
      </c>
      <c r="C99">
        <f t="shared" si="3"/>
        <v>3.5045378103605412E-5</v>
      </c>
      <c r="D99">
        <f t="shared" si="4"/>
        <v>1.8147739541670166E-120</v>
      </c>
      <c r="E99">
        <f t="shared" si="5"/>
        <v>6.3599439396358177E-125</v>
      </c>
      <c r="F99">
        <v>98</v>
      </c>
    </row>
    <row r="100" spans="1:6" x14ac:dyDescent="0.25">
      <c r="A100" s="1">
        <v>45876.705555555556</v>
      </c>
      <c r="B100">
        <v>1.1570531248910628E-2</v>
      </c>
      <c r="C100">
        <f t="shared" si="3"/>
        <v>1.3387719338201734E-4</v>
      </c>
      <c r="D100">
        <f t="shared" si="4"/>
        <v>1.088864372500211E-121</v>
      </c>
      <c r="E100">
        <f t="shared" si="5"/>
        <v>1.4577410616399971E-125</v>
      </c>
      <c r="F100">
        <v>99</v>
      </c>
    </row>
    <row r="101" spans="1:6" x14ac:dyDescent="0.25">
      <c r="A101" s="1">
        <v>45875.705555555556</v>
      </c>
      <c r="B101">
        <v>4.0438292750873345E-3</v>
      </c>
      <c r="C101">
        <f t="shared" si="3"/>
        <v>1.6352555206053358E-5</v>
      </c>
      <c r="D101">
        <f t="shared" si="4"/>
        <v>6.5331862350012704E-123</v>
      </c>
      <c r="E101">
        <f t="shared" si="5"/>
        <v>1.0683428857928616E-127</v>
      </c>
      <c r="F101">
        <v>100</v>
      </c>
    </row>
    <row r="102" spans="1:6" x14ac:dyDescent="0.25">
      <c r="A102" s="1">
        <v>45874.705555555556</v>
      </c>
      <c r="B102">
        <v>-5.7317516563345364E-3</v>
      </c>
      <c r="C102">
        <f t="shared" si="3"/>
        <v>3.2852977049893699E-5</v>
      </c>
      <c r="D102">
        <f t="shared" si="4"/>
        <v>3.9199117410007658E-124</v>
      </c>
      <c r="E102">
        <f t="shared" si="5"/>
        <v>1.2878077046470702E-128</v>
      </c>
      <c r="F102">
        <v>101</v>
      </c>
    </row>
    <row r="103" spans="1:6" x14ac:dyDescent="0.25">
      <c r="A103" s="1">
        <v>45873.705555555556</v>
      </c>
      <c r="B103">
        <v>7.3349962115654707E-3</v>
      </c>
      <c r="C103">
        <f t="shared" si="3"/>
        <v>5.3802169423679809E-5</v>
      </c>
      <c r="D103">
        <f t="shared" si="4"/>
        <v>2.3519470446004619E-125</v>
      </c>
      <c r="E103">
        <f t="shared" si="5"/>
        <v>1.2653985336911706E-129</v>
      </c>
      <c r="F103">
        <v>102</v>
      </c>
    </row>
    <row r="104" spans="1:6" x14ac:dyDescent="0.25">
      <c r="A104" s="1">
        <v>45870.705555555556</v>
      </c>
      <c r="B104">
        <v>-3.742216785471715E-2</v>
      </c>
      <c r="C104">
        <f t="shared" si="3"/>
        <v>1.4004186469466257E-3</v>
      </c>
      <c r="D104">
        <f t="shared" si="4"/>
        <v>1.4111682267602784E-126</v>
      </c>
      <c r="E104">
        <f t="shared" si="5"/>
        <v>1.9762262987336981E-129</v>
      </c>
      <c r="F104">
        <v>103</v>
      </c>
    </row>
    <row r="105" spans="1:6" x14ac:dyDescent="0.25">
      <c r="A105" s="1">
        <v>45869.705555555556</v>
      </c>
      <c r="B105">
        <v>4.5562316836915764E-3</v>
      </c>
      <c r="C105">
        <f t="shared" si="3"/>
        <v>2.0759247155474979E-5</v>
      </c>
      <c r="D105">
        <f t="shared" si="4"/>
        <v>8.4670093605616756E-128</v>
      </c>
      <c r="E105">
        <f t="shared" si="5"/>
        <v>1.7576873998361999E-132</v>
      </c>
      <c r="F105">
        <v>104</v>
      </c>
    </row>
    <row r="106" spans="1:6" x14ac:dyDescent="0.25">
      <c r="A106" s="1">
        <v>45868.705555555556</v>
      </c>
      <c r="B106">
        <v>-3.8286281954753149E-3</v>
      </c>
      <c r="C106">
        <f t="shared" si="3"/>
        <v>1.4658393859188566E-5</v>
      </c>
      <c r="D106">
        <f t="shared" si="4"/>
        <v>5.0802056163370104E-129</v>
      </c>
      <c r="E106">
        <f t="shared" si="5"/>
        <v>7.4467654809929692E-134</v>
      </c>
      <c r="F106">
        <v>105</v>
      </c>
    </row>
    <row r="107" spans="1:6" x14ac:dyDescent="0.25">
      <c r="A107" s="1">
        <v>45867.705555555556</v>
      </c>
      <c r="B107">
        <v>-3.4514112372465923E-3</v>
      </c>
      <c r="C107">
        <f t="shared" si="3"/>
        <v>1.1912239528592053E-5</v>
      </c>
      <c r="D107">
        <f t="shared" si="4"/>
        <v>3.0481233698022088E-130</v>
      </c>
      <c r="E107">
        <f t="shared" si="5"/>
        <v>3.6309975693783082E-135</v>
      </c>
      <c r="F107">
        <v>106</v>
      </c>
    </row>
    <row r="108" spans="1:6" x14ac:dyDescent="0.25">
      <c r="A108" s="1">
        <v>45866.705555555556</v>
      </c>
      <c r="B108">
        <v>1.1857125416835488E-2</v>
      </c>
      <c r="C108">
        <f t="shared" si="3"/>
        <v>1.4059142315056612E-4</v>
      </c>
      <c r="D108">
        <f t="shared" si="4"/>
        <v>1.828874021881327E-131</v>
      </c>
      <c r="E108">
        <f t="shared" si="5"/>
        <v>2.5712400149939537E-135</v>
      </c>
      <c r="F108">
        <v>107</v>
      </c>
    </row>
    <row r="109" spans="1:6" x14ac:dyDescent="0.25">
      <c r="A109" s="1">
        <v>45863.705555555556</v>
      </c>
      <c r="B109">
        <v>-1.6290117703737596E-2</v>
      </c>
      <c r="C109">
        <f t="shared" si="3"/>
        <v>2.6536793480162502E-4</v>
      </c>
      <c r="D109">
        <f t="shared" si="4"/>
        <v>1.097324413128797E-132</v>
      </c>
      <c r="E109">
        <f t="shared" si="5"/>
        <v>2.9119471331939403E-136</v>
      </c>
      <c r="F109">
        <v>108</v>
      </c>
    </row>
    <row r="110" spans="1:6" x14ac:dyDescent="0.25">
      <c r="A110" s="1">
        <v>45862.705555555556</v>
      </c>
      <c r="B110">
        <v>6.5205809733449877E-3</v>
      </c>
      <c r="C110">
        <f t="shared" si="3"/>
        <v>4.2517976229948665E-5</v>
      </c>
      <c r="D110">
        <f t="shared" si="4"/>
        <v>6.5839464787727877E-134</v>
      </c>
      <c r="E110">
        <f t="shared" si="5"/>
        <v>2.799360798837156E-138</v>
      </c>
      <c r="F110">
        <v>109</v>
      </c>
    </row>
    <row r="111" spans="1:6" x14ac:dyDescent="0.25">
      <c r="A111" s="1">
        <v>45861.705555555556</v>
      </c>
      <c r="B111">
        <v>-1.9791937882440373E-2</v>
      </c>
      <c r="C111">
        <f t="shared" si="3"/>
        <v>3.917208051423783E-4</v>
      </c>
      <c r="D111">
        <f t="shared" si="4"/>
        <v>3.9503678872636766E-135</v>
      </c>
      <c r="E111">
        <f t="shared" si="5"/>
        <v>1.5474412894075233E-138</v>
      </c>
      <c r="F111">
        <v>110</v>
      </c>
    </row>
    <row r="112" spans="1:6" x14ac:dyDescent="0.25">
      <c r="A112" s="1">
        <v>45860.705555555556</v>
      </c>
      <c r="B112">
        <v>1.3271356909095342E-2</v>
      </c>
      <c r="C112">
        <f t="shared" si="3"/>
        <v>1.7612891420859268E-4</v>
      </c>
      <c r="D112">
        <f t="shared" si="4"/>
        <v>2.3702207323582082E-136</v>
      </c>
      <c r="E112">
        <f t="shared" si="5"/>
        <v>4.1746440402494656E-140</v>
      </c>
      <c r="F112">
        <v>111</v>
      </c>
    </row>
    <row r="113" spans="1:6" x14ac:dyDescent="0.25">
      <c r="A113" s="1">
        <v>45859.705555555556</v>
      </c>
      <c r="B113">
        <v>1.1165186563482272E-2</v>
      </c>
      <c r="C113">
        <f t="shared" si="3"/>
        <v>1.2466139099736505E-4</v>
      </c>
      <c r="D113">
        <f t="shared" si="4"/>
        <v>1.4221324394149257E-137</v>
      </c>
      <c r="E113">
        <f t="shared" si="5"/>
        <v>1.7728500807994062E-141</v>
      </c>
      <c r="F113">
        <v>112</v>
      </c>
    </row>
    <row r="114" spans="1:6" x14ac:dyDescent="0.25">
      <c r="A114" s="1">
        <v>45856.705555555556</v>
      </c>
      <c r="B114">
        <v>5.0331838123318972E-3</v>
      </c>
      <c r="C114">
        <f t="shared" si="3"/>
        <v>2.533293928871985E-5</v>
      </c>
      <c r="D114">
        <f t="shared" si="4"/>
        <v>8.5327946364895613E-139</v>
      </c>
      <c r="E114">
        <f t="shared" si="5"/>
        <v>2.161607684893044E-143</v>
      </c>
      <c r="F114">
        <v>113</v>
      </c>
    </row>
    <row r="115" spans="1:6" x14ac:dyDescent="0.25">
      <c r="A115" s="1">
        <v>45855.705555555556</v>
      </c>
      <c r="B115">
        <v>4.9664408162290357E-3</v>
      </c>
      <c r="C115">
        <f t="shared" si="3"/>
        <v>2.466553438110573E-5</v>
      </c>
      <c r="D115">
        <f t="shared" si="4"/>
        <v>5.1196767818937422E-140</v>
      </c>
      <c r="E115">
        <f t="shared" si="5"/>
        <v>1.2627956368394884E-144</v>
      </c>
      <c r="F115">
        <v>114</v>
      </c>
    </row>
    <row r="116" spans="1:6" x14ac:dyDescent="0.25">
      <c r="A116" s="1">
        <v>45854.705555555556</v>
      </c>
      <c r="B116">
        <v>3.0803352880977655E-2</v>
      </c>
      <c r="C116">
        <f t="shared" si="3"/>
        <v>9.4884654871003437E-4</v>
      </c>
      <c r="D116">
        <f t="shared" si="4"/>
        <v>3.0718060691362478E-141</v>
      </c>
      <c r="E116">
        <f t="shared" si="5"/>
        <v>2.9146725870064662E-144</v>
      </c>
      <c r="F116">
        <v>115</v>
      </c>
    </row>
    <row r="117" spans="1:6" x14ac:dyDescent="0.25">
      <c r="A117" s="1">
        <v>45853.705555555556</v>
      </c>
      <c r="B117">
        <v>-2.5441409739592045E-2</v>
      </c>
      <c r="C117">
        <f t="shared" si="3"/>
        <v>6.4726532953780899E-4</v>
      </c>
      <c r="D117">
        <f t="shared" si="4"/>
        <v>1.8430836414817502E-142</v>
      </c>
      <c r="E117">
        <f t="shared" si="5"/>
        <v>1.19296414056943E-145</v>
      </c>
      <c r="F117">
        <v>116</v>
      </c>
    </row>
    <row r="118" spans="1:6" x14ac:dyDescent="0.25">
      <c r="A118" s="1">
        <v>45852.705555555556</v>
      </c>
      <c r="B118">
        <v>2.0509217250273232E-2</v>
      </c>
      <c r="C118">
        <f t="shared" si="3"/>
        <v>4.2062799221890515E-4</v>
      </c>
      <c r="D118">
        <f t="shared" si="4"/>
        <v>1.105850184889051E-143</v>
      </c>
      <c r="E118">
        <f t="shared" si="5"/>
        <v>4.6515154296478655E-147</v>
      </c>
      <c r="F118">
        <v>117</v>
      </c>
    </row>
    <row r="119" spans="1:6" x14ac:dyDescent="0.25">
      <c r="A119" s="1">
        <v>45849.705555555556</v>
      </c>
      <c r="B119">
        <v>3.4655503840332079E-2</v>
      </c>
      <c r="C119">
        <f t="shared" si="3"/>
        <v>1.2010039464272714E-3</v>
      </c>
      <c r="D119">
        <f t="shared" si="4"/>
        <v>6.6351011093343128E-145</v>
      </c>
      <c r="E119">
        <f t="shared" si="5"/>
        <v>7.9687826172544764E-148</v>
      </c>
      <c r="F119">
        <v>118</v>
      </c>
    </row>
    <row r="120" spans="1:6" x14ac:dyDescent="0.25">
      <c r="A120" s="1">
        <v>45848.705555555556</v>
      </c>
      <c r="B120">
        <v>2.2987240255508148E-2</v>
      </c>
      <c r="C120">
        <f t="shared" si="3"/>
        <v>5.2841321456445435E-4</v>
      </c>
      <c r="D120">
        <f t="shared" si="4"/>
        <v>3.981060665600591E-146</v>
      </c>
      <c r="E120">
        <f t="shared" si="5"/>
        <v>2.1036450636861147E-149</v>
      </c>
      <c r="F120">
        <v>119</v>
      </c>
    </row>
    <row r="121" spans="1:6" x14ac:dyDescent="0.25">
      <c r="A121" s="1">
        <v>45847.705555555556</v>
      </c>
      <c r="B121">
        <v>3.2185281395997564E-2</v>
      </c>
      <c r="C121">
        <f t="shared" si="3"/>
        <v>1.0358923385395469E-3</v>
      </c>
      <c r="D121">
        <f t="shared" si="4"/>
        <v>2.3886363993603567E-147</v>
      </c>
      <c r="E121">
        <f t="shared" si="5"/>
        <v>2.4743701456540828E-150</v>
      </c>
      <c r="F121">
        <v>120</v>
      </c>
    </row>
    <row r="122" spans="1:6" x14ac:dyDescent="0.25">
      <c r="A122" s="1">
        <v>45846.705555555556</v>
      </c>
      <c r="B122">
        <v>4.9808134516934601E-3</v>
      </c>
      <c r="C122">
        <f t="shared" si="3"/>
        <v>2.480850264057052E-5</v>
      </c>
      <c r="D122">
        <f t="shared" si="4"/>
        <v>1.4331818396162151E-148</v>
      </c>
      <c r="E122">
        <f t="shared" si="5"/>
        <v>3.5555095452536588E-153</v>
      </c>
      <c r="F122">
        <v>121</v>
      </c>
    </row>
    <row r="123" spans="1:6" x14ac:dyDescent="0.25">
      <c r="A123" s="1">
        <v>45845.705555555556</v>
      </c>
      <c r="B123">
        <v>9.0914467050104211E-3</v>
      </c>
      <c r="C123">
        <f t="shared" si="3"/>
        <v>8.2654403190044839E-5</v>
      </c>
      <c r="D123">
        <f t="shared" si="4"/>
        <v>8.5990910376972996E-150</v>
      </c>
      <c r="E123">
        <f t="shared" si="5"/>
        <v>7.1075273769773369E-154</v>
      </c>
      <c r="F123">
        <v>122</v>
      </c>
    </row>
    <row r="124" spans="1:6" x14ac:dyDescent="0.25">
      <c r="A124" s="1">
        <v>45842.705555555556</v>
      </c>
      <c r="B124">
        <v>-9.8193622989466139E-3</v>
      </c>
      <c r="C124">
        <f t="shared" si="3"/>
        <v>9.6419875957974124E-5</v>
      </c>
      <c r="D124">
        <f t="shared" si="4"/>
        <v>5.1594546226183837E-151</v>
      </c>
      <c r="E124">
        <f t="shared" si="5"/>
        <v>4.9747397472366074E-155</v>
      </c>
      <c r="F124">
        <v>123</v>
      </c>
    </row>
    <row r="125" spans="1:6" x14ac:dyDescent="0.25">
      <c r="A125" s="1">
        <v>45841.705555555556</v>
      </c>
      <c r="B125">
        <v>-4.8737588048530876E-3</v>
      </c>
      <c r="C125">
        <f t="shared" si="3"/>
        <v>2.3753524887882996E-5</v>
      </c>
      <c r="D125">
        <f t="shared" si="4"/>
        <v>3.0956727735710325E-152</v>
      </c>
      <c r="E125">
        <f t="shared" si="5"/>
        <v>7.3533140271761307E-157</v>
      </c>
      <c r="F125">
        <v>124</v>
      </c>
    </row>
    <row r="126" spans="1:6" x14ac:dyDescent="0.25">
      <c r="A126" s="1">
        <v>45840.705555555556</v>
      </c>
      <c r="B126">
        <v>2.8540390617039814E-2</v>
      </c>
      <c r="C126">
        <f t="shared" si="3"/>
        <v>8.145538965732142E-4</v>
      </c>
      <c r="D126">
        <f t="shared" si="4"/>
        <v>1.8574036641426211E-153</v>
      </c>
      <c r="E126">
        <f t="shared" si="5"/>
        <v>1.5129553921367377E-156</v>
      </c>
      <c r="F126">
        <v>125</v>
      </c>
    </row>
    <row r="127" spans="1:6" x14ac:dyDescent="0.25">
      <c r="A127" s="1">
        <v>45839.705555555556</v>
      </c>
      <c r="B127">
        <v>-1.6468228187171873E-2</v>
      </c>
      <c r="C127">
        <f t="shared" si="3"/>
        <v>2.712025396247622E-4</v>
      </c>
      <c r="D127">
        <f t="shared" si="4"/>
        <v>1.1144421984855738E-154</v>
      </c>
      <c r="E127">
        <f t="shared" si="5"/>
        <v>3.0223955449429092E-158</v>
      </c>
      <c r="F127">
        <v>126</v>
      </c>
    </row>
    <row r="128" spans="1:6" x14ac:dyDescent="0.25">
      <c r="A128" s="1">
        <v>45838.705555555556</v>
      </c>
      <c r="B128">
        <v>9.0450763913141191E-3</v>
      </c>
      <c r="C128">
        <f t="shared" si="3"/>
        <v>8.1813406924708052E-5</v>
      </c>
      <c r="D128">
        <f t="shared" si="4"/>
        <v>6.6866531909134503E-156</v>
      </c>
      <c r="E128">
        <f t="shared" si="5"/>
        <v>5.4705787847259967E-160</v>
      </c>
      <c r="F128">
        <v>127</v>
      </c>
    </row>
    <row r="129" spans="1:6" x14ac:dyDescent="0.25">
      <c r="A129" s="1">
        <v>45835.705555555556</v>
      </c>
      <c r="B129">
        <v>-1.0196125542625256E-2</v>
      </c>
      <c r="C129">
        <f t="shared" si="3"/>
        <v>1.0396097608097516E-4</v>
      </c>
      <c r="D129">
        <f t="shared" si="4"/>
        <v>4.0119919145480716E-157</v>
      </c>
      <c r="E129">
        <f t="shared" si="5"/>
        <v>4.1709059546539778E-161</v>
      </c>
      <c r="F129">
        <v>128</v>
      </c>
    </row>
    <row r="130" spans="1:6" x14ac:dyDescent="0.25">
      <c r="A130" s="1">
        <v>45834.705555555556</v>
      </c>
      <c r="B130">
        <v>-1.4432062775235014E-2</v>
      </c>
      <c r="C130">
        <f t="shared" si="3"/>
        <v>2.0828443594832417E-4</v>
      </c>
      <c r="D130">
        <f t="shared" si="4"/>
        <v>2.4071951487288449E-158</v>
      </c>
      <c r="E130">
        <f t="shared" si="5"/>
        <v>5.0138128377052975E-162</v>
      </c>
      <c r="F130">
        <v>129</v>
      </c>
    </row>
    <row r="131" spans="1:6" x14ac:dyDescent="0.25">
      <c r="A131" s="1">
        <v>45833.705555555556</v>
      </c>
      <c r="B131">
        <v>1.568781848650775E-2</v>
      </c>
      <c r="C131">
        <f t="shared" ref="C131:C194" si="6">B131^2</f>
        <v>2.4610764886561431E-4</v>
      </c>
      <c r="D131">
        <f t="shared" ref="D131:D194" si="7">(1-$I$2)^F131</f>
        <v>1.4443170892373082E-159</v>
      </c>
      <c r="E131">
        <f t="shared" ref="E131:E194" si="8">D131*C131</f>
        <v>3.5545748304862156E-163</v>
      </c>
      <c r="F131">
        <v>130</v>
      </c>
    </row>
    <row r="132" spans="1:6" x14ac:dyDescent="0.25">
      <c r="A132" s="1">
        <v>45832.705555555556</v>
      </c>
      <c r="B132">
        <v>2.4163956542089658E-2</v>
      </c>
      <c r="C132">
        <f t="shared" si="6"/>
        <v>5.8389679576799759E-4</v>
      </c>
      <c r="D132">
        <f t="shared" si="7"/>
        <v>8.6659025354238582E-161</v>
      </c>
      <c r="E132">
        <f t="shared" si="8"/>
        <v>5.059992722871757E-164</v>
      </c>
      <c r="F132">
        <v>131</v>
      </c>
    </row>
    <row r="133" spans="1:6" x14ac:dyDescent="0.25">
      <c r="A133" s="1">
        <v>45831.705555555556</v>
      </c>
      <c r="B133">
        <v>-1.458947128048433E-2</v>
      </c>
      <c r="C133">
        <f t="shared" si="6"/>
        <v>2.1285267224407708E-4</v>
      </c>
      <c r="D133">
        <f t="shared" si="7"/>
        <v>5.1995415212543192E-162</v>
      </c>
      <c r="E133">
        <f t="shared" si="8"/>
        <v>1.1067363072430155E-165</v>
      </c>
      <c r="F133">
        <v>132</v>
      </c>
    </row>
    <row r="134" spans="1:6" x14ac:dyDescent="0.25">
      <c r="A134" s="1">
        <v>45828.705555555556</v>
      </c>
      <c r="B134">
        <v>-3.1710797792284477E-4</v>
      </c>
      <c r="C134">
        <f t="shared" si="6"/>
        <v>1.005574696623154E-7</v>
      </c>
      <c r="D134">
        <f t="shared" si="7"/>
        <v>3.1197249127525942E-163</v>
      </c>
      <c r="E134">
        <f t="shared" si="8"/>
        <v>3.1371164326888855E-170</v>
      </c>
      <c r="F134">
        <v>133</v>
      </c>
    </row>
    <row r="135" spans="1:6" x14ac:dyDescent="0.25">
      <c r="A135" s="1">
        <v>45826.705555555556</v>
      </c>
      <c r="B135">
        <v>-3.2442021639006779E-2</v>
      </c>
      <c r="C135">
        <f t="shared" si="6"/>
        <v>1.052484768025784E-3</v>
      </c>
      <c r="D135">
        <f t="shared" si="7"/>
        <v>1.8718349476515584E-164</v>
      </c>
      <c r="E135">
        <f t="shared" si="8"/>
        <v>1.9700777706616059E-167</v>
      </c>
      <c r="F135">
        <v>134</v>
      </c>
    </row>
    <row r="136" spans="1:6" x14ac:dyDescent="0.25">
      <c r="A136" s="1">
        <v>45824.705555555556</v>
      </c>
      <c r="B136">
        <v>1.5050278927137619E-2</v>
      </c>
      <c r="C136">
        <f t="shared" si="6"/>
        <v>2.2651089578464267E-4</v>
      </c>
      <c r="D136">
        <f t="shared" si="7"/>
        <v>1.123100968590936E-165</v>
      </c>
      <c r="E136">
        <f t="shared" si="8"/>
        <v>2.5439460645213274E-169</v>
      </c>
      <c r="F136">
        <v>135</v>
      </c>
    </row>
    <row r="137" spans="1:6" x14ac:dyDescent="0.25">
      <c r="A137" s="1">
        <v>45821.705555555556</v>
      </c>
      <c r="B137">
        <v>-1.4436216887578074E-2</v>
      </c>
      <c r="C137">
        <f t="shared" si="6"/>
        <v>2.0840435802519435E-4</v>
      </c>
      <c r="D137">
        <f t="shared" si="7"/>
        <v>6.7386058115456205E-167</v>
      </c>
      <c r="E137">
        <f t="shared" si="8"/>
        <v>1.4043548181400088E-170</v>
      </c>
      <c r="F137">
        <v>136</v>
      </c>
    </row>
    <row r="138" spans="1:6" x14ac:dyDescent="0.25">
      <c r="A138" s="1">
        <v>45820.705555555556</v>
      </c>
      <c r="B138">
        <v>-1.9264511411587342E-2</v>
      </c>
      <c r="C138">
        <f t="shared" si="6"/>
        <v>3.7112139992717891E-4</v>
      </c>
      <c r="D138">
        <f t="shared" si="7"/>
        <v>4.0431634869273762E-168</v>
      </c>
      <c r="E138">
        <f t="shared" si="8"/>
        <v>1.5005044934029421E-171</v>
      </c>
      <c r="F138">
        <v>137</v>
      </c>
    </row>
    <row r="139" spans="1:6" x14ac:dyDescent="0.25">
      <c r="A139" s="1">
        <v>45819.705555555556</v>
      </c>
      <c r="B139">
        <v>-4.5087997830526522E-3</v>
      </c>
      <c r="C139">
        <f t="shared" si="6"/>
        <v>2.0329275483655644E-5</v>
      </c>
      <c r="D139">
        <f t="shared" si="7"/>
        <v>2.425898092156428E-169</v>
      </c>
      <c r="E139">
        <f t="shared" si="8"/>
        <v>4.9316750610722671E-174</v>
      </c>
      <c r="F139">
        <v>138</v>
      </c>
    </row>
    <row r="140" spans="1:6" x14ac:dyDescent="0.25">
      <c r="A140" s="1">
        <v>45818.705555555556</v>
      </c>
      <c r="B140">
        <v>1.186659138046353E-2</v>
      </c>
      <c r="C140">
        <f t="shared" si="6"/>
        <v>1.4081599099089134E-4</v>
      </c>
      <c r="D140">
        <f t="shared" si="7"/>
        <v>1.455538855293858E-170</v>
      </c>
      <c r="E140">
        <f t="shared" si="8"/>
        <v>2.0496314633395221E-174</v>
      </c>
      <c r="F140">
        <v>139</v>
      </c>
    </row>
    <row r="141" spans="1:6" x14ac:dyDescent="0.25">
      <c r="A141" s="1">
        <v>45817.705555555556</v>
      </c>
      <c r="B141">
        <v>2.8422371844897525E-2</v>
      </c>
      <c r="C141">
        <f t="shared" si="6"/>
        <v>8.0783122128962352E-4</v>
      </c>
      <c r="D141">
        <f t="shared" si="7"/>
        <v>8.7332331317631543E-172</v>
      </c>
      <c r="E141">
        <f t="shared" si="8"/>
        <v>7.054978386639232E-175</v>
      </c>
      <c r="F141">
        <v>140</v>
      </c>
    </row>
    <row r="142" spans="1:6" x14ac:dyDescent="0.25">
      <c r="A142" s="1">
        <v>45814.705555555556</v>
      </c>
      <c r="B142">
        <v>1.4256006636032775E-2</v>
      </c>
      <c r="C142">
        <f t="shared" si="6"/>
        <v>2.0323372520661051E-4</v>
      </c>
      <c r="D142">
        <f t="shared" si="7"/>
        <v>5.2399398790578972E-173</v>
      </c>
      <c r="E142">
        <f t="shared" si="8"/>
        <v>1.0649325014796125E-176</v>
      </c>
      <c r="F142">
        <v>141</v>
      </c>
    </row>
    <row r="143" spans="1:6" x14ac:dyDescent="0.25">
      <c r="A143" s="1">
        <v>45813.705555555556</v>
      </c>
      <c r="B143">
        <v>-3.7302294122083905E-2</v>
      </c>
      <c r="C143">
        <f t="shared" si="6"/>
        <v>1.3914611467704555E-3</v>
      </c>
      <c r="D143">
        <f t="shared" si="7"/>
        <v>3.1439639274347413E-174</v>
      </c>
      <c r="E143">
        <f t="shared" si="8"/>
        <v>4.3747036518732904E-177</v>
      </c>
      <c r="F143">
        <v>142</v>
      </c>
    </row>
    <row r="144" spans="1:6" x14ac:dyDescent="0.25">
      <c r="A144" s="1">
        <v>45812.705555555556</v>
      </c>
      <c r="B144">
        <v>-1.8290829202637414E-3</v>
      </c>
      <c r="C144">
        <f t="shared" si="6"/>
        <v>3.3455443292005361E-6</v>
      </c>
      <c r="D144">
        <f t="shared" si="7"/>
        <v>1.8863783564608468E-175</v>
      </c>
      <c r="E144">
        <f t="shared" si="8"/>
        <v>6.3109624131842135E-181</v>
      </c>
      <c r="F144">
        <v>143</v>
      </c>
    </row>
    <row r="145" spans="1:6" x14ac:dyDescent="0.25">
      <c r="A145" s="1">
        <v>45811.705555555556</v>
      </c>
      <c r="B145">
        <v>2.5412974286725481E-3</v>
      </c>
      <c r="C145">
        <f t="shared" si="6"/>
        <v>6.4581926209777049E-6</v>
      </c>
      <c r="D145">
        <f t="shared" si="7"/>
        <v>1.1318270138765087E-176</v>
      </c>
      <c r="E145">
        <f t="shared" si="8"/>
        <v>7.3095568692404989E-182</v>
      </c>
      <c r="F145">
        <v>144</v>
      </c>
    </row>
    <row r="146" spans="1:6" x14ac:dyDescent="0.25">
      <c r="A146" s="1">
        <v>45810.705555555556</v>
      </c>
      <c r="B146">
        <v>4.0720757968768265E-4</v>
      </c>
      <c r="C146">
        <f t="shared" si="6"/>
        <v>1.6581801295510043E-7</v>
      </c>
      <c r="D146">
        <f t="shared" si="7"/>
        <v>6.7909620832590578E-178</v>
      </c>
      <c r="E146">
        <f t="shared" si="8"/>
        <v>1.1260638386994462E-184</v>
      </c>
      <c r="F146">
        <v>145</v>
      </c>
    </row>
    <row r="147" spans="1:6" x14ac:dyDescent="0.25">
      <c r="A147" s="1">
        <v>45807.705555555556</v>
      </c>
      <c r="B147">
        <v>-9.3240768751230649E-3</v>
      </c>
      <c r="C147">
        <f t="shared" si="6"/>
        <v>8.6938409573204697E-5</v>
      </c>
      <c r="D147">
        <f t="shared" si="7"/>
        <v>4.074577249955438E-179</v>
      </c>
      <c r="E147">
        <f t="shared" si="8"/>
        <v>3.5423726579428794E-183</v>
      </c>
      <c r="F147">
        <v>146</v>
      </c>
    </row>
    <row r="148" spans="1:6" x14ac:dyDescent="0.25">
      <c r="A148" s="1">
        <v>45806.705555555556</v>
      </c>
      <c r="B148">
        <v>-1.0137086856992678E-2</v>
      </c>
      <c r="C148">
        <f t="shared" si="6"/>
        <v>1.027605299462137E-4</v>
      </c>
      <c r="D148">
        <f t="shared" si="7"/>
        <v>2.4447463499732651E-180</v>
      </c>
      <c r="E148">
        <f t="shared" si="8"/>
        <v>2.5122343050732434E-184</v>
      </c>
      <c r="F148">
        <v>147</v>
      </c>
    </row>
    <row r="149" spans="1:6" x14ac:dyDescent="0.25">
      <c r="A149" s="1">
        <v>45805.705555555556</v>
      </c>
      <c r="B149">
        <v>-1.7030114554659848E-2</v>
      </c>
      <c r="C149">
        <f t="shared" si="6"/>
        <v>2.9002480174483719E-4</v>
      </c>
      <c r="D149">
        <f t="shared" si="7"/>
        <v>1.4668478099839602E-181</v>
      </c>
      <c r="E149">
        <f t="shared" si="8"/>
        <v>4.2542224528044667E-185</v>
      </c>
      <c r="F149">
        <v>148</v>
      </c>
    </row>
    <row r="150" spans="1:6" x14ac:dyDescent="0.25">
      <c r="A150" s="1">
        <v>45804.705555555556</v>
      </c>
      <c r="B150">
        <v>3.1465119372102285E-3</v>
      </c>
      <c r="C150">
        <f t="shared" si="6"/>
        <v>9.9005373710064659E-6</v>
      </c>
      <c r="D150">
        <f t="shared" si="7"/>
        <v>8.8010868599037692E-183</v>
      </c>
      <c r="E150">
        <f t="shared" si="8"/>
        <v>8.713548936195121E-188</v>
      </c>
      <c r="F150">
        <v>149</v>
      </c>
    </row>
    <row r="151" spans="1:6" x14ac:dyDescent="0.25">
      <c r="A151" s="1">
        <v>45803.705555555556</v>
      </c>
      <c r="B151">
        <v>6.8962122825683072E-4</v>
      </c>
      <c r="C151">
        <f t="shared" si="6"/>
        <v>4.7557743846245982E-7</v>
      </c>
      <c r="D151">
        <f t="shared" si="7"/>
        <v>5.2806521159422668E-184</v>
      </c>
      <c r="E151">
        <f t="shared" si="8"/>
        <v>2.5113590067111916E-190</v>
      </c>
      <c r="F151">
        <v>150</v>
      </c>
    </row>
    <row r="152" spans="1:6" x14ac:dyDescent="0.25">
      <c r="A152" s="1">
        <v>45800.705555555556</v>
      </c>
      <c r="B152">
        <v>-1.2924883733839029E-2</v>
      </c>
      <c r="C152">
        <f t="shared" si="6"/>
        <v>1.6705261953325673E-4</v>
      </c>
      <c r="D152">
        <f t="shared" si="7"/>
        <v>3.168391269565363E-185</v>
      </c>
      <c r="E152">
        <f t="shared" si="8"/>
        <v>5.2928806128719486E-189</v>
      </c>
      <c r="F152">
        <v>151</v>
      </c>
    </row>
    <row r="153" spans="1:6" x14ac:dyDescent="0.25">
      <c r="A153" s="1">
        <v>45799.705555555556</v>
      </c>
      <c r="B153">
        <v>2.0145131707325913E-2</v>
      </c>
      <c r="C153">
        <f t="shared" si="6"/>
        <v>4.0582633150550786E-4</v>
      </c>
      <c r="D153">
        <f t="shared" si="7"/>
        <v>1.9010347617392191E-186</v>
      </c>
      <c r="E153">
        <f t="shared" si="8"/>
        <v>7.7148996342107451E-190</v>
      </c>
      <c r="F153">
        <v>152</v>
      </c>
    </row>
    <row r="154" spans="1:6" x14ac:dyDescent="0.25">
      <c r="A154" s="1">
        <v>45798.705555555556</v>
      </c>
      <c r="B154">
        <v>8.8738804556803535E-3</v>
      </c>
      <c r="C154">
        <f t="shared" si="6"/>
        <v>7.8745754341705764E-5</v>
      </c>
      <c r="D154">
        <f t="shared" si="7"/>
        <v>1.1406208570435325E-187</v>
      </c>
      <c r="E154">
        <f t="shared" si="8"/>
        <v>8.9819049805775889E-192</v>
      </c>
      <c r="F154">
        <v>153</v>
      </c>
    </row>
    <row r="155" spans="1:6" x14ac:dyDescent="0.25">
      <c r="A155" s="1">
        <v>45797.705555555556</v>
      </c>
      <c r="B155">
        <v>1.4120254776689581E-2</v>
      </c>
      <c r="C155">
        <f t="shared" si="6"/>
        <v>1.9938159495862492E-4</v>
      </c>
      <c r="D155">
        <f t="shared" si="7"/>
        <v>6.8437251422612012E-189</v>
      </c>
      <c r="E155">
        <f t="shared" si="8"/>
        <v>1.3645128343224806E-192</v>
      </c>
      <c r="F155">
        <v>154</v>
      </c>
    </row>
    <row r="156" spans="1:6" x14ac:dyDescent="0.25">
      <c r="A156" s="1">
        <v>45796.705555555556</v>
      </c>
      <c r="B156">
        <v>5.9087376474064009E-3</v>
      </c>
      <c r="C156">
        <f t="shared" si="6"/>
        <v>3.4913180585877729E-5</v>
      </c>
      <c r="D156">
        <f t="shared" si="7"/>
        <v>4.1062350853567239E-190</v>
      </c>
      <c r="E156">
        <f t="shared" si="8"/>
        <v>1.4336172706312634E-194</v>
      </c>
      <c r="F156">
        <v>155</v>
      </c>
    </row>
    <row r="157" spans="1:6" x14ac:dyDescent="0.25">
      <c r="A157" s="1">
        <v>45793.705555555556</v>
      </c>
      <c r="B157">
        <v>-1.0212419188227642E-3</v>
      </c>
      <c r="C157">
        <f t="shared" si="6"/>
        <v>1.0429350567608013E-6</v>
      </c>
      <c r="D157">
        <f t="shared" si="7"/>
        <v>2.4637410512140363E-191</v>
      </c>
      <c r="E157">
        <f t="shared" si="8"/>
        <v>2.5695219130918272E-197</v>
      </c>
      <c r="F157">
        <v>156</v>
      </c>
    </row>
    <row r="158" spans="1:6" x14ac:dyDescent="0.25">
      <c r="A158" s="1">
        <v>45792.705555555556</v>
      </c>
      <c r="B158">
        <v>3.7838159375042217E-3</v>
      </c>
      <c r="C158">
        <f t="shared" si="6"/>
        <v>1.4317263048910952E-5</v>
      </c>
      <c r="D158">
        <f t="shared" si="7"/>
        <v>1.4782446307284231E-192</v>
      </c>
      <c r="E158">
        <f t="shared" si="8"/>
        <v>2.1164417228779066E-197</v>
      </c>
      <c r="F158">
        <v>157</v>
      </c>
    </row>
    <row r="159" spans="1:6" x14ac:dyDescent="0.25">
      <c r="A159" s="1">
        <v>45791.705555555556</v>
      </c>
      <c r="B159">
        <v>-1.0092343167903237E-2</v>
      </c>
      <c r="C159">
        <f t="shared" si="6"/>
        <v>1.0185539061872314E-4</v>
      </c>
      <c r="D159">
        <f t="shared" si="7"/>
        <v>8.869467784370548E-194</v>
      </c>
      <c r="E159">
        <f t="shared" si="8"/>
        <v>9.0340310575724295E-198</v>
      </c>
      <c r="F159">
        <v>158</v>
      </c>
    </row>
    <row r="160" spans="1:6" x14ac:dyDescent="0.25">
      <c r="A160" s="1">
        <v>45790.705555555556</v>
      </c>
      <c r="B160">
        <v>1.5949627549741895E-2</v>
      </c>
      <c r="C160">
        <f t="shared" si="6"/>
        <v>2.5439061897548568E-4</v>
      </c>
      <c r="D160">
        <f t="shared" si="7"/>
        <v>5.321680670622334E-195</v>
      </c>
      <c r="E160">
        <f t="shared" si="8"/>
        <v>1.3537856397894932E-198</v>
      </c>
      <c r="F160">
        <v>159</v>
      </c>
    </row>
    <row r="161" spans="1:6" x14ac:dyDescent="0.25">
      <c r="A161" s="1">
        <v>45789.705555555556</v>
      </c>
      <c r="B161">
        <v>-2.1619404107144483E-3</v>
      </c>
      <c r="C161">
        <f t="shared" si="6"/>
        <v>4.6739863394801577E-6</v>
      </c>
      <c r="D161">
        <f t="shared" si="7"/>
        <v>3.1930084023734017E-196</v>
      </c>
      <c r="E161">
        <f t="shared" si="8"/>
        <v>1.4924077654538642E-201</v>
      </c>
      <c r="F161">
        <v>160</v>
      </c>
    </row>
    <row r="162" spans="1:6" x14ac:dyDescent="0.25">
      <c r="A162" s="1">
        <v>45786.705555555556</v>
      </c>
      <c r="B162">
        <v>1.9208398290805753E-2</v>
      </c>
      <c r="C162">
        <f t="shared" si="6"/>
        <v>3.6896256489822934E-4</v>
      </c>
      <c r="D162">
        <f t="shared" si="7"/>
        <v>1.9158050414240428E-197</v>
      </c>
      <c r="E162">
        <f t="shared" si="8"/>
        <v>7.0686034192877333E-201</v>
      </c>
      <c r="F162">
        <v>161</v>
      </c>
    </row>
    <row r="163" spans="1:6" x14ac:dyDescent="0.25">
      <c r="A163" s="1">
        <v>45785.705555555556</v>
      </c>
      <c r="B163">
        <v>3.314631785156387E-2</v>
      </c>
      <c r="C163">
        <f t="shared" si="6"/>
        <v>1.0986783871169018E-3</v>
      </c>
      <c r="D163">
        <f t="shared" si="7"/>
        <v>1.1494830248544267E-198</v>
      </c>
      <c r="E163">
        <f t="shared" si="8"/>
        <v>1.2629121557653191E-201</v>
      </c>
      <c r="F163">
        <v>162</v>
      </c>
    </row>
    <row r="164" spans="1:6" x14ac:dyDescent="0.25">
      <c r="A164" s="1">
        <v>45784.705555555556</v>
      </c>
      <c r="B164">
        <v>8.1606459088650538E-3</v>
      </c>
      <c r="C164">
        <f t="shared" si="6"/>
        <v>6.6596141649875935E-5</v>
      </c>
      <c r="D164">
        <f t="shared" si="7"/>
        <v>6.8968981491265669E-200</v>
      </c>
      <c r="E164">
        <f t="shared" si="8"/>
        <v>4.5930680608399999E-204</v>
      </c>
      <c r="F164">
        <v>163</v>
      </c>
    </row>
    <row r="165" spans="1:6" x14ac:dyDescent="0.25">
      <c r="A165" s="1">
        <v>45783.705555555556</v>
      </c>
      <c r="B165">
        <v>1.6634919531901167E-2</v>
      </c>
      <c r="C165">
        <f t="shared" si="6"/>
        <v>2.7672054783282695E-4</v>
      </c>
      <c r="D165">
        <f t="shared" si="7"/>
        <v>4.1381388894759435E-201</v>
      </c>
      <c r="E165">
        <f t="shared" si="8"/>
        <v>1.1451080605041092E-204</v>
      </c>
      <c r="F165">
        <v>164</v>
      </c>
    </row>
    <row r="166" spans="1:6" x14ac:dyDescent="0.25">
      <c r="A166" s="1">
        <v>45782.705555555556</v>
      </c>
      <c r="B166">
        <v>-4.101773945532813E-3</v>
      </c>
      <c r="C166">
        <f t="shared" si="6"/>
        <v>1.682454950025182E-5</v>
      </c>
      <c r="D166">
        <f t="shared" si="7"/>
        <v>2.482883333685568E-202</v>
      </c>
      <c r="E166">
        <f t="shared" si="8"/>
        <v>4.1773393550943096E-207</v>
      </c>
      <c r="F166">
        <v>165</v>
      </c>
    </row>
    <row r="167" spans="1:6" x14ac:dyDescent="0.25">
      <c r="A167" s="1">
        <v>45779.705555555556</v>
      </c>
      <c r="B167">
        <v>2.9915262462758573E-3</v>
      </c>
      <c r="C167">
        <f t="shared" si="6"/>
        <v>8.9492292821573219E-6</v>
      </c>
      <c r="D167">
        <f t="shared" si="7"/>
        <v>1.4897300002113423E-203</v>
      </c>
      <c r="E167">
        <f t="shared" si="8"/>
        <v>1.3331935340399579E-208</v>
      </c>
      <c r="F167">
        <v>166</v>
      </c>
    </row>
    <row r="168" spans="1:6" x14ac:dyDescent="0.25">
      <c r="A168" s="1">
        <v>45777.705555555556</v>
      </c>
      <c r="B168">
        <v>-1.4414816489466099E-3</v>
      </c>
      <c r="C168">
        <f t="shared" si="6"/>
        <v>2.0778693442498373E-6</v>
      </c>
      <c r="D168">
        <f t="shared" si="7"/>
        <v>8.9383800012680613E-205</v>
      </c>
      <c r="E168">
        <f t="shared" si="8"/>
        <v>1.8572785791890726E-210</v>
      </c>
      <c r="F168">
        <v>167</v>
      </c>
    </row>
    <row r="169" spans="1:6" x14ac:dyDescent="0.25">
      <c r="A169" s="1">
        <v>45776.705555555556</v>
      </c>
      <c r="B169">
        <v>3.440815870429082E-3</v>
      </c>
      <c r="C169">
        <f t="shared" si="6"/>
        <v>1.1839213854196641E-5</v>
      </c>
      <c r="D169">
        <f t="shared" si="7"/>
        <v>5.3630280007608402E-206</v>
      </c>
      <c r="E169">
        <f t="shared" si="8"/>
        <v>6.3494035407052249E-211</v>
      </c>
      <c r="F169">
        <v>168</v>
      </c>
    </row>
    <row r="170" spans="1:6" x14ac:dyDescent="0.25">
      <c r="A170" s="1">
        <v>45775.705555555556</v>
      </c>
      <c r="B170">
        <v>-9.9569358947964506E-3</v>
      </c>
      <c r="C170">
        <f t="shared" si="6"/>
        <v>9.9140572413085996E-5</v>
      </c>
      <c r="D170">
        <f t="shared" si="7"/>
        <v>3.2178168004565075E-207</v>
      </c>
      <c r="E170">
        <f t="shared" si="8"/>
        <v>3.1901619951770307E-211</v>
      </c>
      <c r="F170">
        <v>169</v>
      </c>
    </row>
    <row r="171" spans="1:6" x14ac:dyDescent="0.25">
      <c r="A171" s="1">
        <v>45772.705555555556</v>
      </c>
      <c r="B171">
        <v>4.9660754270381639E-3</v>
      </c>
      <c r="C171">
        <f t="shared" si="6"/>
        <v>2.4661905147032281E-5</v>
      </c>
      <c r="D171">
        <f t="shared" si="7"/>
        <v>1.9306900802739061E-208</v>
      </c>
      <c r="E171">
        <f t="shared" si="8"/>
        <v>4.7614495628031214E-213</v>
      </c>
      <c r="F171">
        <v>170</v>
      </c>
    </row>
    <row r="172" spans="1:6" x14ac:dyDescent="0.25">
      <c r="A172" s="1">
        <v>45771.705555555556</v>
      </c>
      <c r="B172">
        <v>3.1024955633735473E-3</v>
      </c>
      <c r="C172">
        <f t="shared" si="6"/>
        <v>9.625478720752545E-6</v>
      </c>
      <c r="D172">
        <f t="shared" si="7"/>
        <v>1.1584140481643448E-209</v>
      </c>
      <c r="E172">
        <f t="shared" si="8"/>
        <v>1.1150289770426714E-214</v>
      </c>
      <c r="F172">
        <v>171</v>
      </c>
    </row>
    <row r="173" spans="1:6" x14ac:dyDescent="0.25">
      <c r="A173" s="1">
        <v>45770.705555555556</v>
      </c>
      <c r="B173">
        <v>1.3069161164395677E-2</v>
      </c>
      <c r="C173">
        <f t="shared" si="6"/>
        <v>1.7080297354094817E-4</v>
      </c>
      <c r="D173">
        <f t="shared" si="7"/>
        <v>6.9504842889860742E-211</v>
      </c>
      <c r="E173">
        <f t="shared" si="8"/>
        <v>1.1871633841084645E-214</v>
      </c>
      <c r="F173">
        <v>172</v>
      </c>
    </row>
    <row r="174" spans="1:6" x14ac:dyDescent="0.25">
      <c r="A174" s="1">
        <v>45769.705555555556</v>
      </c>
      <c r="B174">
        <v>4.2022024665015943E-2</v>
      </c>
      <c r="C174">
        <f t="shared" si="6"/>
        <v>1.7658505569472082E-3</v>
      </c>
      <c r="D174">
        <f t="shared" si="7"/>
        <v>4.1702905733916482E-212</v>
      </c>
      <c r="E174">
        <f t="shared" si="8"/>
        <v>7.364109931655334E-215</v>
      </c>
      <c r="F174">
        <v>173</v>
      </c>
    </row>
    <row r="175" spans="1:6" x14ac:dyDescent="0.25">
      <c r="A175" s="1">
        <v>45764.705555555556</v>
      </c>
      <c r="B175">
        <v>-5.7293345847956442E-3</v>
      </c>
      <c r="C175">
        <f t="shared" si="6"/>
        <v>3.2825274784535476E-5</v>
      </c>
      <c r="D175">
        <f t="shared" si="7"/>
        <v>2.5021743440349912E-213</v>
      </c>
      <c r="E175">
        <f t="shared" si="8"/>
        <v>8.2134560401763389E-218</v>
      </c>
      <c r="F175">
        <v>174</v>
      </c>
    </row>
    <row r="176" spans="1:6" x14ac:dyDescent="0.25">
      <c r="A176" s="1">
        <v>45763.705555555556</v>
      </c>
      <c r="B176">
        <v>4.7916880088320632E-3</v>
      </c>
      <c r="C176">
        <f t="shared" si="6"/>
        <v>2.2960273973984982E-5</v>
      </c>
      <c r="D176">
        <f t="shared" si="7"/>
        <v>1.5013046064209962E-214</v>
      </c>
      <c r="E176">
        <f t="shared" si="8"/>
        <v>3.4470365081831766E-219</v>
      </c>
      <c r="F176">
        <v>175</v>
      </c>
    </row>
    <row r="177" spans="1:6" x14ac:dyDescent="0.25">
      <c r="A177" s="1">
        <v>45762.705555555556</v>
      </c>
      <c r="B177">
        <v>3.0505714141695114E-3</v>
      </c>
      <c r="C177">
        <f t="shared" si="6"/>
        <v>9.3059859529481723E-6</v>
      </c>
      <c r="D177">
        <f t="shared" si="7"/>
        <v>9.0078276385259823E-216</v>
      </c>
      <c r="E177">
        <f t="shared" si="8"/>
        <v>8.3826717470701096E-221</v>
      </c>
      <c r="F177">
        <v>176</v>
      </c>
    </row>
    <row r="178" spans="1:6" x14ac:dyDescent="0.25">
      <c r="A178" s="1">
        <v>45761.705555555556</v>
      </c>
      <c r="B178">
        <v>6.2474417851976476E-3</v>
      </c>
      <c r="C178">
        <f t="shared" si="6"/>
        <v>3.9030528859433572E-5</v>
      </c>
      <c r="D178">
        <f t="shared" si="7"/>
        <v>5.4046965831155935E-217</v>
      </c>
      <c r="E178">
        <f t="shared" si="8"/>
        <v>2.109481659637752E-221</v>
      </c>
      <c r="F178">
        <v>177</v>
      </c>
    </row>
    <row r="179" spans="1:6" x14ac:dyDescent="0.25">
      <c r="A179" s="1">
        <v>45758.705555555556</v>
      </c>
      <c r="B179">
        <v>4.1526787387157295E-2</v>
      </c>
      <c r="C179">
        <f t="shared" si="6"/>
        <v>1.7244740706981662E-3</v>
      </c>
      <c r="D179">
        <f t="shared" si="7"/>
        <v>3.2428179498693591E-218</v>
      </c>
      <c r="E179">
        <f t="shared" si="8"/>
        <v>5.5921554705442953E-221</v>
      </c>
      <c r="F179">
        <v>178</v>
      </c>
    </row>
    <row r="180" spans="1:6" x14ac:dyDescent="0.25">
      <c r="A180" s="1">
        <v>45757.705555555556</v>
      </c>
      <c r="B180">
        <v>-1.9287707296841622E-2</v>
      </c>
      <c r="C180">
        <f t="shared" si="6"/>
        <v>3.7201565276863755E-4</v>
      </c>
      <c r="D180">
        <f t="shared" si="7"/>
        <v>1.9456907699216171E-219</v>
      </c>
      <c r="E180">
        <f t="shared" si="8"/>
        <v>7.2382742185830339E-223</v>
      </c>
      <c r="F180">
        <v>179</v>
      </c>
    </row>
    <row r="181" spans="1:6" x14ac:dyDescent="0.25">
      <c r="A181" s="1">
        <v>45756.705555555556</v>
      </c>
      <c r="B181">
        <v>4.5133455835275692E-2</v>
      </c>
      <c r="C181">
        <f t="shared" si="6"/>
        <v>2.0370288356347812E-3</v>
      </c>
      <c r="D181">
        <f t="shared" si="7"/>
        <v>1.1674144619529713E-220</v>
      </c>
      <c r="E181">
        <f t="shared" si="8"/>
        <v>2.3780569221352657E-223</v>
      </c>
      <c r="F181">
        <v>180</v>
      </c>
    </row>
    <row r="182" spans="1:6" x14ac:dyDescent="0.25">
      <c r="A182" s="1">
        <v>45755.705555555556</v>
      </c>
      <c r="B182">
        <v>-2.2741639618106815E-3</v>
      </c>
      <c r="C182">
        <f t="shared" si="6"/>
        <v>5.1718217251984549E-6</v>
      </c>
      <c r="D182">
        <f t="shared" si="7"/>
        <v>7.004486771717834E-222</v>
      </c>
      <c r="E182">
        <f t="shared" si="8"/>
        <v>3.6225956859835484E-227</v>
      </c>
      <c r="F182">
        <v>181</v>
      </c>
    </row>
    <row r="183" spans="1:6" x14ac:dyDescent="0.25">
      <c r="A183" s="1">
        <v>45754.705555555556</v>
      </c>
      <c r="B183">
        <v>-5.8692656109776732E-2</v>
      </c>
      <c r="C183">
        <f t="shared" si="6"/>
        <v>3.4448278812205121E-3</v>
      </c>
      <c r="D183">
        <f t="shared" si="7"/>
        <v>4.2026920630307046E-223</v>
      </c>
      <c r="E183">
        <f t="shared" si="8"/>
        <v>1.4477550794912326E-225</v>
      </c>
      <c r="F183">
        <v>182</v>
      </c>
    </row>
    <row r="184" spans="1:6" x14ac:dyDescent="0.25">
      <c r="A184" s="1">
        <v>45751.705555555556</v>
      </c>
      <c r="B184">
        <v>5.1901031462866211E-2</v>
      </c>
      <c r="C184">
        <f t="shared" si="6"/>
        <v>2.6937170669094285E-3</v>
      </c>
      <c r="D184">
        <f t="shared" si="7"/>
        <v>2.521615237818425E-224</v>
      </c>
      <c r="E184">
        <f t="shared" si="8"/>
        <v>6.7925180022903685E-227</v>
      </c>
      <c r="F184">
        <v>183</v>
      </c>
    </row>
    <row r="185" spans="1:6" x14ac:dyDescent="0.25">
      <c r="A185" s="1">
        <v>45750.705555555556</v>
      </c>
      <c r="B185">
        <v>-6.5141560631436793E-2</v>
      </c>
      <c r="C185">
        <f t="shared" si="6"/>
        <v>4.2434229214991558E-3</v>
      </c>
      <c r="D185">
        <f t="shared" si="7"/>
        <v>1.5129691426910561E-225</v>
      </c>
      <c r="E185">
        <f t="shared" si="8"/>
        <v>6.4201679396161551E-228</v>
      </c>
      <c r="F185">
        <v>184</v>
      </c>
    </row>
    <row r="186" spans="1:6" x14ac:dyDescent="0.25">
      <c r="A186" s="1">
        <v>45749.705555555556</v>
      </c>
      <c r="B186">
        <v>1.6578236403521466E-2</v>
      </c>
      <c r="C186">
        <f t="shared" si="6"/>
        <v>2.7483792225104436E-4</v>
      </c>
      <c r="D186">
        <f t="shared" si="7"/>
        <v>9.0778148561463433E-227</v>
      </c>
      <c r="E186">
        <f t="shared" si="8"/>
        <v>2.4949277736429241E-230</v>
      </c>
      <c r="F186">
        <v>185</v>
      </c>
    </row>
    <row r="187" spans="1:6" x14ac:dyDescent="0.25">
      <c r="A187" s="1">
        <v>45748.705555555556</v>
      </c>
      <c r="B187">
        <v>1.7829649524336754E-2</v>
      </c>
      <c r="C187">
        <f t="shared" si="6"/>
        <v>3.1789640216068184E-4</v>
      </c>
      <c r="D187">
        <f t="shared" si="7"/>
        <v>5.4466889136878117E-228</v>
      </c>
      <c r="E187">
        <f t="shared" si="8"/>
        <v>1.7314828093498279E-231</v>
      </c>
      <c r="F187">
        <v>186</v>
      </c>
    </row>
    <row r="188" spans="1:6" x14ac:dyDescent="0.25">
      <c r="A188" s="1">
        <v>45747.705555555556</v>
      </c>
      <c r="B188">
        <v>-1.8307147444355902E-2</v>
      </c>
      <c r="C188">
        <f t="shared" si="6"/>
        <v>3.3515164754938684E-4</v>
      </c>
      <c r="D188">
        <f t="shared" si="7"/>
        <v>3.2680133482126899E-229</v>
      </c>
      <c r="E188">
        <f t="shared" si="8"/>
        <v>1.0952800578668711E-232</v>
      </c>
      <c r="F188">
        <v>187</v>
      </c>
    </row>
    <row r="189" spans="1:6" x14ac:dyDescent="0.25">
      <c r="A189" s="1">
        <v>45744.705555555556</v>
      </c>
      <c r="B189">
        <v>-3.2986146943194461E-2</v>
      </c>
      <c r="C189">
        <f t="shared" si="6"/>
        <v>1.0880858901580173E-3</v>
      </c>
      <c r="D189">
        <f t="shared" si="7"/>
        <v>1.9608080089276152E-230</v>
      </c>
      <c r="E189">
        <f t="shared" si="8"/>
        <v>2.1335275278229739E-233</v>
      </c>
      <c r="F189">
        <v>188</v>
      </c>
    </row>
    <row r="190" spans="1:6" x14ac:dyDescent="0.25">
      <c r="A190" s="1">
        <v>45743.705555555556</v>
      </c>
      <c r="B190">
        <v>1.138091485158923E-2</v>
      </c>
      <c r="C190">
        <f t="shared" si="6"/>
        <v>1.2952522285912432E-4</v>
      </c>
      <c r="D190">
        <f t="shared" si="7"/>
        <v>1.1764848053565703E-231</v>
      </c>
      <c r="E190">
        <f t="shared" si="8"/>
        <v>1.5238445660418325E-235</v>
      </c>
      <c r="F190">
        <v>189</v>
      </c>
    </row>
    <row r="191" spans="1:6" x14ac:dyDescent="0.25">
      <c r="A191" s="1">
        <v>45742.705555555556</v>
      </c>
      <c r="B191">
        <v>-1.4378726389875701E-2</v>
      </c>
      <c r="C191">
        <f t="shared" si="6"/>
        <v>2.0674777259490791E-4</v>
      </c>
      <c r="D191">
        <f t="shared" si="7"/>
        <v>7.0589088321394281E-233</v>
      </c>
      <c r="E191">
        <f t="shared" si="8"/>
        <v>1.4594136779953495E-236</v>
      </c>
      <c r="F191">
        <v>190</v>
      </c>
    </row>
    <row r="192" spans="1:6" x14ac:dyDescent="0.25">
      <c r="A192" s="1">
        <v>45741.705555555556</v>
      </c>
      <c r="B192">
        <v>-9.7382908566144132E-3</v>
      </c>
      <c r="C192">
        <f t="shared" si="6"/>
        <v>9.483430880801988E-5</v>
      </c>
      <c r="D192">
        <f t="shared" si="7"/>
        <v>4.235345299283662E-234</v>
      </c>
      <c r="E192">
        <f t="shared" si="8"/>
        <v>4.0165604402086216E-238</v>
      </c>
      <c r="F192">
        <v>191</v>
      </c>
    </row>
    <row r="193" spans="1:6" x14ac:dyDescent="0.25">
      <c r="A193" s="1">
        <v>45740.705555555556</v>
      </c>
      <c r="B193">
        <v>5.0147829194491067E-2</v>
      </c>
      <c r="C193">
        <f t="shared" si="6"/>
        <v>2.5148047729198508E-3</v>
      </c>
      <c r="D193">
        <f t="shared" si="7"/>
        <v>2.5412071795701981E-235</v>
      </c>
      <c r="E193">
        <f t="shared" si="8"/>
        <v>6.3906399441613263E-238</v>
      </c>
      <c r="F193">
        <v>192</v>
      </c>
    </row>
    <row r="194" spans="1:6" x14ac:dyDescent="0.25">
      <c r="A194" s="1">
        <v>45737.705555555556</v>
      </c>
      <c r="B194">
        <v>2.1600872433652544E-3</v>
      </c>
      <c r="C194">
        <f t="shared" si="6"/>
        <v>4.6659768989493034E-6</v>
      </c>
      <c r="D194">
        <f t="shared" si="7"/>
        <v>1.5247243077421203E-236</v>
      </c>
      <c r="E194">
        <f t="shared" si="8"/>
        <v>7.114328397191202E-242</v>
      </c>
      <c r="F194">
        <v>193</v>
      </c>
    </row>
    <row r="195" spans="1:6" x14ac:dyDescent="0.25">
      <c r="A195" s="1">
        <v>45736.705555555556</v>
      </c>
      <c r="B195">
        <v>-1.1585677516467113E-2</v>
      </c>
      <c r="C195">
        <f t="shared" ref="C195:C258" si="9">B195^2</f>
        <v>1.3422792351557158E-4</v>
      </c>
      <c r="D195">
        <f t="shared" ref="D195:D258" si="10">(1-$I$2)^F195</f>
        <v>9.1483458464527298E-238</v>
      </c>
      <c r="E195">
        <f t="shared" ref="E195:E258" si="11">D195*C195</f>
        <v>1.227963466571654E-241</v>
      </c>
      <c r="F195">
        <v>194</v>
      </c>
    </row>
    <row r="196" spans="1:6" x14ac:dyDescent="0.25">
      <c r="A196" s="1">
        <v>45735.705555555556</v>
      </c>
      <c r="B196">
        <v>3.4921690281755055E-2</v>
      </c>
      <c r="C196">
        <f t="shared" si="9"/>
        <v>1.2195244521348255E-3</v>
      </c>
      <c r="D196">
        <f t="shared" si="10"/>
        <v>5.4890075078716423E-239</v>
      </c>
      <c r="E196">
        <f t="shared" si="11"/>
        <v>6.6939788738011084E-242</v>
      </c>
      <c r="F196">
        <v>195</v>
      </c>
    </row>
    <row r="197" spans="1:6" x14ac:dyDescent="0.25">
      <c r="A197" s="1">
        <v>45734.705555555556</v>
      </c>
      <c r="B197">
        <v>-1.3678767262112404E-2</v>
      </c>
      <c r="C197">
        <f t="shared" si="9"/>
        <v>1.8710867381103809E-4</v>
      </c>
      <c r="D197">
        <f t="shared" si="10"/>
        <v>3.2934045047229884E-240</v>
      </c>
      <c r="E197">
        <f t="shared" si="11"/>
        <v>6.162245492020171E-244</v>
      </c>
      <c r="F197">
        <v>196</v>
      </c>
    </row>
    <row r="198" spans="1:6" x14ac:dyDescent="0.25">
      <c r="A198" s="1">
        <v>45733.705555555556</v>
      </c>
      <c r="B198">
        <v>-1.4451118538174598E-2</v>
      </c>
      <c r="C198">
        <f t="shared" si="9"/>
        <v>2.0883482700437351E-4</v>
      </c>
      <c r="D198">
        <f t="shared" si="10"/>
        <v>1.9760427028337948E-241</v>
      </c>
      <c r="E198">
        <f t="shared" si="11"/>
        <v>4.1266653599955022E-245</v>
      </c>
      <c r="F198">
        <v>197</v>
      </c>
    </row>
    <row r="199" spans="1:6" x14ac:dyDescent="0.25">
      <c r="A199" s="1">
        <v>45730.705555555556</v>
      </c>
      <c r="B199">
        <v>2.8129885800286879E-2</v>
      </c>
      <c r="C199">
        <f t="shared" si="9"/>
        <v>7.9129047513718138E-4</v>
      </c>
      <c r="D199">
        <f t="shared" si="10"/>
        <v>1.1856256217002779E-242</v>
      </c>
      <c r="E199">
        <f t="shared" si="11"/>
        <v>9.3817426153002902E-246</v>
      </c>
      <c r="F199">
        <v>198</v>
      </c>
    </row>
    <row r="200" spans="1:6" x14ac:dyDescent="0.25">
      <c r="A200" s="1">
        <v>45729.705555555556</v>
      </c>
      <c r="B200">
        <v>-1.8398325850026966E-2</v>
      </c>
      <c r="C200">
        <f t="shared" si="9"/>
        <v>3.3849839408377046E-4</v>
      </c>
      <c r="D200">
        <f t="shared" si="10"/>
        <v>7.1137537302016754E-244</v>
      </c>
      <c r="E200">
        <f t="shared" si="11"/>
        <v>2.4079942135806989E-247</v>
      </c>
      <c r="F200">
        <v>199</v>
      </c>
    </row>
    <row r="201" spans="1:6" x14ac:dyDescent="0.25">
      <c r="A201" s="1">
        <v>45728.705555555556</v>
      </c>
      <c r="B201">
        <v>-6.4982178123490133E-3</v>
      </c>
      <c r="C201">
        <f t="shared" si="9"/>
        <v>4.2226834736729999E-5</v>
      </c>
      <c r="D201">
        <f t="shared" si="10"/>
        <v>4.268252238121008E-245</v>
      </c>
      <c r="E201">
        <f t="shared" si="11"/>
        <v>1.8023478187381374E-249</v>
      </c>
      <c r="F201">
        <v>200</v>
      </c>
    </row>
    <row r="202" spans="1:6" x14ac:dyDescent="0.25">
      <c r="A202" s="1">
        <v>45727.705555555556</v>
      </c>
      <c r="B202">
        <v>3.9763021624904311E-2</v>
      </c>
      <c r="C202">
        <f t="shared" si="9"/>
        <v>1.581097888742608E-3</v>
      </c>
      <c r="D202">
        <f t="shared" si="10"/>
        <v>2.560951342872607E-246</v>
      </c>
      <c r="E202">
        <f t="shared" si="11"/>
        <v>4.0491147613884257E-249</v>
      </c>
      <c r="F202">
        <v>201</v>
      </c>
    </row>
    <row r="203" spans="1:6" x14ac:dyDescent="0.25">
      <c r="A203" s="1">
        <v>45726.705555555556</v>
      </c>
      <c r="B203">
        <v>-8.410526116841241E-2</v>
      </c>
      <c r="C203">
        <f t="shared" si="9"/>
        <v>7.0736949562068604E-3</v>
      </c>
      <c r="D203">
        <f t="shared" si="10"/>
        <v>1.5365708057235657E-247</v>
      </c>
      <c r="E203">
        <f t="shared" si="11"/>
        <v>1.0869233158301499E-249</v>
      </c>
      <c r="F203">
        <v>202</v>
      </c>
    </row>
    <row r="204" spans="1:6" x14ac:dyDescent="0.25">
      <c r="A204" s="1">
        <v>45723.705555555556</v>
      </c>
      <c r="B204">
        <v>-1.7854571076081537E-2</v>
      </c>
      <c r="C204">
        <f t="shared" si="9"/>
        <v>3.187857083108474E-4</v>
      </c>
      <c r="D204">
        <f t="shared" si="10"/>
        <v>9.2194248343414013E-249</v>
      </c>
      <c r="E204">
        <f t="shared" si="11"/>
        <v>2.9390208760341407E-252</v>
      </c>
      <c r="F204">
        <v>203</v>
      </c>
    </row>
    <row r="205" spans="1:6" x14ac:dyDescent="0.25">
      <c r="A205" s="1">
        <v>45722.705555555556</v>
      </c>
      <c r="B205">
        <v>-3.600363925177747E-3</v>
      </c>
      <c r="C205">
        <f t="shared" si="9"/>
        <v>1.2962620393721314E-5</v>
      </c>
      <c r="D205">
        <f t="shared" si="10"/>
        <v>5.531654900604845E-250</v>
      </c>
      <c r="E205">
        <f t="shared" si="11"/>
        <v>7.1704742625608807E-255</v>
      </c>
      <c r="F205">
        <v>204</v>
      </c>
    </row>
    <row r="206" spans="1:6" x14ac:dyDescent="0.25">
      <c r="A206" s="1">
        <v>45721.705555555556</v>
      </c>
      <c r="B206">
        <v>2.6285862270924845E-2</v>
      </c>
      <c r="C206">
        <f t="shared" si="9"/>
        <v>6.9094655532603029E-4</v>
      </c>
      <c r="D206">
        <f t="shared" si="10"/>
        <v>3.3189929403629103E-251</v>
      </c>
      <c r="E206">
        <f t="shared" si="11"/>
        <v>2.2932467392951655E-254</v>
      </c>
      <c r="F206">
        <v>205</v>
      </c>
    </row>
    <row r="207" spans="1:6" x14ac:dyDescent="0.25">
      <c r="A207" s="1">
        <v>45716.705555555556</v>
      </c>
      <c r="B207">
        <v>2.0501591680914505E-2</v>
      </c>
      <c r="C207">
        <f t="shared" si="9"/>
        <v>4.2031526145094281E-4</v>
      </c>
      <c r="D207">
        <f t="shared" si="10"/>
        <v>1.9913957642177481E-252</v>
      </c>
      <c r="E207">
        <f t="shared" si="11"/>
        <v>8.3701403128948284E-256</v>
      </c>
      <c r="F207">
        <v>206</v>
      </c>
    </row>
    <row r="208" spans="1:6" x14ac:dyDescent="0.25">
      <c r="A208" s="1">
        <v>45715.705555555556</v>
      </c>
      <c r="B208">
        <v>-5.3990741480773857E-3</v>
      </c>
      <c r="C208">
        <f t="shared" si="9"/>
        <v>2.9150001656437547E-5</v>
      </c>
      <c r="D208">
        <f t="shared" si="10"/>
        <v>1.19483745853065E-253</v>
      </c>
      <c r="E208">
        <f t="shared" si="11"/>
        <v>3.4829513895342078E-258</v>
      </c>
      <c r="F208">
        <v>207</v>
      </c>
    </row>
    <row r="209" spans="1:6" x14ac:dyDescent="0.25">
      <c r="A209" s="1">
        <v>45714.705555555556</v>
      </c>
      <c r="B209">
        <v>-1.8325727414405732E-2</v>
      </c>
      <c r="C209">
        <f t="shared" si="9"/>
        <v>3.3583228526710182E-4</v>
      </c>
      <c r="D209">
        <f t="shared" si="10"/>
        <v>7.1690247511839035E-255</v>
      </c>
      <c r="E209">
        <f t="shared" si="11"/>
        <v>2.4075899653265062E-258</v>
      </c>
      <c r="F209">
        <v>208</v>
      </c>
    </row>
    <row r="210" spans="1:6" x14ac:dyDescent="0.25">
      <c r="A210" s="1">
        <v>45713.705555555556</v>
      </c>
      <c r="B210">
        <v>-6.1185589940446379E-2</v>
      </c>
      <c r="C210">
        <f t="shared" si="9"/>
        <v>3.7436764163604531E-3</v>
      </c>
      <c r="D210">
        <f t="shared" si="10"/>
        <v>4.3014148507103459E-256</v>
      </c>
      <c r="E210">
        <f t="shared" si="11"/>
        <v>1.6103105333586941E-258</v>
      </c>
      <c r="F210">
        <v>209</v>
      </c>
    </row>
    <row r="211" spans="1:6" x14ac:dyDescent="0.25">
      <c r="A211" s="1">
        <v>45712.705555555556</v>
      </c>
      <c r="B211">
        <v>-1.021788938319218E-2</v>
      </c>
      <c r="C211">
        <f t="shared" si="9"/>
        <v>1.0440526344715148E-4</v>
      </c>
      <c r="D211">
        <f t="shared" si="10"/>
        <v>2.5808489104262095E-257</v>
      </c>
      <c r="E211">
        <f t="shared" si="11"/>
        <v>2.6945421041034224E-261</v>
      </c>
      <c r="F211">
        <v>210</v>
      </c>
    </row>
    <row r="212" spans="1:6" x14ac:dyDescent="0.25">
      <c r="A212" s="1">
        <v>45709.705555555556</v>
      </c>
      <c r="B212">
        <v>-2.222313678471035E-2</v>
      </c>
      <c r="C212">
        <f t="shared" si="9"/>
        <v>4.9386780855194626E-4</v>
      </c>
      <c r="D212">
        <f t="shared" si="10"/>
        <v>1.5485093462557274E-258</v>
      </c>
      <c r="E212">
        <f t="shared" si="11"/>
        <v>7.6475891735752301E-262</v>
      </c>
      <c r="F212">
        <v>211</v>
      </c>
    </row>
    <row r="213" spans="1:6" x14ac:dyDescent="0.25">
      <c r="A213" s="1">
        <v>45708.705555555556</v>
      </c>
      <c r="B213">
        <v>1.094402167931721E-2</v>
      </c>
      <c r="C213">
        <f t="shared" si="9"/>
        <v>1.1977161051736509E-4</v>
      </c>
      <c r="D213">
        <f t="shared" si="10"/>
        <v>9.2910560775343715E-260</v>
      </c>
      <c r="E213">
        <f t="shared" si="11"/>
        <v>1.1128047498134445E-263</v>
      </c>
      <c r="F213">
        <v>212</v>
      </c>
    </row>
    <row r="214" spans="1:6" x14ac:dyDescent="0.25">
      <c r="A214" s="1">
        <v>45707.705555555556</v>
      </c>
      <c r="B214">
        <v>2.5505025886124098E-2</v>
      </c>
      <c r="C214">
        <f t="shared" si="9"/>
        <v>6.5050634545186039E-4</v>
      </c>
      <c r="D214">
        <f t="shared" si="10"/>
        <v>5.574633646520627E-261</v>
      </c>
      <c r="E214">
        <f t="shared" si="11"/>
        <v>3.626334560631111E-264</v>
      </c>
      <c r="F214">
        <v>213</v>
      </c>
    </row>
    <row r="215" spans="1:6" x14ac:dyDescent="0.25">
      <c r="A215" s="1">
        <v>45706.705555555556</v>
      </c>
      <c r="B215">
        <v>-2.3492633108274659E-2</v>
      </c>
      <c r="C215">
        <f t="shared" si="9"/>
        <v>5.519038103600027E-4</v>
      </c>
      <c r="D215">
        <f t="shared" si="10"/>
        <v>3.3447801879123796E-262</v>
      </c>
      <c r="E215">
        <f t="shared" si="11"/>
        <v>1.8459969305254882E-265</v>
      </c>
      <c r="F215">
        <v>214</v>
      </c>
    </row>
    <row r="216" spans="1:6" x14ac:dyDescent="0.25">
      <c r="A216" s="1">
        <v>45705.705555555556</v>
      </c>
      <c r="B216">
        <v>-8.5511209892503645E-3</v>
      </c>
      <c r="C216">
        <f t="shared" si="9"/>
        <v>7.3121670172798136E-5</v>
      </c>
      <c r="D216">
        <f t="shared" si="10"/>
        <v>2.0068681127474294E-263</v>
      </c>
      <c r="E216">
        <f t="shared" si="11"/>
        <v>1.4674554822062339E-267</v>
      </c>
      <c r="F216">
        <v>215</v>
      </c>
    </row>
    <row r="217" spans="1:6" x14ac:dyDescent="0.25">
      <c r="A217" s="1">
        <v>45702.705555555556</v>
      </c>
      <c r="B217">
        <v>-2.1001792871210003E-3</v>
      </c>
      <c r="C217">
        <f t="shared" si="9"/>
        <v>4.4107530380520733E-6</v>
      </c>
      <c r="D217">
        <f t="shared" si="10"/>
        <v>1.2041208676484587E-264</v>
      </c>
      <c r="E217">
        <f t="shared" si="11"/>
        <v>5.3110797751623378E-270</v>
      </c>
      <c r="F217">
        <v>216</v>
      </c>
    </row>
    <row r="218" spans="1:6" x14ac:dyDescent="0.25">
      <c r="A218" s="1">
        <v>45701.705555555556</v>
      </c>
      <c r="B218">
        <v>-5.3355778616524458E-3</v>
      </c>
      <c r="C218">
        <f t="shared" si="9"/>
        <v>2.8468391117755685E-5</v>
      </c>
      <c r="D218">
        <f t="shared" si="10"/>
        <v>7.2247252058907578E-266</v>
      </c>
      <c r="E218">
        <f t="shared" si="11"/>
        <v>2.0567630287960605E-270</v>
      </c>
      <c r="F218">
        <v>217</v>
      </c>
    </row>
    <row r="219" spans="1:6" x14ac:dyDescent="0.25">
      <c r="A219" s="1">
        <v>45700.705555555556</v>
      </c>
      <c r="B219">
        <v>1.8215823496442775E-2</v>
      </c>
      <c r="C219">
        <f t="shared" si="9"/>
        <v>3.3181622565355668E-4</v>
      </c>
      <c r="D219">
        <f t="shared" si="10"/>
        <v>4.3348351235344594E-267</v>
      </c>
      <c r="E219">
        <f t="shared" si="11"/>
        <v>1.4383686295216733E-270</v>
      </c>
      <c r="F219">
        <v>218</v>
      </c>
    </row>
    <row r="220" spans="1:6" x14ac:dyDescent="0.25">
      <c r="A220" s="1">
        <v>45699.705555555556</v>
      </c>
      <c r="B220">
        <v>-1.8945940869163454E-2</v>
      </c>
      <c r="C220">
        <f t="shared" si="9"/>
        <v>3.5894867541783808E-4</v>
      </c>
      <c r="D220">
        <f t="shared" si="10"/>
        <v>2.6009010741206775E-268</v>
      </c>
      <c r="E220">
        <f t="shared" si="11"/>
        <v>9.3358999544844955E-272</v>
      </c>
      <c r="F220">
        <v>219</v>
      </c>
    </row>
    <row r="221" spans="1:6" x14ac:dyDescent="0.25">
      <c r="A221" s="1">
        <v>45698.705555555556</v>
      </c>
      <c r="B221">
        <v>1.1957348257756302E-2</v>
      </c>
      <c r="C221">
        <f t="shared" si="9"/>
        <v>1.4297817735726767E-4</v>
      </c>
      <c r="D221">
        <f t="shared" si="10"/>
        <v>1.5605406444724074E-269</v>
      </c>
      <c r="E221">
        <f t="shared" si="11"/>
        <v>2.2312325703860065E-273</v>
      </c>
      <c r="F221">
        <v>220</v>
      </c>
    </row>
    <row r="222" spans="1:6" x14ac:dyDescent="0.25">
      <c r="A222" s="1">
        <v>45695.705555555556</v>
      </c>
      <c r="B222">
        <v>-4.9471181365584923E-3</v>
      </c>
      <c r="C222">
        <f t="shared" si="9"/>
        <v>2.4473977857065968E-5</v>
      </c>
      <c r="D222">
        <f t="shared" si="10"/>
        <v>9.363243866834454E-271</v>
      </c>
      <c r="E222">
        <f t="shared" si="11"/>
        <v>2.2915582306721515E-275</v>
      </c>
      <c r="F222">
        <v>221</v>
      </c>
    </row>
    <row r="223" spans="1:6" x14ac:dyDescent="0.25">
      <c r="A223" s="1">
        <v>45694.705555555556</v>
      </c>
      <c r="B223">
        <v>-2.0473565214315585E-2</v>
      </c>
      <c r="C223">
        <f t="shared" si="9"/>
        <v>4.1916687258483317E-4</v>
      </c>
      <c r="D223">
        <f t="shared" si="10"/>
        <v>5.6179463201006793E-272</v>
      </c>
      <c r="E223">
        <f t="shared" si="11"/>
        <v>2.3548569893460739E-275</v>
      </c>
      <c r="F223">
        <v>222</v>
      </c>
    </row>
    <row r="224" spans="1:6" x14ac:dyDescent="0.25">
      <c r="A224" s="1">
        <v>45693.705555555556</v>
      </c>
      <c r="B224">
        <v>-2.5684505823826624E-3</v>
      </c>
      <c r="C224">
        <f t="shared" si="9"/>
        <v>6.5969383941418378E-6</v>
      </c>
      <c r="D224">
        <f t="shared" si="10"/>
        <v>3.3707677920604104E-273</v>
      </c>
      <c r="E224">
        <f t="shared" si="11"/>
        <v>2.2236747465180033E-278</v>
      </c>
      <c r="F224">
        <v>223</v>
      </c>
    </row>
    <row r="225" spans="1:6" x14ac:dyDescent="0.25">
      <c r="A225" s="1">
        <v>45692.705555555556</v>
      </c>
      <c r="B225">
        <v>-2.7426705208312675E-2</v>
      </c>
      <c r="C225">
        <f t="shared" si="9"/>
        <v>7.5222415858368558E-4</v>
      </c>
      <c r="D225">
        <f t="shared" si="10"/>
        <v>2.0224606752362472E-274</v>
      </c>
      <c r="E225">
        <f t="shared" si="11"/>
        <v>1.5213437796981787E-277</v>
      </c>
      <c r="F225">
        <v>224</v>
      </c>
    </row>
    <row r="226" spans="1:6" x14ac:dyDescent="0.25">
      <c r="A226" s="1">
        <v>45691.705555555556</v>
      </c>
      <c r="B226">
        <v>-3.8771375918131651E-2</v>
      </c>
      <c r="C226">
        <f t="shared" si="9"/>
        <v>1.503219590585079E-3</v>
      </c>
      <c r="D226">
        <f t="shared" si="10"/>
        <v>1.2134764051417495E-275</v>
      </c>
      <c r="E226">
        <f t="shared" si="11"/>
        <v>1.8241215049218342E-278</v>
      </c>
      <c r="F226">
        <v>225</v>
      </c>
    </row>
    <row r="227" spans="1:6" x14ac:dyDescent="0.25">
      <c r="A227" s="1">
        <v>45688.705555555556</v>
      </c>
      <c r="B227">
        <v>-2.5317807984289897E-2</v>
      </c>
      <c r="C227">
        <f t="shared" si="9"/>
        <v>6.4099140112937325E-4</v>
      </c>
      <c r="D227">
        <f t="shared" si="10"/>
        <v>7.2808584308505029E-277</v>
      </c>
      <c r="E227">
        <f t="shared" si="11"/>
        <v>4.6669676470154741E-280</v>
      </c>
      <c r="F227">
        <v>226</v>
      </c>
    </row>
    <row r="228" spans="1:6" x14ac:dyDescent="0.25">
      <c r="A228" s="1">
        <v>45687.705555555556</v>
      </c>
      <c r="B228">
        <v>1.6616696531553867E-2</v>
      </c>
      <c r="C228">
        <f t="shared" si="9"/>
        <v>2.761146036217543E-4</v>
      </c>
      <c r="D228">
        <f t="shared" si="10"/>
        <v>4.368515058510306E-278</v>
      </c>
      <c r="E228">
        <f t="shared" si="11"/>
        <v>1.2062108037962379E-281</v>
      </c>
      <c r="F228">
        <v>227</v>
      </c>
    </row>
    <row r="229" spans="1:6" x14ac:dyDescent="0.25">
      <c r="A229" s="1">
        <v>45686.705555555556</v>
      </c>
      <c r="B229">
        <v>1.496287267671232E-2</v>
      </c>
      <c r="C229">
        <f t="shared" si="9"/>
        <v>2.2388755873950411E-4</v>
      </c>
      <c r="D229">
        <f t="shared" si="10"/>
        <v>2.6211090351061853E-279</v>
      </c>
      <c r="E229">
        <f t="shared" si="11"/>
        <v>5.8683370305998095E-283</v>
      </c>
      <c r="F229">
        <v>228</v>
      </c>
    </row>
    <row r="230" spans="1:6" x14ac:dyDescent="0.25">
      <c r="A230" s="1">
        <v>45685.705555555556</v>
      </c>
      <c r="B230">
        <v>-1.1911764283816075E-2</v>
      </c>
      <c r="C230">
        <f t="shared" si="9"/>
        <v>1.4189012835319627E-4</v>
      </c>
      <c r="D230">
        <f t="shared" si="10"/>
        <v>1.5726654210637126E-280</v>
      </c>
      <c r="E230">
        <f t="shared" si="11"/>
        <v>2.2314569845136363E-284</v>
      </c>
      <c r="F230">
        <v>229</v>
      </c>
    </row>
    <row r="231" spans="1:6" x14ac:dyDescent="0.25">
      <c r="A231" s="1">
        <v>45684.705555555556</v>
      </c>
      <c r="B231">
        <v>-3.7209671973451007E-2</v>
      </c>
      <c r="C231">
        <f t="shared" si="9"/>
        <v>1.3845596883718253E-3</v>
      </c>
      <c r="D231">
        <f t="shared" si="10"/>
        <v>9.4359925263822864E-282</v>
      </c>
      <c r="E231">
        <f t="shared" si="11"/>
        <v>1.3064694871806731E-284</v>
      </c>
      <c r="F231">
        <v>230</v>
      </c>
    </row>
    <row r="232" spans="1:6" x14ac:dyDescent="0.25">
      <c r="A232" s="1">
        <v>45681.705555555556</v>
      </c>
      <c r="B232">
        <v>2.4306267137543091E-2</v>
      </c>
      <c r="C232">
        <f t="shared" si="9"/>
        <v>5.9079462216160724E-4</v>
      </c>
      <c r="D232">
        <f t="shared" si="10"/>
        <v>5.6615955158293767E-283</v>
      </c>
      <c r="E232">
        <f t="shared" si="11"/>
        <v>3.3448401836062662E-286</v>
      </c>
      <c r="F232">
        <v>231</v>
      </c>
    </row>
    <row r="233" spans="1:6" x14ac:dyDescent="0.25">
      <c r="A233" s="1">
        <v>45680.705555555556</v>
      </c>
      <c r="B233">
        <v>-1.7474630523263996E-2</v>
      </c>
      <c r="C233">
        <f t="shared" si="9"/>
        <v>3.053627119245897E-4</v>
      </c>
      <c r="D233">
        <f t="shared" si="10"/>
        <v>3.3969573094976278E-284</v>
      </c>
      <c r="E233">
        <f t="shared" si="11"/>
        <v>1.0373040963202534E-287</v>
      </c>
      <c r="F233">
        <v>232</v>
      </c>
    </row>
    <row r="234" spans="1:6" x14ac:dyDescent="0.25">
      <c r="A234" s="1">
        <v>45679.705555555556</v>
      </c>
      <c r="B234">
        <v>-2.0900935014407582E-2</v>
      </c>
      <c r="C234">
        <f t="shared" si="9"/>
        <v>4.3684908447648885E-4</v>
      </c>
      <c r="D234">
        <f t="shared" si="10"/>
        <v>2.0381743856985786E-285</v>
      </c>
      <c r="E234">
        <f t="shared" si="11"/>
        <v>8.9037461439585415E-289</v>
      </c>
      <c r="F234">
        <v>233</v>
      </c>
    </row>
    <row r="235" spans="1:6" x14ac:dyDescent="0.25">
      <c r="A235" s="1">
        <v>45678.705555555556</v>
      </c>
      <c r="B235">
        <v>2.9459922978939776E-2</v>
      </c>
      <c r="C235">
        <f t="shared" si="9"/>
        <v>8.6788706192506384E-4</v>
      </c>
      <c r="D235">
        <f t="shared" si="10"/>
        <v>1.2229046314191483E-286</v>
      </c>
      <c r="E235">
        <f t="shared" si="11"/>
        <v>1.0613431075769177E-289</v>
      </c>
      <c r="F235">
        <v>234</v>
      </c>
    </row>
    <row r="236" spans="1:6" x14ac:dyDescent="0.25">
      <c r="A236" s="1">
        <v>45677.705555555556</v>
      </c>
      <c r="B236">
        <v>-3.2539635558026206E-2</v>
      </c>
      <c r="C236">
        <f t="shared" si="9"/>
        <v>1.0588278822491635E-3</v>
      </c>
      <c r="D236">
        <f t="shared" si="10"/>
        <v>7.337427788514897E-288</v>
      </c>
      <c r="E236">
        <f t="shared" si="11"/>
        <v>7.7690731264693913E-291</v>
      </c>
      <c r="F236">
        <v>235</v>
      </c>
    </row>
    <row r="237" spans="1:6" x14ac:dyDescent="0.25">
      <c r="A237" s="1">
        <v>45674.705555555556</v>
      </c>
      <c r="B237">
        <v>4.0136389560057405E-2</v>
      </c>
      <c r="C237">
        <f t="shared" si="9"/>
        <v>1.610929766916685E-3</v>
      </c>
      <c r="D237">
        <f t="shared" si="10"/>
        <v>4.4024566731089411E-289</v>
      </c>
      <c r="E237">
        <f t="shared" si="11"/>
        <v>7.0920485022721904E-292</v>
      </c>
      <c r="F237">
        <v>236</v>
      </c>
    </row>
    <row r="238" spans="1:6" x14ac:dyDescent="0.25">
      <c r="A238" s="1">
        <v>45673.705555555556</v>
      </c>
      <c r="B238">
        <v>2.4203182390288489E-2</v>
      </c>
      <c r="C238">
        <f t="shared" si="9"/>
        <v>5.8579403781757085E-4</v>
      </c>
      <c r="D238">
        <f t="shared" si="10"/>
        <v>2.6414740038653674E-290</v>
      </c>
      <c r="E238">
        <f t="shared" si="11"/>
        <v>1.5473597225144392E-293</v>
      </c>
      <c r="F238">
        <v>237</v>
      </c>
    </row>
    <row r="239" spans="1:6" x14ac:dyDescent="0.25">
      <c r="A239" s="1">
        <v>45672.705555555556</v>
      </c>
      <c r="B239">
        <v>2.5891730164323636E-2</v>
      </c>
      <c r="C239">
        <f t="shared" si="9"/>
        <v>6.7038169090214642E-4</v>
      </c>
      <c r="D239">
        <f t="shared" si="10"/>
        <v>1.5848844023192218E-291</v>
      </c>
      <c r="E239">
        <f t="shared" si="11"/>
        <v>1.0624774855111976E-294</v>
      </c>
      <c r="F239">
        <v>238</v>
      </c>
    </row>
    <row r="240" spans="1:6" x14ac:dyDescent="0.25">
      <c r="A240" s="1">
        <v>45671.705555555556</v>
      </c>
      <c r="B240">
        <v>2.2117489022037036E-2</v>
      </c>
      <c r="C240">
        <f t="shared" si="9"/>
        <v>4.891833206399288E-4</v>
      </c>
      <c r="D240">
        <f t="shared" si="10"/>
        <v>9.5093064139153406E-293</v>
      </c>
      <c r="E240">
        <f t="shared" si="11"/>
        <v>4.6517940885416796E-296</v>
      </c>
      <c r="F240">
        <v>239</v>
      </c>
    </row>
    <row r="241" spans="1:6" x14ac:dyDescent="0.25">
      <c r="A241" s="1">
        <v>45670.705555555556</v>
      </c>
      <c r="B241">
        <v>-2.221646462463173E-2</v>
      </c>
      <c r="C241">
        <f t="shared" si="9"/>
        <v>4.9357130041751307E-4</v>
      </c>
      <c r="D241">
        <f t="shared" si="10"/>
        <v>5.7055838483492071E-294</v>
      </c>
      <c r="E241">
        <f t="shared" si="11"/>
        <v>2.8161124396708767E-297</v>
      </c>
      <c r="F241">
        <v>240</v>
      </c>
    </row>
    <row r="242" spans="1:6" x14ac:dyDescent="0.25">
      <c r="A242" s="1">
        <v>45667.705555555556</v>
      </c>
      <c r="B242">
        <v>3.2387422931024486E-2</v>
      </c>
      <c r="C242">
        <f t="shared" si="9"/>
        <v>1.0489451641130508E-3</v>
      </c>
      <c r="D242">
        <f t="shared" si="10"/>
        <v>3.4233503090095272E-295</v>
      </c>
      <c r="E242">
        <f t="shared" si="11"/>
        <v>3.5909067517004616E-298</v>
      </c>
      <c r="F242">
        <v>241</v>
      </c>
    </row>
    <row r="243" spans="1:6" x14ac:dyDescent="0.25">
      <c r="A243" s="1">
        <v>45666.705555555556</v>
      </c>
      <c r="B243">
        <v>-2.9711637181100078E-2</v>
      </c>
      <c r="C243">
        <f t="shared" si="9"/>
        <v>8.8278138398132863E-4</v>
      </c>
      <c r="D243">
        <f t="shared" si="10"/>
        <v>2.0540101854057185E-296</v>
      </c>
      <c r="E243">
        <f t="shared" si="11"/>
        <v>1.8132419541842055E-299</v>
      </c>
      <c r="F243">
        <v>242</v>
      </c>
    </row>
    <row r="244" spans="1:6" x14ac:dyDescent="0.25">
      <c r="A244" s="1">
        <v>45665.705555555556</v>
      </c>
      <c r="B244">
        <v>-1.9166147649339854E-2</v>
      </c>
      <c r="C244">
        <f t="shared" si="9"/>
        <v>3.6734121571629561E-4</v>
      </c>
      <c r="D244">
        <f t="shared" si="10"/>
        <v>1.2324061112434321E-297</v>
      </c>
      <c r="E244">
        <f t="shared" si="11"/>
        <v>4.5271355916035458E-301</v>
      </c>
      <c r="F244">
        <v>243</v>
      </c>
    </row>
    <row r="245" spans="1:6" x14ac:dyDescent="0.25">
      <c r="A245" s="1">
        <v>45664.705555555556</v>
      </c>
      <c r="B245">
        <v>-6.2912638190048234E-2</v>
      </c>
      <c r="C245">
        <f t="shared" si="9"/>
        <v>3.9580000440319158E-3</v>
      </c>
      <c r="D245">
        <f t="shared" si="10"/>
        <v>7.3944366674605981E-299</v>
      </c>
      <c r="E245">
        <f t="shared" si="11"/>
        <v>2.9267180655400261E-301</v>
      </c>
      <c r="F245">
        <v>244</v>
      </c>
    </row>
    <row r="246" spans="1:6" x14ac:dyDescent="0.25">
      <c r="A246" s="1">
        <v>45663.705555555556</v>
      </c>
      <c r="B246">
        <v>2.1997190092789335E-2</v>
      </c>
      <c r="C246">
        <f t="shared" si="9"/>
        <v>4.8387637197830927E-4</v>
      </c>
      <c r="D246">
        <f t="shared" si="10"/>
        <v>4.4366620004763626E-300</v>
      </c>
      <c r="E246">
        <f t="shared" si="11"/>
        <v>2.1467959124845301E-303</v>
      </c>
      <c r="F246">
        <v>245</v>
      </c>
    </row>
    <row r="247" spans="1:6" x14ac:dyDescent="0.25">
      <c r="A247" s="1">
        <v>45660.705555555556</v>
      </c>
      <c r="B247">
        <v>3.1998932345000751E-2</v>
      </c>
      <c r="C247">
        <f t="shared" si="9"/>
        <v>1.0239316712199352E-3</v>
      </c>
      <c r="D247">
        <f t="shared" si="10"/>
        <v>2.6619972002858205E-301</v>
      </c>
      <c r="E247">
        <f t="shared" si="11"/>
        <v>2.7257032420714485E-304</v>
      </c>
      <c r="F247">
        <v>246</v>
      </c>
    </row>
    <row r="248" spans="1:6" x14ac:dyDescent="0.25">
      <c r="A248" s="1">
        <v>45659.705555555556</v>
      </c>
      <c r="B248">
        <v>1.7422213021094556E-2</v>
      </c>
      <c r="C248">
        <f t="shared" si="9"/>
        <v>3.0353350655239669E-4</v>
      </c>
      <c r="D248">
        <f t="shared" si="10"/>
        <v>1.5971983201714936E-302</v>
      </c>
      <c r="E248">
        <f t="shared" si="11"/>
        <v>4.8480320678125102E-306</v>
      </c>
      <c r="F248">
        <v>247</v>
      </c>
    </row>
    <row r="249" spans="1:6" x14ac:dyDescent="0.25">
      <c r="A249" s="1">
        <v>45656.705555555556</v>
      </c>
      <c r="B249">
        <v>1.4738396183005232E-3</v>
      </c>
      <c r="C249">
        <f t="shared" si="9"/>
        <v>2.1722032204722318E-6</v>
      </c>
      <c r="D249">
        <f t="shared" si="10"/>
        <v>9.5831899210289692E-304</v>
      </c>
      <c r="E249">
        <f t="shared" si="11"/>
        <v>0</v>
      </c>
      <c r="F249">
        <v>248</v>
      </c>
    </row>
    <row r="250" spans="1:6" x14ac:dyDescent="0.25">
      <c r="A250" s="1">
        <v>45653.705555555556</v>
      </c>
      <c r="B250">
        <v>-6.9570610328320362E-3</v>
      </c>
      <c r="C250">
        <f t="shared" si="9"/>
        <v>4.8400698214549956E-5</v>
      </c>
      <c r="D250">
        <f t="shared" si="10"/>
        <v>5.7499139526173862E-305</v>
      </c>
      <c r="E250">
        <f t="shared" si="11"/>
        <v>0</v>
      </c>
      <c r="F250">
        <v>249</v>
      </c>
    </row>
    <row r="251" spans="1:6" x14ac:dyDescent="0.25">
      <c r="A251" s="1">
        <v>45652.705555555556</v>
      </c>
      <c r="B251">
        <v>6.5638246927272126E-3</v>
      </c>
      <c r="C251">
        <f t="shared" si="9"/>
        <v>4.3083794596855484E-5</v>
      </c>
      <c r="D251">
        <f t="shared" si="10"/>
        <v>3.4499483715704351E-306</v>
      </c>
      <c r="E251">
        <f t="shared" si="11"/>
        <v>0</v>
      </c>
      <c r="F251">
        <v>250</v>
      </c>
    </row>
    <row r="252" spans="1:6" x14ac:dyDescent="0.25">
      <c r="A252" s="1">
        <v>45649.705555555556</v>
      </c>
      <c r="B252">
        <v>-5.88006398232673E-3</v>
      </c>
      <c r="C252">
        <f t="shared" si="9"/>
        <v>3.4575152436256082E-5</v>
      </c>
      <c r="D252">
        <f t="shared" si="10"/>
        <v>2.0699690229422629E-307</v>
      </c>
      <c r="E252">
        <f t="shared" si="11"/>
        <v>0</v>
      </c>
      <c r="F252">
        <v>251</v>
      </c>
    </row>
    <row r="253" spans="1:6" x14ac:dyDescent="0.25">
      <c r="A253" s="1">
        <v>45646.705555555556</v>
      </c>
      <c r="B253">
        <v>-1.269469434680719E-3</v>
      </c>
      <c r="C253">
        <f t="shared" si="9"/>
        <v>1.6115526455885844E-6</v>
      </c>
      <c r="D253">
        <f t="shared" si="10"/>
        <v>0</v>
      </c>
      <c r="E253">
        <f t="shared" si="11"/>
        <v>0</v>
      </c>
      <c r="F253">
        <v>252</v>
      </c>
    </row>
    <row r="254" spans="1:6" x14ac:dyDescent="0.25">
      <c r="A254" s="1">
        <v>45645.705555555556</v>
      </c>
      <c r="B254">
        <v>-8.2569334173707154E-2</v>
      </c>
      <c r="C254">
        <f t="shared" si="9"/>
        <v>6.8176949458893243E-3</v>
      </c>
      <c r="D254">
        <f t="shared" si="10"/>
        <v>0</v>
      </c>
      <c r="E254">
        <f t="shared" si="11"/>
        <v>0</v>
      </c>
      <c r="F254">
        <v>253</v>
      </c>
    </row>
    <row r="255" spans="1:6" x14ac:dyDescent="0.25">
      <c r="A255" s="1">
        <v>45644.705555555556</v>
      </c>
      <c r="B255">
        <v>-2.3444817724690713E-2</v>
      </c>
      <c r="C255">
        <f t="shared" si="9"/>
        <v>5.4965947814397188E-4</v>
      </c>
      <c r="D255">
        <f t="shared" si="10"/>
        <v>0</v>
      </c>
      <c r="E255">
        <f t="shared" si="11"/>
        <v>0</v>
      </c>
      <c r="F255">
        <v>254</v>
      </c>
    </row>
    <row r="256" spans="1:6" x14ac:dyDescent="0.25">
      <c r="A256" s="1">
        <v>45643.705555555556</v>
      </c>
      <c r="B256">
        <v>7.0243220027593127E-4</v>
      </c>
      <c r="C256">
        <f t="shared" si="9"/>
        <v>4.9341099598448604E-7</v>
      </c>
      <c r="D256">
        <f t="shared" si="10"/>
        <v>0</v>
      </c>
      <c r="E256">
        <f t="shared" si="11"/>
        <v>0</v>
      </c>
      <c r="F256">
        <v>255</v>
      </c>
    </row>
    <row r="257" spans="1:6" x14ac:dyDescent="0.25">
      <c r="A257" s="1">
        <v>45642.705555555556</v>
      </c>
      <c r="B257">
        <v>4.8684767879283768E-2</v>
      </c>
      <c r="C257">
        <f t="shared" si="9"/>
        <v>2.3702066234597406E-3</v>
      </c>
      <c r="D257">
        <f t="shared" si="10"/>
        <v>0</v>
      </c>
      <c r="E257">
        <f t="shared" si="11"/>
        <v>0</v>
      </c>
      <c r="F257">
        <v>256</v>
      </c>
    </row>
    <row r="258" spans="1:6" x14ac:dyDescent="0.25">
      <c r="A258" s="1">
        <v>45639.705555555556</v>
      </c>
      <c r="B258">
        <v>2.0590469838542756E-2</v>
      </c>
      <c r="C258">
        <f t="shared" si="9"/>
        <v>4.2396744817193893E-4</v>
      </c>
      <c r="D258">
        <f t="shared" si="10"/>
        <v>0</v>
      </c>
      <c r="E258">
        <f t="shared" si="11"/>
        <v>0</v>
      </c>
      <c r="F258">
        <v>257</v>
      </c>
    </row>
    <row r="259" spans="1:6" x14ac:dyDescent="0.25">
      <c r="A259" s="1">
        <v>45638.705555555556</v>
      </c>
      <c r="B259">
        <v>1.1302629064231249E-3</v>
      </c>
      <c r="C259">
        <f t="shared" ref="C259:C322" si="12">B259^2</f>
        <v>1.2774942376360495E-6</v>
      </c>
      <c r="D259">
        <f t="shared" ref="D259:D322" si="13">(1-$I$2)^F259</f>
        <v>0</v>
      </c>
      <c r="E259">
        <f t="shared" ref="E259:E322" si="14">D259*C259</f>
        <v>0</v>
      </c>
      <c r="F259">
        <v>258</v>
      </c>
    </row>
    <row r="260" spans="1:6" x14ac:dyDescent="0.25">
      <c r="A260" s="1">
        <v>45637.705555555556</v>
      </c>
      <c r="B260">
        <v>2.0662482305203213E-2</v>
      </c>
      <c r="C260">
        <f t="shared" si="12"/>
        <v>4.269381750128359E-4</v>
      </c>
      <c r="D260">
        <f t="shared" si="13"/>
        <v>0</v>
      </c>
      <c r="E260">
        <f t="shared" si="14"/>
        <v>0</v>
      </c>
      <c r="F260">
        <v>259</v>
      </c>
    </row>
    <row r="261" spans="1:6" x14ac:dyDescent="0.25">
      <c r="A261" s="1">
        <v>45636.705555555556</v>
      </c>
      <c r="B261">
        <v>-1.4517924522028044E-2</v>
      </c>
      <c r="C261">
        <f t="shared" si="12"/>
        <v>2.1077013242730322E-4</v>
      </c>
      <c r="D261">
        <f t="shared" si="13"/>
        <v>0</v>
      </c>
      <c r="E261">
        <f t="shared" si="14"/>
        <v>0</v>
      </c>
      <c r="F261">
        <v>260</v>
      </c>
    </row>
    <row r="262" spans="1:6" x14ac:dyDescent="0.25">
      <c r="A262" s="1">
        <v>45635.705555555556</v>
      </c>
      <c r="B262">
        <v>-3.8231880314978012E-2</v>
      </c>
      <c r="C262">
        <f t="shared" si="12"/>
        <v>1.4616766724188032E-3</v>
      </c>
      <c r="D262">
        <f t="shared" si="13"/>
        <v>0</v>
      </c>
      <c r="E262">
        <f t="shared" si="14"/>
        <v>0</v>
      </c>
      <c r="F262">
        <v>261</v>
      </c>
    </row>
    <row r="263" spans="1:6" x14ac:dyDescent="0.25">
      <c r="A263" s="1">
        <v>45632.705555555556</v>
      </c>
      <c r="B263">
        <v>2.5418439505677664E-2</v>
      </c>
      <c r="C263">
        <f t="shared" si="12"/>
        <v>6.4609706690379499E-4</v>
      </c>
      <c r="D263">
        <f t="shared" si="13"/>
        <v>0</v>
      </c>
      <c r="E263">
        <f t="shared" si="14"/>
        <v>0</v>
      </c>
      <c r="F263">
        <v>262</v>
      </c>
    </row>
    <row r="264" spans="1:6" x14ac:dyDescent="0.25">
      <c r="A264" s="1">
        <v>45631.705555555556</v>
      </c>
      <c r="B264">
        <v>6.857384440443896E-3</v>
      </c>
      <c r="C264">
        <f t="shared" si="12"/>
        <v>4.7023721364042048E-5</v>
      </c>
      <c r="D264">
        <f t="shared" si="13"/>
        <v>0</v>
      </c>
      <c r="E264">
        <f t="shared" si="14"/>
        <v>0</v>
      </c>
      <c r="F264">
        <v>263</v>
      </c>
    </row>
    <row r="265" spans="1:6" x14ac:dyDescent="0.25">
      <c r="A265" s="1">
        <v>45630.705555555556</v>
      </c>
      <c r="B265">
        <v>2.1243952055007231E-2</v>
      </c>
      <c r="C265">
        <f t="shared" si="12"/>
        <v>4.5130549891544595E-4</v>
      </c>
      <c r="D265">
        <f t="shared" si="13"/>
        <v>0</v>
      </c>
      <c r="E265">
        <f t="shared" si="14"/>
        <v>0</v>
      </c>
      <c r="F265">
        <v>264</v>
      </c>
    </row>
    <row r="266" spans="1:6" x14ac:dyDescent="0.25">
      <c r="A266" s="1">
        <v>45629.705555555556</v>
      </c>
      <c r="B266">
        <v>2.2169752200468682E-3</v>
      </c>
      <c r="C266">
        <f t="shared" si="12"/>
        <v>4.9149791263018599E-6</v>
      </c>
      <c r="D266">
        <f t="shared" si="13"/>
        <v>0</v>
      </c>
      <c r="E266">
        <f t="shared" si="14"/>
        <v>0</v>
      </c>
      <c r="F266">
        <v>265</v>
      </c>
    </row>
    <row r="267" spans="1:6" x14ac:dyDescent="0.25">
      <c r="A267" s="1">
        <v>45628.705555555556</v>
      </c>
      <c r="B267">
        <v>3.3958120572453072E-2</v>
      </c>
      <c r="C267">
        <f t="shared" si="12"/>
        <v>1.1531539528132607E-3</v>
      </c>
      <c r="D267">
        <f t="shared" si="13"/>
        <v>0</v>
      </c>
      <c r="E267">
        <f t="shared" si="14"/>
        <v>0</v>
      </c>
      <c r="F267">
        <v>266</v>
      </c>
    </row>
    <row r="268" spans="1:6" x14ac:dyDescent="0.25">
      <c r="A268" s="1">
        <v>45625.705555555556</v>
      </c>
      <c r="B268">
        <v>6.2087121134675963E-3</v>
      </c>
      <c r="C268">
        <f t="shared" si="12"/>
        <v>3.8548106107919269E-5</v>
      </c>
      <c r="D268">
        <f t="shared" si="13"/>
        <v>0</v>
      </c>
      <c r="E268">
        <f t="shared" si="14"/>
        <v>0</v>
      </c>
      <c r="F268">
        <v>267</v>
      </c>
    </row>
    <row r="269" spans="1:6" x14ac:dyDescent="0.25">
      <c r="A269" s="1">
        <v>45624.705555555556</v>
      </c>
      <c r="B269">
        <v>2.6151694647025751E-3</v>
      </c>
      <c r="C269">
        <f t="shared" si="12"/>
        <v>6.839111329112753E-6</v>
      </c>
      <c r="D269">
        <f t="shared" si="13"/>
        <v>0</v>
      </c>
      <c r="E269">
        <f t="shared" si="14"/>
        <v>0</v>
      </c>
      <c r="F269">
        <v>268</v>
      </c>
    </row>
    <row r="270" spans="1:6" x14ac:dyDescent="0.25">
      <c r="A270" s="1">
        <v>45623.705555555556</v>
      </c>
      <c r="B270">
        <v>7.1593259768816406E-2</v>
      </c>
      <c r="C270">
        <f t="shared" si="12"/>
        <v>5.1255948443252259E-3</v>
      </c>
      <c r="D270">
        <f t="shared" si="13"/>
        <v>0</v>
      </c>
      <c r="E270">
        <f t="shared" si="14"/>
        <v>0</v>
      </c>
      <c r="F270">
        <v>269</v>
      </c>
    </row>
    <row r="271" spans="1:6" x14ac:dyDescent="0.25">
      <c r="A271" s="1">
        <v>45622.705555555556</v>
      </c>
      <c r="B271">
        <v>-3.549788225684191E-2</v>
      </c>
      <c r="C271">
        <f t="shared" si="12"/>
        <v>1.2600996447206117E-3</v>
      </c>
      <c r="D271">
        <f t="shared" si="13"/>
        <v>0</v>
      </c>
      <c r="E271">
        <f t="shared" si="14"/>
        <v>0</v>
      </c>
      <c r="F271">
        <v>270</v>
      </c>
    </row>
    <row r="272" spans="1:6" x14ac:dyDescent="0.25">
      <c r="A272" s="1">
        <v>45621.705555555556</v>
      </c>
      <c r="B272">
        <v>-2.3426075126383793E-2</v>
      </c>
      <c r="C272">
        <f t="shared" si="12"/>
        <v>5.4878099582697743E-4</v>
      </c>
      <c r="D272">
        <f t="shared" si="13"/>
        <v>0</v>
      </c>
      <c r="E272">
        <f t="shared" si="14"/>
        <v>0</v>
      </c>
      <c r="F272">
        <v>271</v>
      </c>
    </row>
    <row r="273" spans="1:6" x14ac:dyDescent="0.25">
      <c r="A273" s="1">
        <v>45618.705555555556</v>
      </c>
      <c r="B273">
        <v>1.0561492686719789E-2</v>
      </c>
      <c r="C273">
        <f t="shared" si="12"/>
        <v>1.1154512777163559E-4</v>
      </c>
      <c r="D273">
        <f t="shared" si="13"/>
        <v>0</v>
      </c>
      <c r="E273">
        <f t="shared" si="14"/>
        <v>0</v>
      </c>
      <c r="F273">
        <v>272</v>
      </c>
    </row>
    <row r="274" spans="1:6" x14ac:dyDescent="0.25">
      <c r="A274" s="1">
        <v>45617.705555555556</v>
      </c>
      <c r="B274">
        <v>5.7273629946074565E-2</v>
      </c>
      <c r="C274">
        <f t="shared" si="12"/>
        <v>3.2802686871998893E-3</v>
      </c>
      <c r="D274">
        <f t="shared" si="13"/>
        <v>0</v>
      </c>
      <c r="E274">
        <f t="shared" si="14"/>
        <v>0</v>
      </c>
      <c r="F274">
        <v>273</v>
      </c>
    </row>
    <row r="275" spans="1:6" x14ac:dyDescent="0.25">
      <c r="A275" s="1">
        <v>45615.705555555556</v>
      </c>
      <c r="B275">
        <v>1.7286419988585846E-2</v>
      </c>
      <c r="C275">
        <f t="shared" si="12"/>
        <v>2.9882031602178029E-4</v>
      </c>
      <c r="D275">
        <f t="shared" si="13"/>
        <v>0</v>
      </c>
      <c r="E275">
        <f t="shared" si="14"/>
        <v>0</v>
      </c>
      <c r="F275">
        <v>274</v>
      </c>
    </row>
    <row r="276" spans="1:6" x14ac:dyDescent="0.25">
      <c r="A276" s="1">
        <v>45614.705555555556</v>
      </c>
      <c r="B276">
        <v>4.2540299518315373E-2</v>
      </c>
      <c r="C276">
        <f t="shared" si="12"/>
        <v>1.8096770831079832E-3</v>
      </c>
      <c r="D276">
        <f t="shared" si="13"/>
        <v>0</v>
      </c>
      <c r="E276">
        <f t="shared" si="14"/>
        <v>0</v>
      </c>
      <c r="F276">
        <v>275</v>
      </c>
    </row>
    <row r="277" spans="1:6" x14ac:dyDescent="0.25">
      <c r="A277" s="1">
        <v>45610.705555555556</v>
      </c>
      <c r="B277">
        <v>-5.2014218870038535E-3</v>
      </c>
      <c r="C277">
        <f t="shared" si="12"/>
        <v>2.705478964660273E-5</v>
      </c>
      <c r="D277">
        <f t="shared" si="13"/>
        <v>0</v>
      </c>
      <c r="E277">
        <f t="shared" si="14"/>
        <v>0</v>
      </c>
      <c r="F277">
        <v>276</v>
      </c>
    </row>
    <row r="278" spans="1:6" x14ac:dyDescent="0.25">
      <c r="A278" s="1">
        <v>45609.705555555556</v>
      </c>
      <c r="B278">
        <v>-6.0916227679997702E-3</v>
      </c>
      <c r="C278">
        <f t="shared" si="12"/>
        <v>3.7107867947613184E-5</v>
      </c>
      <c r="D278">
        <f t="shared" si="13"/>
        <v>0</v>
      </c>
      <c r="E278">
        <f t="shared" si="14"/>
        <v>0</v>
      </c>
      <c r="F278">
        <v>277</v>
      </c>
    </row>
    <row r="279" spans="1:6" x14ac:dyDescent="0.25">
      <c r="A279" s="1">
        <v>45608.705555555556</v>
      </c>
      <c r="B279">
        <v>1.0945440225340837E-2</v>
      </c>
      <c r="C279">
        <f t="shared" si="12"/>
        <v>1.1980266172650927E-4</v>
      </c>
      <c r="D279">
        <f t="shared" si="13"/>
        <v>0</v>
      </c>
      <c r="E279">
        <f t="shared" si="14"/>
        <v>0</v>
      </c>
      <c r="F279">
        <v>278</v>
      </c>
    </row>
    <row r="280" spans="1:6" x14ac:dyDescent="0.25">
      <c r="A280" s="1">
        <v>45607.705555555556</v>
      </c>
      <c r="B280">
        <v>9.2291108795520452E-2</v>
      </c>
      <c r="C280">
        <f t="shared" si="12"/>
        <v>8.5176487627065933E-3</v>
      </c>
      <c r="D280">
        <f t="shared" si="13"/>
        <v>0</v>
      </c>
      <c r="E280">
        <f t="shared" si="14"/>
        <v>0</v>
      </c>
      <c r="F280">
        <v>279</v>
      </c>
    </row>
    <row r="281" spans="1:6" x14ac:dyDescent="0.25">
      <c r="A281" s="1">
        <v>45604.705555555556</v>
      </c>
      <c r="B281">
        <v>1.1628780970012768E-2</v>
      </c>
      <c r="C281">
        <f t="shared" si="12"/>
        <v>1.352285468485311E-4</v>
      </c>
      <c r="D281">
        <f t="shared" si="13"/>
        <v>0</v>
      </c>
      <c r="E281">
        <f t="shared" si="14"/>
        <v>0</v>
      </c>
      <c r="F281">
        <v>280</v>
      </c>
    </row>
    <row r="282" spans="1:6" x14ac:dyDescent="0.25">
      <c r="A282" s="1">
        <v>45603.705555555556</v>
      </c>
      <c r="B282">
        <v>2.4856507768524456E-2</v>
      </c>
      <c r="C282">
        <f t="shared" si="12"/>
        <v>6.1784597844671667E-4</v>
      </c>
      <c r="D282">
        <f t="shared" si="13"/>
        <v>0</v>
      </c>
      <c r="E282">
        <f t="shared" si="14"/>
        <v>0</v>
      </c>
      <c r="F282">
        <v>281</v>
      </c>
    </row>
    <row r="283" spans="1:6" x14ac:dyDescent="0.25">
      <c r="A283" s="1">
        <v>45602.705555555556</v>
      </c>
      <c r="B283">
        <v>4.1568968213181227E-2</v>
      </c>
      <c r="C283">
        <f t="shared" si="12"/>
        <v>1.7279791183084712E-3</v>
      </c>
      <c r="D283">
        <f t="shared" si="13"/>
        <v>0</v>
      </c>
      <c r="E283">
        <f t="shared" si="14"/>
        <v>0</v>
      </c>
      <c r="F283">
        <v>282</v>
      </c>
    </row>
    <row r="284" spans="1:6" x14ac:dyDescent="0.25">
      <c r="A284" s="1">
        <v>45601.705555555556</v>
      </c>
      <c r="B284">
        <v>2.1942277353008587E-2</v>
      </c>
      <c r="C284">
        <f t="shared" si="12"/>
        <v>4.8146353543635352E-4</v>
      </c>
      <c r="D284">
        <f t="shared" si="13"/>
        <v>0</v>
      </c>
      <c r="E284">
        <f t="shared" si="14"/>
        <v>0</v>
      </c>
      <c r="F284">
        <v>283</v>
      </c>
    </row>
    <row r="285" spans="1:6" x14ac:dyDescent="0.25">
      <c r="A285" s="1">
        <v>45600.705555555556</v>
      </c>
      <c r="B285">
        <v>-3.1239582497293351E-2</v>
      </c>
      <c r="C285">
        <f t="shared" si="12"/>
        <v>9.7591151460519709E-4</v>
      </c>
      <c r="D285">
        <f t="shared" si="13"/>
        <v>0</v>
      </c>
      <c r="E285">
        <f t="shared" si="14"/>
        <v>0</v>
      </c>
      <c r="F285">
        <v>284</v>
      </c>
    </row>
    <row r="286" spans="1:6" x14ac:dyDescent="0.25">
      <c r="A286" s="1">
        <v>45596.705555555556</v>
      </c>
      <c r="B286">
        <v>-1.7002163710412951E-2</v>
      </c>
      <c r="C286">
        <f t="shared" si="12"/>
        <v>2.8907357083568307E-4</v>
      </c>
      <c r="D286">
        <f t="shared" si="13"/>
        <v>0</v>
      </c>
      <c r="E286">
        <f t="shared" si="14"/>
        <v>0</v>
      </c>
      <c r="F286">
        <v>285</v>
      </c>
    </row>
    <row r="287" spans="1:6" x14ac:dyDescent="0.25">
      <c r="A287" s="1">
        <v>45595.705555555556</v>
      </c>
      <c r="B287">
        <v>6.7123355793926795E-3</v>
      </c>
      <c r="C287">
        <f t="shared" si="12"/>
        <v>4.5055448930380861E-5</v>
      </c>
      <c r="D287">
        <f t="shared" si="13"/>
        <v>0</v>
      </c>
      <c r="E287">
        <f t="shared" si="14"/>
        <v>0</v>
      </c>
      <c r="F287">
        <v>286</v>
      </c>
    </row>
    <row r="288" spans="1:6" x14ac:dyDescent="0.25">
      <c r="A288" s="1">
        <v>45594.705555555556</v>
      </c>
      <c r="B288">
        <v>3.2305026562587075E-2</v>
      </c>
      <c r="C288">
        <f t="shared" si="12"/>
        <v>1.0436147412094564E-3</v>
      </c>
      <c r="D288">
        <f t="shared" si="13"/>
        <v>0</v>
      </c>
      <c r="E288">
        <f t="shared" si="14"/>
        <v>0</v>
      </c>
      <c r="F288">
        <v>287</v>
      </c>
    </row>
    <row r="289" spans="1:6" x14ac:dyDescent="0.25">
      <c r="A289" s="1">
        <v>45593.705555555556</v>
      </c>
      <c r="B289">
        <v>2.6359972926252195E-2</v>
      </c>
      <c r="C289">
        <f t="shared" si="12"/>
        <v>6.9484817267274868E-4</v>
      </c>
      <c r="D289">
        <f t="shared" si="13"/>
        <v>0</v>
      </c>
      <c r="E289">
        <f t="shared" si="14"/>
        <v>0</v>
      </c>
      <c r="F289">
        <v>288</v>
      </c>
    </row>
    <row r="290" spans="1:6" x14ac:dyDescent="0.25">
      <c r="A290" s="1">
        <v>45590.705555555556</v>
      </c>
      <c r="B290">
        <v>-8.6753015111343378E-3</v>
      </c>
      <c r="C290">
        <f t="shared" si="12"/>
        <v>7.5260856309089725E-5</v>
      </c>
      <c r="D290">
        <f t="shared" si="13"/>
        <v>0</v>
      </c>
      <c r="E290">
        <f t="shared" si="14"/>
        <v>0</v>
      </c>
      <c r="F290">
        <v>289</v>
      </c>
    </row>
    <row r="291" spans="1:6" x14ac:dyDescent="0.25">
      <c r="A291" s="1">
        <v>45589.705555555556</v>
      </c>
      <c r="B291">
        <v>1.5986637929494049E-2</v>
      </c>
      <c r="C291">
        <f t="shared" si="12"/>
        <v>2.5557259228873777E-4</v>
      </c>
      <c r="D291">
        <f t="shared" si="13"/>
        <v>0</v>
      </c>
      <c r="E291">
        <f t="shared" si="14"/>
        <v>0</v>
      </c>
      <c r="F291">
        <v>290</v>
      </c>
    </row>
    <row r="292" spans="1:6" x14ac:dyDescent="0.25">
      <c r="A292" s="1">
        <v>45588.705555555556</v>
      </c>
      <c r="B292">
        <v>-2.261992737064537E-2</v>
      </c>
      <c r="C292">
        <f t="shared" si="12"/>
        <v>5.1166111425327162E-4</v>
      </c>
      <c r="D292">
        <f t="shared" si="13"/>
        <v>0</v>
      </c>
      <c r="E292">
        <f t="shared" si="14"/>
        <v>0</v>
      </c>
      <c r="F292">
        <v>291</v>
      </c>
    </row>
    <row r="293" spans="1:6" x14ac:dyDescent="0.25">
      <c r="A293" s="1">
        <v>45587.705555555556</v>
      </c>
      <c r="B293">
        <v>5.6282539828212677E-4</v>
      </c>
      <c r="C293">
        <f t="shared" si="12"/>
        <v>3.1677242895143464E-7</v>
      </c>
      <c r="D293">
        <f t="shared" si="13"/>
        <v>0</v>
      </c>
      <c r="E293">
        <f t="shared" si="14"/>
        <v>0</v>
      </c>
      <c r="F293">
        <v>292</v>
      </c>
    </row>
    <row r="294" spans="1:6" x14ac:dyDescent="0.25">
      <c r="A294" s="1">
        <v>45586.705555555556</v>
      </c>
      <c r="B294">
        <v>-2.9513056345804208E-3</v>
      </c>
      <c r="C294">
        <f t="shared" si="12"/>
        <v>8.7102049487061398E-6</v>
      </c>
      <c r="D294">
        <f t="shared" si="13"/>
        <v>0</v>
      </c>
      <c r="E294">
        <f t="shared" si="14"/>
        <v>0</v>
      </c>
      <c r="F294">
        <v>293</v>
      </c>
    </row>
    <row r="295" spans="1:6" x14ac:dyDescent="0.25">
      <c r="A295" s="1">
        <v>45583.705555555556</v>
      </c>
      <c r="B295">
        <v>3.0780429404065973E-2</v>
      </c>
      <c r="C295">
        <f t="shared" si="12"/>
        <v>9.474348342986892E-4</v>
      </c>
      <c r="D295">
        <f t="shared" si="13"/>
        <v>0</v>
      </c>
      <c r="E295">
        <f t="shared" si="14"/>
        <v>0</v>
      </c>
      <c r="F295">
        <v>294</v>
      </c>
    </row>
    <row r="296" spans="1:6" x14ac:dyDescent="0.25">
      <c r="A296" s="1">
        <v>45582.705555555556</v>
      </c>
      <c r="B296">
        <v>-9.3626899278509076E-3</v>
      </c>
      <c r="C296">
        <f t="shared" si="12"/>
        <v>8.7659962685080831E-5</v>
      </c>
      <c r="D296">
        <f t="shared" si="13"/>
        <v>0</v>
      </c>
      <c r="E296">
        <f t="shared" si="14"/>
        <v>0</v>
      </c>
      <c r="F296">
        <v>295</v>
      </c>
    </row>
    <row r="297" spans="1:6" x14ac:dyDescent="0.25">
      <c r="A297" s="1">
        <v>45581.705555555556</v>
      </c>
      <c r="B297">
        <v>1.1825923803914449E-2</v>
      </c>
      <c r="C297">
        <f t="shared" si="12"/>
        <v>1.3985247381599039E-4</v>
      </c>
      <c r="D297">
        <f t="shared" si="13"/>
        <v>0</v>
      </c>
      <c r="E297">
        <f t="shared" si="14"/>
        <v>0</v>
      </c>
      <c r="F297">
        <v>296</v>
      </c>
    </row>
    <row r="298" spans="1:6" x14ac:dyDescent="0.25">
      <c r="A298" s="1">
        <v>45580.705555555556</v>
      </c>
      <c r="B298">
        <v>2.0815761843781422E-2</v>
      </c>
      <c r="C298">
        <f t="shared" si="12"/>
        <v>4.3329594113702654E-4</v>
      </c>
      <c r="D298">
        <f t="shared" si="13"/>
        <v>0</v>
      </c>
      <c r="E298">
        <f t="shared" si="14"/>
        <v>0</v>
      </c>
      <c r="F298">
        <v>297</v>
      </c>
    </row>
    <row r="299" spans="1:6" x14ac:dyDescent="0.25">
      <c r="A299" s="1">
        <v>45579.705555555556</v>
      </c>
      <c r="B299">
        <v>2.8090468831888982E-2</v>
      </c>
      <c r="C299">
        <f t="shared" si="12"/>
        <v>7.8907443919532633E-4</v>
      </c>
      <c r="D299">
        <f t="shared" si="13"/>
        <v>0</v>
      </c>
      <c r="E299">
        <f t="shared" si="14"/>
        <v>0</v>
      </c>
      <c r="F299">
        <v>298</v>
      </c>
    </row>
    <row r="300" spans="1:6" x14ac:dyDescent="0.25">
      <c r="A300" s="1">
        <v>45576.705555555556</v>
      </c>
      <c r="B300">
        <v>4.041582067226638E-2</v>
      </c>
      <c r="C300">
        <f t="shared" si="12"/>
        <v>1.6334385606127943E-3</v>
      </c>
      <c r="D300">
        <f t="shared" si="13"/>
        <v>0</v>
      </c>
      <c r="E300">
        <f t="shared" si="14"/>
        <v>0</v>
      </c>
      <c r="F300">
        <v>299</v>
      </c>
    </row>
    <row r="301" spans="1:6" x14ac:dyDescent="0.25">
      <c r="A301" s="1">
        <v>45575.705555555556</v>
      </c>
      <c r="B301">
        <v>-1.5426088992093278E-2</v>
      </c>
      <c r="C301">
        <f t="shared" si="12"/>
        <v>2.379642215919814E-4</v>
      </c>
      <c r="D301">
        <f t="shared" si="13"/>
        <v>0</v>
      </c>
      <c r="E301">
        <f t="shared" si="14"/>
        <v>0</v>
      </c>
      <c r="F301">
        <v>300</v>
      </c>
    </row>
    <row r="302" spans="1:6" x14ac:dyDescent="0.25">
      <c r="A302" s="1">
        <v>45574.705555555556</v>
      </c>
      <c r="B302">
        <v>-4.5196056050548347E-3</v>
      </c>
      <c r="C302">
        <f t="shared" si="12"/>
        <v>2.0426834825243078E-5</v>
      </c>
      <c r="D302">
        <f t="shared" si="13"/>
        <v>0</v>
      </c>
      <c r="E302">
        <f t="shared" si="14"/>
        <v>0</v>
      </c>
      <c r="F302">
        <v>301</v>
      </c>
    </row>
    <row r="303" spans="1:6" x14ac:dyDescent="0.25">
      <c r="A303" s="1">
        <v>45573.705555555556</v>
      </c>
      <c r="B303">
        <v>-3.260113110236273E-3</v>
      </c>
      <c r="C303">
        <f t="shared" si="12"/>
        <v>1.0628337491534426E-5</v>
      </c>
      <c r="D303">
        <f t="shared" si="13"/>
        <v>0</v>
      </c>
      <c r="E303">
        <f t="shared" si="14"/>
        <v>0</v>
      </c>
      <c r="F303">
        <v>302</v>
      </c>
    </row>
    <row r="304" spans="1:6" x14ac:dyDescent="0.25">
      <c r="A304" s="1">
        <v>45572.705555555556</v>
      </c>
      <c r="B304">
        <v>1.3890196012307295E-2</v>
      </c>
      <c r="C304">
        <f t="shared" si="12"/>
        <v>1.9293754526031746E-4</v>
      </c>
      <c r="D304">
        <f t="shared" si="13"/>
        <v>0</v>
      </c>
      <c r="E304">
        <f t="shared" si="14"/>
        <v>0</v>
      </c>
      <c r="F304">
        <v>303</v>
      </c>
    </row>
    <row r="305" spans="1:6" x14ac:dyDescent="0.25">
      <c r="A305" s="1">
        <v>45569.705555555556</v>
      </c>
      <c r="B305">
        <v>1.5840660707379307E-2</v>
      </c>
      <c r="C305">
        <f t="shared" si="12"/>
        <v>2.5092653164631069E-4</v>
      </c>
      <c r="D305">
        <f t="shared" si="13"/>
        <v>0</v>
      </c>
      <c r="E305">
        <f t="shared" si="14"/>
        <v>0</v>
      </c>
      <c r="F305">
        <v>304</v>
      </c>
    </row>
    <row r="306" spans="1:6" x14ac:dyDescent="0.25">
      <c r="A306" s="1">
        <v>45568.705555555556</v>
      </c>
      <c r="B306">
        <v>7.0501814215234472E-3</v>
      </c>
      <c r="C306">
        <f t="shared" si="12"/>
        <v>4.9705058076394374E-5</v>
      </c>
      <c r="D306">
        <f t="shared" si="13"/>
        <v>0</v>
      </c>
      <c r="E306">
        <f t="shared" si="14"/>
        <v>0</v>
      </c>
      <c r="F306">
        <v>305</v>
      </c>
    </row>
    <row r="307" spans="1:6" x14ac:dyDescent="0.25">
      <c r="A307" s="1">
        <v>45567.705555555556</v>
      </c>
      <c r="B307">
        <v>-2.383334926747652E-2</v>
      </c>
      <c r="C307">
        <f t="shared" si="12"/>
        <v>5.6802853730552358E-4</v>
      </c>
      <c r="D307">
        <f t="shared" si="13"/>
        <v>0</v>
      </c>
      <c r="E307">
        <f t="shared" si="14"/>
        <v>0</v>
      </c>
      <c r="F307">
        <v>306</v>
      </c>
    </row>
    <row r="308" spans="1:6" x14ac:dyDescent="0.25">
      <c r="A308" s="1">
        <v>45566.705555555556</v>
      </c>
      <c r="B308">
        <v>-1.5733637123580543E-2</v>
      </c>
      <c r="C308">
        <f t="shared" si="12"/>
        <v>2.4754733713651183E-4</v>
      </c>
      <c r="D308">
        <f t="shared" si="13"/>
        <v>0</v>
      </c>
      <c r="E308">
        <f t="shared" si="14"/>
        <v>0</v>
      </c>
      <c r="F308">
        <v>307</v>
      </c>
    </row>
    <row r="309" spans="1:6" x14ac:dyDescent="0.25">
      <c r="A309" s="1">
        <v>45565.705555555556</v>
      </c>
      <c r="B309">
        <v>-2.5031832012051468E-2</v>
      </c>
      <c r="C309">
        <f t="shared" si="12"/>
        <v>6.2659261387956462E-4</v>
      </c>
      <c r="D309">
        <f t="shared" si="13"/>
        <v>0</v>
      </c>
      <c r="E309">
        <f t="shared" si="14"/>
        <v>0</v>
      </c>
      <c r="F309">
        <v>308</v>
      </c>
    </row>
    <row r="310" spans="1:6" x14ac:dyDescent="0.25">
      <c r="A310" s="1">
        <v>45562.705555555556</v>
      </c>
      <c r="B310">
        <v>1.1827279643277542E-2</v>
      </c>
      <c r="C310">
        <f t="shared" si="12"/>
        <v>1.3988454376028734E-4</v>
      </c>
      <c r="D310">
        <f t="shared" si="13"/>
        <v>0</v>
      </c>
      <c r="E310">
        <f t="shared" si="14"/>
        <v>0</v>
      </c>
      <c r="F310">
        <v>309</v>
      </c>
    </row>
    <row r="311" spans="1:6" x14ac:dyDescent="0.25">
      <c r="A311" s="1">
        <v>45561.705555555556</v>
      </c>
      <c r="B311">
        <v>1.1814483413763274E-2</v>
      </c>
      <c r="C311">
        <f t="shared" si="12"/>
        <v>1.3958201833408752E-4</v>
      </c>
      <c r="D311">
        <f t="shared" si="13"/>
        <v>0</v>
      </c>
      <c r="E311">
        <f t="shared" si="14"/>
        <v>0</v>
      </c>
      <c r="F311">
        <v>310</v>
      </c>
    </row>
    <row r="312" spans="1:6" x14ac:dyDescent="0.25">
      <c r="A312" s="1">
        <v>45560.705555555556</v>
      </c>
      <c r="B312">
        <v>-4.7732787526576599E-3</v>
      </c>
      <c r="C312">
        <f t="shared" si="12"/>
        <v>2.2784190050573065E-5</v>
      </c>
      <c r="D312">
        <f t="shared" si="13"/>
        <v>0</v>
      </c>
      <c r="E312">
        <f t="shared" si="14"/>
        <v>0</v>
      </c>
      <c r="F312">
        <v>311</v>
      </c>
    </row>
    <row r="313" spans="1:6" x14ac:dyDescent="0.25">
      <c r="A313" s="1">
        <v>45559.705555555556</v>
      </c>
      <c r="B313">
        <v>-7.6511467355197503E-3</v>
      </c>
      <c r="C313">
        <f t="shared" si="12"/>
        <v>5.8540046368454532E-5</v>
      </c>
      <c r="D313">
        <f t="shared" si="13"/>
        <v>0</v>
      </c>
      <c r="E313">
        <f t="shared" si="14"/>
        <v>0</v>
      </c>
      <c r="F313">
        <v>312</v>
      </c>
    </row>
    <row r="314" spans="1:6" x14ac:dyDescent="0.25">
      <c r="A314" s="1">
        <v>45558.705555555556</v>
      </c>
      <c r="B314">
        <v>1.4278280491541928E-2</v>
      </c>
      <c r="C314">
        <f t="shared" si="12"/>
        <v>2.0386929379514679E-4</v>
      </c>
      <c r="D314">
        <f t="shared" si="13"/>
        <v>0</v>
      </c>
      <c r="E314">
        <f t="shared" si="14"/>
        <v>0</v>
      </c>
      <c r="F314">
        <v>313</v>
      </c>
    </row>
    <row r="315" spans="1:6" x14ac:dyDescent="0.25">
      <c r="A315" s="1">
        <v>45555.705555555556</v>
      </c>
      <c r="B315">
        <v>2.0464667952331143E-2</v>
      </c>
      <c r="C315">
        <f t="shared" si="12"/>
        <v>4.1880263439916934E-4</v>
      </c>
      <c r="D315">
        <f t="shared" si="13"/>
        <v>0</v>
      </c>
      <c r="E315">
        <f t="shared" si="14"/>
        <v>0</v>
      </c>
      <c r="F315">
        <v>314</v>
      </c>
    </row>
    <row r="316" spans="1:6" x14ac:dyDescent="0.25">
      <c r="A316" s="1">
        <v>45554.705555555556</v>
      </c>
      <c r="B316">
        <v>3.6157228599346364E-2</v>
      </c>
      <c r="C316">
        <f t="shared" si="12"/>
        <v>1.3073451799853906E-3</v>
      </c>
      <c r="D316">
        <f t="shared" si="13"/>
        <v>0</v>
      </c>
      <c r="E316">
        <f t="shared" si="14"/>
        <v>0</v>
      </c>
      <c r="F316">
        <v>315</v>
      </c>
    </row>
    <row r="317" spans="1:6" x14ac:dyDescent="0.25">
      <c r="A317" s="1">
        <v>45553.705555555556</v>
      </c>
      <c r="B317">
        <v>-1.2844660783726361E-2</v>
      </c>
      <c r="C317">
        <f t="shared" si="12"/>
        <v>1.6498531064899788E-4</v>
      </c>
      <c r="D317">
        <f t="shared" si="13"/>
        <v>0</v>
      </c>
      <c r="E317">
        <f t="shared" si="14"/>
        <v>0</v>
      </c>
      <c r="F317">
        <v>316</v>
      </c>
    </row>
    <row r="318" spans="1:6" x14ac:dyDescent="0.25">
      <c r="A318" s="1">
        <v>45552.705555555556</v>
      </c>
      <c r="B318">
        <v>1.6779737184717428E-2</v>
      </c>
      <c r="C318">
        <f t="shared" si="12"/>
        <v>2.8155957998818879E-4</v>
      </c>
      <c r="D318">
        <f t="shared" si="13"/>
        <v>0</v>
      </c>
      <c r="E318">
        <f t="shared" si="14"/>
        <v>0</v>
      </c>
      <c r="F318">
        <v>317</v>
      </c>
    </row>
    <row r="319" spans="1:6" x14ac:dyDescent="0.25">
      <c r="A319" s="1">
        <v>45551.705555555556</v>
      </c>
      <c r="B319">
        <v>-3.2646726049578953E-2</v>
      </c>
      <c r="C319">
        <f t="shared" si="12"/>
        <v>1.0658087217562571E-3</v>
      </c>
      <c r="D319">
        <f t="shared" si="13"/>
        <v>0</v>
      </c>
      <c r="E319">
        <f t="shared" si="14"/>
        <v>0</v>
      </c>
      <c r="F319">
        <v>318</v>
      </c>
    </row>
    <row r="320" spans="1:6" x14ac:dyDescent="0.25">
      <c r="A320" s="1">
        <v>45548.705555555556</v>
      </c>
      <c r="B320">
        <v>1.1032168810278244E-2</v>
      </c>
      <c r="C320">
        <f t="shared" si="12"/>
        <v>1.2170874865847608E-4</v>
      </c>
      <c r="D320">
        <f t="shared" si="13"/>
        <v>0</v>
      </c>
      <c r="E320">
        <f t="shared" si="14"/>
        <v>0</v>
      </c>
      <c r="F320">
        <v>319</v>
      </c>
    </row>
    <row r="321" spans="1:6" x14ac:dyDescent="0.25">
      <c r="A321" s="1">
        <v>45547.705555555556</v>
      </c>
      <c r="B321">
        <v>7.4229806711204761E-3</v>
      </c>
      <c r="C321">
        <f t="shared" si="12"/>
        <v>5.5100642043828196E-5</v>
      </c>
      <c r="D321">
        <f t="shared" si="13"/>
        <v>0</v>
      </c>
      <c r="E321">
        <f t="shared" si="14"/>
        <v>0</v>
      </c>
      <c r="F321">
        <v>320</v>
      </c>
    </row>
    <row r="322" spans="1:6" x14ac:dyDescent="0.25">
      <c r="A322" s="1">
        <v>45546.705555555556</v>
      </c>
      <c r="B322">
        <v>-1.0152371464017962E-2</v>
      </c>
      <c r="C322">
        <f t="shared" si="12"/>
        <v>1.0307064634340621E-4</v>
      </c>
      <c r="D322">
        <f t="shared" si="13"/>
        <v>0</v>
      </c>
      <c r="E322">
        <f t="shared" si="14"/>
        <v>0</v>
      </c>
      <c r="F322">
        <v>321</v>
      </c>
    </row>
    <row r="323" spans="1:6" x14ac:dyDescent="0.25">
      <c r="A323" s="1">
        <v>45545.705555555556</v>
      </c>
      <c r="B323">
        <v>2.5659088777400012E-2</v>
      </c>
      <c r="C323">
        <f t="shared" ref="C323:C386" si="15">B323^2</f>
        <v>6.5838883688649531E-4</v>
      </c>
      <c r="D323">
        <f t="shared" ref="D323:D386" si="16">(1-$I$2)^F323</f>
        <v>0</v>
      </c>
      <c r="E323">
        <f t="shared" ref="E323:E386" si="17">D323*C323</f>
        <v>0</v>
      </c>
      <c r="F323">
        <v>322</v>
      </c>
    </row>
    <row r="324" spans="1:6" x14ac:dyDescent="0.25">
      <c r="A324" s="1">
        <v>45544.705555555556</v>
      </c>
      <c r="B324">
        <v>4.113733732105572E-2</v>
      </c>
      <c r="C324">
        <f t="shared" si="15"/>
        <v>1.6922805218663238E-3</v>
      </c>
      <c r="D324">
        <f t="shared" si="16"/>
        <v>0</v>
      </c>
      <c r="E324">
        <f t="shared" si="17"/>
        <v>0</v>
      </c>
      <c r="F324">
        <v>323</v>
      </c>
    </row>
    <row r="325" spans="1:6" x14ac:dyDescent="0.25">
      <c r="A325" s="1">
        <v>45541.705555555556</v>
      </c>
      <c r="B325">
        <v>-2.7723208881287768E-2</v>
      </c>
      <c r="C325">
        <f t="shared" si="15"/>
        <v>7.6857631067551297E-4</v>
      </c>
      <c r="D325">
        <f t="shared" si="16"/>
        <v>0</v>
      </c>
      <c r="E325">
        <f t="shared" si="17"/>
        <v>0</v>
      </c>
      <c r="F325">
        <v>324</v>
      </c>
    </row>
    <row r="326" spans="1:6" x14ac:dyDescent="0.25">
      <c r="A326" s="1">
        <v>45540.705555555556</v>
      </c>
      <c r="B326">
        <v>-3.0862593936060483E-2</v>
      </c>
      <c r="C326">
        <f t="shared" si="15"/>
        <v>9.5249970446215733E-4</v>
      </c>
      <c r="D326">
        <f t="shared" si="16"/>
        <v>0</v>
      </c>
      <c r="E326">
        <f t="shared" si="17"/>
        <v>0</v>
      </c>
      <c r="F326">
        <v>325</v>
      </c>
    </row>
    <row r="327" spans="1:6" x14ac:dyDescent="0.25">
      <c r="A327" s="1">
        <v>45539.705555555556</v>
      </c>
      <c r="B327">
        <v>-7.7295070822675513E-3</v>
      </c>
      <c r="C327">
        <f t="shared" si="15"/>
        <v>5.9745279734824238E-5</v>
      </c>
      <c r="D327">
        <f t="shared" si="16"/>
        <v>0</v>
      </c>
      <c r="E327">
        <f t="shared" si="17"/>
        <v>0</v>
      </c>
      <c r="F327">
        <v>326</v>
      </c>
    </row>
    <row r="328" spans="1:6" x14ac:dyDescent="0.25">
      <c r="A328" s="1">
        <v>45538.705555555556</v>
      </c>
      <c r="B328">
        <v>-8.942889367203789E-3</v>
      </c>
      <c r="C328">
        <f t="shared" si="15"/>
        <v>7.9975270234046585E-5</v>
      </c>
      <c r="D328">
        <f t="shared" si="16"/>
        <v>0</v>
      </c>
      <c r="E328">
        <f t="shared" si="17"/>
        <v>0</v>
      </c>
      <c r="F328">
        <v>327</v>
      </c>
    </row>
    <row r="329" spans="1:6" x14ac:dyDescent="0.25">
      <c r="A329" s="1">
        <v>45537.705555555556</v>
      </c>
      <c r="B329">
        <v>-4.2833412042142015E-3</v>
      </c>
      <c r="C329">
        <f t="shared" si="15"/>
        <v>1.8347011871719166E-5</v>
      </c>
      <c r="D329">
        <f t="shared" si="16"/>
        <v>0</v>
      </c>
      <c r="E329">
        <f t="shared" si="17"/>
        <v>0</v>
      </c>
      <c r="F329">
        <v>328</v>
      </c>
    </row>
    <row r="330" spans="1:6" x14ac:dyDescent="0.25">
      <c r="A330" s="1">
        <v>45534.705555555556</v>
      </c>
      <c r="B330">
        <v>-4.2650724159835045E-3</v>
      </c>
      <c r="C330">
        <f t="shared" si="15"/>
        <v>1.8190842713583367E-5</v>
      </c>
      <c r="D330">
        <f t="shared" si="16"/>
        <v>0</v>
      </c>
      <c r="E330">
        <f t="shared" si="17"/>
        <v>0</v>
      </c>
      <c r="F330">
        <v>329</v>
      </c>
    </row>
    <row r="331" spans="1:6" x14ac:dyDescent="0.25">
      <c r="A331" s="1">
        <v>45533.705555555556</v>
      </c>
      <c r="B331">
        <v>1.5248071795162138E-2</v>
      </c>
      <c r="C331">
        <f t="shared" si="15"/>
        <v>2.3250369347041909E-4</v>
      </c>
      <c r="D331">
        <f t="shared" si="16"/>
        <v>0</v>
      </c>
      <c r="E331">
        <f t="shared" si="17"/>
        <v>0</v>
      </c>
      <c r="F331">
        <v>330</v>
      </c>
    </row>
    <row r="332" spans="1:6" x14ac:dyDescent="0.25">
      <c r="A332" s="1">
        <v>45532.705555555556</v>
      </c>
      <c r="B332">
        <v>-2.4973638649581669E-2</v>
      </c>
      <c r="C332">
        <f t="shared" si="15"/>
        <v>6.2368262739987931E-4</v>
      </c>
      <c r="D332">
        <f t="shared" si="16"/>
        <v>0</v>
      </c>
      <c r="E332">
        <f t="shared" si="17"/>
        <v>0</v>
      </c>
      <c r="F332">
        <v>331</v>
      </c>
    </row>
    <row r="333" spans="1:6" x14ac:dyDescent="0.25">
      <c r="A333" s="1">
        <v>45531.705555555556</v>
      </c>
      <c r="B333">
        <v>-1.5489776864193283E-2</v>
      </c>
      <c r="C333">
        <f t="shared" si="15"/>
        <v>2.3993318730249749E-4</v>
      </c>
      <c r="D333">
        <f t="shared" si="16"/>
        <v>0</v>
      </c>
      <c r="E333">
        <f t="shared" si="17"/>
        <v>0</v>
      </c>
      <c r="F333">
        <v>332</v>
      </c>
    </row>
    <row r="334" spans="1:6" x14ac:dyDescent="0.25">
      <c r="A334" s="1">
        <v>45530.705555555556</v>
      </c>
      <c r="B334">
        <v>-4.6005295065419966E-3</v>
      </c>
      <c r="C334">
        <f t="shared" si="15"/>
        <v>2.1164871740563547E-5</v>
      </c>
      <c r="D334">
        <f t="shared" si="16"/>
        <v>0</v>
      </c>
      <c r="E334">
        <f t="shared" si="17"/>
        <v>0</v>
      </c>
      <c r="F334">
        <v>333</v>
      </c>
    </row>
    <row r="335" spans="1:6" x14ac:dyDescent="0.25">
      <c r="A335" s="1">
        <v>45527.705555555556</v>
      </c>
      <c r="B335">
        <v>2.808345291628446E-2</v>
      </c>
      <c r="C335">
        <f t="shared" si="15"/>
        <v>7.8868032770116616E-4</v>
      </c>
      <c r="D335">
        <f t="shared" si="16"/>
        <v>0</v>
      </c>
      <c r="E335">
        <f t="shared" si="17"/>
        <v>0</v>
      </c>
      <c r="F335">
        <v>334</v>
      </c>
    </row>
    <row r="336" spans="1:6" x14ac:dyDescent="0.25">
      <c r="A336" s="1">
        <v>45526.705555555556</v>
      </c>
      <c r="B336">
        <v>-6.7435368859089786E-3</v>
      </c>
      <c r="C336">
        <f t="shared" si="15"/>
        <v>4.5475289731614962E-5</v>
      </c>
      <c r="D336">
        <f t="shared" si="16"/>
        <v>0</v>
      </c>
      <c r="E336">
        <f t="shared" si="17"/>
        <v>0</v>
      </c>
      <c r="F336">
        <v>335</v>
      </c>
    </row>
    <row r="337" spans="1:6" x14ac:dyDescent="0.25">
      <c r="A337" s="1">
        <v>45525.705555555556</v>
      </c>
      <c r="B337">
        <v>2.2284604511099867E-2</v>
      </c>
      <c r="C337">
        <f t="shared" si="15"/>
        <v>4.9660359821613253E-4</v>
      </c>
      <c r="D337">
        <f t="shared" si="16"/>
        <v>0</v>
      </c>
      <c r="E337">
        <f t="shared" si="17"/>
        <v>0</v>
      </c>
      <c r="F337">
        <v>336</v>
      </c>
    </row>
    <row r="338" spans="1:6" x14ac:dyDescent="0.25">
      <c r="A338" s="1">
        <v>45524.705555555556</v>
      </c>
      <c r="B338">
        <v>1.7899373307933605E-2</v>
      </c>
      <c r="C338">
        <f t="shared" si="15"/>
        <v>3.20387564816766E-4</v>
      </c>
      <c r="D338">
        <f t="shared" si="16"/>
        <v>0</v>
      </c>
      <c r="E338">
        <f t="shared" si="17"/>
        <v>0</v>
      </c>
      <c r="F338">
        <v>337</v>
      </c>
    </row>
    <row r="339" spans="1:6" x14ac:dyDescent="0.25">
      <c r="A339" s="1">
        <v>45523.705555555556</v>
      </c>
      <c r="B339">
        <v>-1.5979679869248069E-2</v>
      </c>
      <c r="C339">
        <f t="shared" si="15"/>
        <v>2.5535016872365202E-4</v>
      </c>
      <c r="D339">
        <f t="shared" si="16"/>
        <v>0</v>
      </c>
      <c r="E339">
        <f t="shared" si="17"/>
        <v>0</v>
      </c>
      <c r="F339">
        <v>338</v>
      </c>
    </row>
    <row r="340" spans="1:6" x14ac:dyDescent="0.25">
      <c r="A340" s="1">
        <v>45520.705555555556</v>
      </c>
      <c r="B340">
        <v>2.628314823897281E-2</v>
      </c>
      <c r="C340">
        <f t="shared" si="15"/>
        <v>6.9080388135181947E-4</v>
      </c>
      <c r="D340">
        <f t="shared" si="16"/>
        <v>0</v>
      </c>
      <c r="E340">
        <f t="shared" si="17"/>
        <v>0</v>
      </c>
      <c r="F340">
        <v>339</v>
      </c>
    </row>
    <row r="341" spans="1:6" x14ac:dyDescent="0.25">
      <c r="A341" s="1">
        <v>45519.705555555556</v>
      </c>
      <c r="B341">
        <v>-1.7437091357936529E-2</v>
      </c>
      <c r="C341">
        <f t="shared" si="15"/>
        <v>3.0405215502502479E-4</v>
      </c>
      <c r="D341">
        <f t="shared" si="16"/>
        <v>0</v>
      </c>
      <c r="E341">
        <f t="shared" si="17"/>
        <v>0</v>
      </c>
      <c r="F341">
        <v>340</v>
      </c>
    </row>
    <row r="342" spans="1:6" x14ac:dyDescent="0.25">
      <c r="A342" s="1">
        <v>45518.705555555556</v>
      </c>
      <c r="B342">
        <v>-1.9675912688983738E-2</v>
      </c>
      <c r="C342">
        <f t="shared" si="15"/>
        <v>3.8714154014451128E-4</v>
      </c>
      <c r="D342">
        <f t="shared" si="16"/>
        <v>0</v>
      </c>
      <c r="E342">
        <f t="shared" si="17"/>
        <v>0</v>
      </c>
      <c r="F342">
        <v>341</v>
      </c>
    </row>
    <row r="343" spans="1:6" x14ac:dyDescent="0.25">
      <c r="A343" s="1">
        <v>45517.705555555556</v>
      </c>
      <c r="B343">
        <v>9.2298554666140221E-3</v>
      </c>
      <c r="C343">
        <f t="shared" si="15"/>
        <v>8.5190231934584754E-5</v>
      </c>
      <c r="D343">
        <f t="shared" si="16"/>
        <v>0</v>
      </c>
      <c r="E343">
        <f t="shared" si="17"/>
        <v>0</v>
      </c>
      <c r="F343">
        <v>342</v>
      </c>
    </row>
    <row r="344" spans="1:6" x14ac:dyDescent="0.25">
      <c r="A344" s="1">
        <v>45516.705555555556</v>
      </c>
      <c r="B344">
        <v>-1.3813032197281062E-2</v>
      </c>
      <c r="C344">
        <f t="shared" si="15"/>
        <v>1.9079985848312331E-4</v>
      </c>
      <c r="D344">
        <f t="shared" si="16"/>
        <v>0</v>
      </c>
      <c r="E344">
        <f t="shared" si="17"/>
        <v>0</v>
      </c>
      <c r="F344">
        <v>343</v>
      </c>
    </row>
    <row r="345" spans="1:6" x14ac:dyDescent="0.25">
      <c r="A345" s="1">
        <v>45513.705555555556</v>
      </c>
      <c r="B345">
        <v>-1.57666535604412E-4</v>
      </c>
      <c r="C345">
        <f t="shared" si="15"/>
        <v>2.4858736449497316E-8</v>
      </c>
      <c r="D345">
        <f t="shared" si="16"/>
        <v>0</v>
      </c>
      <c r="E345">
        <f t="shared" si="17"/>
        <v>0</v>
      </c>
      <c r="F345">
        <v>344</v>
      </c>
    </row>
    <row r="346" spans="1:6" x14ac:dyDescent="0.25">
      <c r="A346" s="1">
        <v>45512.705555555556</v>
      </c>
      <c r="B346">
        <v>6.4128704445991308E-2</v>
      </c>
      <c r="C346">
        <f t="shared" si="15"/>
        <v>4.1124907339213056E-3</v>
      </c>
      <c r="D346">
        <f t="shared" si="16"/>
        <v>0</v>
      </c>
      <c r="E346">
        <f t="shared" si="17"/>
        <v>0</v>
      </c>
      <c r="F346">
        <v>345</v>
      </c>
    </row>
    <row r="347" spans="1:6" x14ac:dyDescent="0.25">
      <c r="A347" s="1">
        <v>45511.705555555556</v>
      </c>
      <c r="B347">
        <v>-3.663776113316114E-2</v>
      </c>
      <c r="C347">
        <f t="shared" si="15"/>
        <v>1.342325540850573E-3</v>
      </c>
      <c r="D347">
        <f t="shared" si="16"/>
        <v>0</v>
      </c>
      <c r="E347">
        <f t="shared" si="17"/>
        <v>0</v>
      </c>
      <c r="F347">
        <v>346</v>
      </c>
    </row>
    <row r="348" spans="1:6" x14ac:dyDescent="0.25">
      <c r="A348" s="1">
        <v>45510.705555555556</v>
      </c>
      <c r="B348">
        <v>2.527210310071511E-2</v>
      </c>
      <c r="C348">
        <f t="shared" si="15"/>
        <v>6.3867919513317434E-4</v>
      </c>
      <c r="D348">
        <f t="shared" si="16"/>
        <v>0</v>
      </c>
      <c r="E348">
        <f t="shared" si="17"/>
        <v>0</v>
      </c>
      <c r="F348">
        <v>347</v>
      </c>
    </row>
    <row r="349" spans="1:6" x14ac:dyDescent="0.25">
      <c r="A349" s="1">
        <v>45509.705555555556</v>
      </c>
      <c r="B349">
        <v>-0.13591760766529992</v>
      </c>
      <c r="C349">
        <f t="shared" si="15"/>
        <v>1.8473596073458397E-2</v>
      </c>
      <c r="D349">
        <f t="shared" si="16"/>
        <v>0</v>
      </c>
      <c r="E349">
        <f t="shared" si="17"/>
        <v>0</v>
      </c>
      <c r="F349">
        <v>348</v>
      </c>
    </row>
    <row r="350" spans="1:6" x14ac:dyDescent="0.25">
      <c r="A350" s="1">
        <v>45506.705555555556</v>
      </c>
      <c r="B350">
        <v>-1.683129714298395E-2</v>
      </c>
      <c r="C350">
        <f t="shared" si="15"/>
        <v>2.8329256351541964E-4</v>
      </c>
      <c r="D350">
        <f t="shared" si="16"/>
        <v>0</v>
      </c>
      <c r="E350">
        <f t="shared" si="17"/>
        <v>0</v>
      </c>
      <c r="F350">
        <v>349</v>
      </c>
    </row>
    <row r="351" spans="1:6" x14ac:dyDescent="0.25">
      <c r="A351" s="1">
        <v>45505.705555555556</v>
      </c>
      <c r="B351">
        <v>-6.6823309721944823E-3</v>
      </c>
      <c r="C351">
        <f t="shared" si="15"/>
        <v>4.4653547221949653E-5</v>
      </c>
      <c r="D351">
        <f t="shared" si="16"/>
        <v>0</v>
      </c>
      <c r="E351">
        <f t="shared" si="17"/>
        <v>0</v>
      </c>
      <c r="F351">
        <v>350</v>
      </c>
    </row>
    <row r="352" spans="1:6" x14ac:dyDescent="0.25">
      <c r="A352" s="1">
        <v>45504.705555555556</v>
      </c>
      <c r="B352">
        <v>6.5396877938623992E-3</v>
      </c>
      <c r="C352">
        <f t="shared" si="15"/>
        <v>4.2767516441192856E-5</v>
      </c>
      <c r="D352">
        <f t="shared" si="16"/>
        <v>0</v>
      </c>
      <c r="E352">
        <f t="shared" si="17"/>
        <v>0</v>
      </c>
      <c r="F352">
        <v>351</v>
      </c>
    </row>
    <row r="353" spans="1:6" x14ac:dyDescent="0.25">
      <c r="A353" s="1">
        <v>45503.705555555556</v>
      </c>
      <c r="B353">
        <v>-1.9492142559884112E-2</v>
      </c>
      <c r="C353">
        <f t="shared" si="15"/>
        <v>3.7994362157484551E-4</v>
      </c>
      <c r="D353">
        <f t="shared" si="16"/>
        <v>0</v>
      </c>
      <c r="E353">
        <f t="shared" si="17"/>
        <v>0</v>
      </c>
      <c r="F353">
        <v>352</v>
      </c>
    </row>
    <row r="354" spans="1:6" x14ac:dyDescent="0.25">
      <c r="A354" s="1">
        <v>45502.705555555556</v>
      </c>
      <c r="B354">
        <v>-2.65418888791476E-3</v>
      </c>
      <c r="C354">
        <f t="shared" si="15"/>
        <v>7.0447186527301907E-6</v>
      </c>
      <c r="D354">
        <f t="shared" si="16"/>
        <v>0</v>
      </c>
      <c r="E354">
        <f t="shared" si="17"/>
        <v>0</v>
      </c>
      <c r="F354">
        <v>353</v>
      </c>
    </row>
    <row r="355" spans="1:6" x14ac:dyDescent="0.25">
      <c r="A355" s="1">
        <v>45499.705555555556</v>
      </c>
      <c r="B355">
        <v>3.8105264069415702E-2</v>
      </c>
      <c r="C355">
        <f t="shared" si="15"/>
        <v>1.4520111497999034E-3</v>
      </c>
      <c r="D355">
        <f t="shared" si="16"/>
        <v>0</v>
      </c>
      <c r="E355">
        <f t="shared" si="17"/>
        <v>0</v>
      </c>
      <c r="F355">
        <v>354</v>
      </c>
    </row>
    <row r="356" spans="1:6" x14ac:dyDescent="0.25">
      <c r="A356" s="1">
        <v>45498.705555555556</v>
      </c>
      <c r="B356">
        <v>-2.8009833404064745E-2</v>
      </c>
      <c r="C356">
        <f t="shared" si="15"/>
        <v>7.8455076732346124E-4</v>
      </c>
      <c r="D356">
        <f t="shared" si="16"/>
        <v>0</v>
      </c>
      <c r="E356">
        <f t="shared" si="17"/>
        <v>0</v>
      </c>
      <c r="F356">
        <v>355</v>
      </c>
    </row>
    <row r="357" spans="1:6" x14ac:dyDescent="0.25">
      <c r="A357" s="1">
        <v>45497.705555555556</v>
      </c>
      <c r="B357">
        <v>7.6390242744175845E-3</v>
      </c>
      <c r="C357">
        <f t="shared" si="15"/>
        <v>5.8354691865141103E-5</v>
      </c>
      <c r="D357">
        <f t="shared" si="16"/>
        <v>0</v>
      </c>
      <c r="E357">
        <f t="shared" si="17"/>
        <v>0</v>
      </c>
      <c r="F357">
        <v>356</v>
      </c>
    </row>
    <row r="358" spans="1:6" x14ac:dyDescent="0.25">
      <c r="A358" s="1">
        <v>45496.705555555556</v>
      </c>
      <c r="B358">
        <v>-1.1015504691023673E-2</v>
      </c>
      <c r="C358">
        <f t="shared" si="15"/>
        <v>1.2134134359796455E-4</v>
      </c>
      <c r="D358">
        <f t="shared" si="16"/>
        <v>0</v>
      </c>
      <c r="E358">
        <f t="shared" si="17"/>
        <v>0</v>
      </c>
      <c r="F358">
        <v>357</v>
      </c>
    </row>
    <row r="359" spans="1:6" x14ac:dyDescent="0.25">
      <c r="A359" s="1">
        <v>45495.705555555556</v>
      </c>
      <c r="B359">
        <v>-3.6450341773334844E-3</v>
      </c>
      <c r="C359">
        <f t="shared" si="15"/>
        <v>1.3286274153929191E-5</v>
      </c>
      <c r="D359">
        <f t="shared" si="16"/>
        <v>0</v>
      </c>
      <c r="E359">
        <f t="shared" si="17"/>
        <v>0</v>
      </c>
      <c r="F359">
        <v>358</v>
      </c>
    </row>
    <row r="360" spans="1:6" x14ac:dyDescent="0.25">
      <c r="A360" s="1">
        <v>45492.705555555556</v>
      </c>
      <c r="B360">
        <v>3.9097574919263668E-2</v>
      </c>
      <c r="C360">
        <f t="shared" si="15"/>
        <v>1.5286203645674353E-3</v>
      </c>
      <c r="D360">
        <f t="shared" si="16"/>
        <v>0</v>
      </c>
      <c r="E360">
        <f t="shared" si="17"/>
        <v>0</v>
      </c>
      <c r="F360">
        <v>359</v>
      </c>
    </row>
    <row r="361" spans="1:6" x14ac:dyDescent="0.25">
      <c r="A361" s="1">
        <v>45491.705555555556</v>
      </c>
      <c r="B361">
        <v>2.7686720782676218E-3</v>
      </c>
      <c r="C361">
        <f t="shared" si="15"/>
        <v>7.6655450769787518E-6</v>
      </c>
      <c r="D361">
        <f t="shared" si="16"/>
        <v>0</v>
      </c>
      <c r="E361">
        <f t="shared" si="17"/>
        <v>0</v>
      </c>
      <c r="F361">
        <v>360</v>
      </c>
    </row>
    <row r="362" spans="1:6" x14ac:dyDescent="0.25">
      <c r="A362" s="1">
        <v>45490.705555555556</v>
      </c>
      <c r="B362">
        <v>4.3786032955262644E-4</v>
      </c>
      <c r="C362">
        <f t="shared" si="15"/>
        <v>1.9172166819593462E-7</v>
      </c>
      <c r="D362">
        <f t="shared" si="16"/>
        <v>0</v>
      </c>
      <c r="E362">
        <f t="shared" si="17"/>
        <v>0</v>
      </c>
      <c r="F362">
        <v>361</v>
      </c>
    </row>
    <row r="363" spans="1:6" x14ac:dyDescent="0.25">
      <c r="A363" s="1">
        <v>45489.705555555556</v>
      </c>
      <c r="B363">
        <v>1.7524931245557925E-2</v>
      </c>
      <c r="C363">
        <f t="shared" si="15"/>
        <v>3.0712321516153244E-4</v>
      </c>
      <c r="D363">
        <f t="shared" si="16"/>
        <v>0</v>
      </c>
      <c r="E363">
        <f t="shared" si="17"/>
        <v>0</v>
      </c>
      <c r="F363">
        <v>362</v>
      </c>
    </row>
    <row r="364" spans="1:6" x14ac:dyDescent="0.25">
      <c r="A364" s="1">
        <v>45488.705555555556</v>
      </c>
      <c r="B364">
        <v>7.3182717785566079E-2</v>
      </c>
      <c r="C364">
        <f t="shared" si="15"/>
        <v>5.3557101824818097E-3</v>
      </c>
      <c r="D364">
        <f t="shared" si="16"/>
        <v>0</v>
      </c>
      <c r="E364">
        <f t="shared" si="17"/>
        <v>0</v>
      </c>
      <c r="F364">
        <v>363</v>
      </c>
    </row>
    <row r="365" spans="1:6" x14ac:dyDescent="0.25">
      <c r="A365" s="1">
        <v>45485.705555555556</v>
      </c>
      <c r="B365">
        <v>4.8069312235934237E-3</v>
      </c>
      <c r="C365">
        <f t="shared" si="15"/>
        <v>2.310658778835737E-5</v>
      </c>
      <c r="D365">
        <f t="shared" si="16"/>
        <v>0</v>
      </c>
      <c r="E365">
        <f t="shared" si="17"/>
        <v>0</v>
      </c>
      <c r="F365">
        <v>364</v>
      </c>
    </row>
    <row r="366" spans="1:6" x14ac:dyDescent="0.25">
      <c r="A366" s="1">
        <v>45484.705555555556</v>
      </c>
      <c r="B366">
        <v>7.5776259405740841E-3</v>
      </c>
      <c r="C366">
        <f t="shared" si="15"/>
        <v>5.742041489526127E-5</v>
      </c>
      <c r="D366">
        <f t="shared" si="16"/>
        <v>0</v>
      </c>
      <c r="E366">
        <f t="shared" si="17"/>
        <v>0</v>
      </c>
      <c r="F366">
        <v>365</v>
      </c>
    </row>
    <row r="367" spans="1:6" x14ac:dyDescent="0.25">
      <c r="A367" s="1">
        <v>45483.705555555556</v>
      </c>
      <c r="B367">
        <v>-1.4554866319772947E-3</v>
      </c>
      <c r="C367">
        <f t="shared" si="15"/>
        <v>2.1184413358646089E-6</v>
      </c>
      <c r="D367">
        <f t="shared" si="16"/>
        <v>0</v>
      </c>
      <c r="E367">
        <f t="shared" si="17"/>
        <v>0</v>
      </c>
      <c r="F367">
        <v>366</v>
      </c>
    </row>
    <row r="368" spans="1:6" x14ac:dyDescent="0.25">
      <c r="A368" s="1">
        <v>45482.705555555556</v>
      </c>
      <c r="B368">
        <v>9.7435002725296434E-3</v>
      </c>
      <c r="C368">
        <f t="shared" si="15"/>
        <v>9.4935797560785236E-5</v>
      </c>
      <c r="D368">
        <f t="shared" si="16"/>
        <v>0</v>
      </c>
      <c r="E368">
        <f t="shared" si="17"/>
        <v>0</v>
      </c>
      <c r="F368">
        <v>367</v>
      </c>
    </row>
    <row r="369" spans="1:6" x14ac:dyDescent="0.25">
      <c r="A369" s="1">
        <v>45481.705555555556</v>
      </c>
      <c r="B369">
        <v>-1.3046316266648581E-3</v>
      </c>
      <c r="C369">
        <f t="shared" si="15"/>
        <v>1.7020636812941939E-6</v>
      </c>
      <c r="D369">
        <f t="shared" si="16"/>
        <v>0</v>
      </c>
      <c r="E369">
        <f t="shared" si="17"/>
        <v>0</v>
      </c>
      <c r="F369">
        <v>368</v>
      </c>
    </row>
    <row r="370" spans="1:6" x14ac:dyDescent="0.25">
      <c r="A370" s="1">
        <v>45478.705555555556</v>
      </c>
      <c r="B370">
        <v>-2.3356139407288708E-2</v>
      </c>
      <c r="C370">
        <f t="shared" si="15"/>
        <v>5.4550924801270446E-4</v>
      </c>
      <c r="D370">
        <f t="shared" si="16"/>
        <v>0</v>
      </c>
      <c r="E370">
        <f t="shared" si="17"/>
        <v>0</v>
      </c>
      <c r="F370">
        <v>369</v>
      </c>
    </row>
    <row r="371" spans="1:6" x14ac:dyDescent="0.25">
      <c r="A371" s="1">
        <v>45477.705555555556</v>
      </c>
      <c r="B371">
        <v>-4.7872388459439051E-2</v>
      </c>
      <c r="C371">
        <f t="shared" si="15"/>
        <v>2.2917655768114331E-3</v>
      </c>
      <c r="D371">
        <f t="shared" si="16"/>
        <v>0</v>
      </c>
      <c r="E371">
        <f t="shared" si="17"/>
        <v>0</v>
      </c>
      <c r="F371">
        <v>370</v>
      </c>
    </row>
    <row r="372" spans="1:6" x14ac:dyDescent="0.25">
      <c r="A372" s="1">
        <v>45476.705555555556</v>
      </c>
      <c r="B372">
        <v>-3.7970764098264199E-2</v>
      </c>
      <c r="C372">
        <f t="shared" si="15"/>
        <v>1.4417789262060295E-3</v>
      </c>
      <c r="D372">
        <f t="shared" si="16"/>
        <v>0</v>
      </c>
      <c r="E372">
        <f t="shared" si="17"/>
        <v>0</v>
      </c>
      <c r="F372">
        <v>371</v>
      </c>
    </row>
    <row r="373" spans="1:6" x14ac:dyDescent="0.25">
      <c r="A373" s="1">
        <v>45475.705555555556</v>
      </c>
      <c r="B373">
        <v>-5.827522319345994E-3</v>
      </c>
      <c r="C373">
        <f t="shared" si="15"/>
        <v>3.3960016382475712E-5</v>
      </c>
      <c r="D373">
        <f t="shared" si="16"/>
        <v>0</v>
      </c>
      <c r="E373">
        <f t="shared" si="17"/>
        <v>0</v>
      </c>
      <c r="F373">
        <v>372</v>
      </c>
    </row>
    <row r="374" spans="1:6" x14ac:dyDescent="0.25">
      <c r="A374" s="1">
        <v>45474.705555555556</v>
      </c>
      <c r="B374">
        <v>3.7142687805874208E-2</v>
      </c>
      <c r="C374">
        <f t="shared" si="15"/>
        <v>1.3795792574446367E-3</v>
      </c>
      <c r="D374">
        <f t="shared" si="16"/>
        <v>0</v>
      </c>
      <c r="E374">
        <f t="shared" si="17"/>
        <v>0</v>
      </c>
      <c r="F374">
        <v>373</v>
      </c>
    </row>
    <row r="375" spans="1:6" x14ac:dyDescent="0.25">
      <c r="A375" s="1">
        <v>45471.705555555556</v>
      </c>
      <c r="B375">
        <v>1.9618205945020149E-3</v>
      </c>
      <c r="C375">
        <f t="shared" si="15"/>
        <v>3.8487400450122392E-6</v>
      </c>
      <c r="D375">
        <f t="shared" si="16"/>
        <v>0</v>
      </c>
      <c r="E375">
        <f t="shared" si="17"/>
        <v>0</v>
      </c>
      <c r="F375">
        <v>374</v>
      </c>
    </row>
    <row r="376" spans="1:6" x14ac:dyDescent="0.25">
      <c r="A376" s="1">
        <v>45470.705555555556</v>
      </c>
      <c r="B376">
        <v>1.3688426660577326E-2</v>
      </c>
      <c r="C376">
        <f t="shared" si="15"/>
        <v>1.8737302444200412E-4</v>
      </c>
      <c r="D376">
        <f t="shared" si="16"/>
        <v>0</v>
      </c>
      <c r="E376">
        <f t="shared" si="17"/>
        <v>0</v>
      </c>
      <c r="F376">
        <v>375</v>
      </c>
    </row>
    <row r="377" spans="1:6" x14ac:dyDescent="0.25">
      <c r="A377" s="1">
        <v>45469.705555555556</v>
      </c>
      <c r="B377">
        <v>-5.8024288617873256E-3</v>
      </c>
      <c r="C377">
        <f t="shared" si="15"/>
        <v>3.3668180696102561E-5</v>
      </c>
      <c r="D377">
        <f t="shared" si="16"/>
        <v>0</v>
      </c>
      <c r="E377">
        <f t="shared" si="17"/>
        <v>0</v>
      </c>
      <c r="F377">
        <v>376</v>
      </c>
    </row>
    <row r="378" spans="1:6" x14ac:dyDescent="0.25">
      <c r="A378" s="1">
        <v>45468.705555555556</v>
      </c>
      <c r="B378">
        <v>4.2294861035024764E-2</v>
      </c>
      <c r="C378">
        <f t="shared" si="15"/>
        <v>1.788855269972056E-3</v>
      </c>
      <c r="D378">
        <f t="shared" si="16"/>
        <v>0</v>
      </c>
      <c r="E378">
        <f t="shared" si="17"/>
        <v>0</v>
      </c>
      <c r="F378">
        <v>377</v>
      </c>
    </row>
    <row r="379" spans="1:6" x14ac:dyDescent="0.25">
      <c r="A379" s="1">
        <v>45467.705555555556</v>
      </c>
      <c r="B379">
        <v>-6.5917414372800631E-2</v>
      </c>
      <c r="C379">
        <f t="shared" si="15"/>
        <v>4.3451055175955031E-3</v>
      </c>
      <c r="D379">
        <f t="shared" si="16"/>
        <v>0</v>
      </c>
      <c r="E379">
        <f t="shared" si="17"/>
        <v>0</v>
      </c>
      <c r="F379">
        <v>378</v>
      </c>
    </row>
    <row r="380" spans="1:6" x14ac:dyDescent="0.25">
      <c r="A380" s="1">
        <v>45464.705555555556</v>
      </c>
      <c r="B380">
        <v>-6.2259317621857239E-3</v>
      </c>
      <c r="C380">
        <f t="shared" si="15"/>
        <v>3.8762226307393031E-5</v>
      </c>
      <c r="D380">
        <f t="shared" si="16"/>
        <v>0</v>
      </c>
      <c r="E380">
        <f t="shared" si="17"/>
        <v>0</v>
      </c>
      <c r="F380">
        <v>379</v>
      </c>
    </row>
    <row r="381" spans="1:6" x14ac:dyDescent="0.25">
      <c r="A381" s="1">
        <v>45463.705555555556</v>
      </c>
      <c r="B381">
        <v>-1.4776505383373164E-4</v>
      </c>
      <c r="C381">
        <f t="shared" si="15"/>
        <v>2.1834511134485611E-8</v>
      </c>
      <c r="D381">
        <f t="shared" si="16"/>
        <v>0</v>
      </c>
      <c r="E381">
        <f t="shared" si="17"/>
        <v>0</v>
      </c>
      <c r="F381">
        <v>380</v>
      </c>
    </row>
    <row r="382" spans="1:6" x14ac:dyDescent="0.25">
      <c r="A382" s="1">
        <v>45462.705555555556</v>
      </c>
      <c r="B382">
        <v>1.7588767636159582E-2</v>
      </c>
      <c r="C382">
        <f t="shared" si="15"/>
        <v>3.0936474695881469E-4</v>
      </c>
      <c r="D382">
        <f t="shared" si="16"/>
        <v>0</v>
      </c>
      <c r="E382">
        <f t="shared" si="17"/>
        <v>0</v>
      </c>
      <c r="F382">
        <v>381</v>
      </c>
    </row>
    <row r="383" spans="1:6" x14ac:dyDescent="0.25">
      <c r="A383" s="1">
        <v>45461.705555555556</v>
      </c>
      <c r="B383">
        <v>-2.3628411833066878E-2</v>
      </c>
      <c r="C383">
        <f t="shared" si="15"/>
        <v>5.583018457530148E-4</v>
      </c>
      <c r="D383">
        <f t="shared" si="16"/>
        <v>0</v>
      </c>
      <c r="E383">
        <f t="shared" si="17"/>
        <v>0</v>
      </c>
      <c r="F383">
        <v>382</v>
      </c>
    </row>
    <row r="384" spans="1:6" x14ac:dyDescent="0.25">
      <c r="A384" s="1">
        <v>45460.705555555556</v>
      </c>
      <c r="B384">
        <v>1.927699075733064E-2</v>
      </c>
      <c r="C384">
        <f t="shared" si="15"/>
        <v>3.7160237265821094E-4</v>
      </c>
      <c r="D384">
        <f t="shared" si="16"/>
        <v>0</v>
      </c>
      <c r="E384">
        <f t="shared" si="17"/>
        <v>0</v>
      </c>
      <c r="F384">
        <v>383</v>
      </c>
    </row>
    <row r="385" spans="1:6" x14ac:dyDescent="0.25">
      <c r="A385" s="1">
        <v>45457.705555555556</v>
      </c>
      <c r="B385">
        <v>-1.5008826208805151E-2</v>
      </c>
      <c r="C385">
        <f t="shared" si="15"/>
        <v>2.2526486416611641E-4</v>
      </c>
      <c r="D385">
        <f t="shared" si="16"/>
        <v>0</v>
      </c>
      <c r="E385">
        <f t="shared" si="17"/>
        <v>0</v>
      </c>
      <c r="F385">
        <v>384</v>
      </c>
    </row>
    <row r="386" spans="1:6" x14ac:dyDescent="0.25">
      <c r="A386" s="1">
        <v>45456.705555555556</v>
      </c>
      <c r="B386">
        <v>-1.8703058332127983E-2</v>
      </c>
      <c r="C386">
        <f t="shared" si="15"/>
        <v>3.4980439097498199E-4</v>
      </c>
      <c r="D386">
        <f t="shared" si="16"/>
        <v>0</v>
      </c>
      <c r="E386">
        <f t="shared" si="17"/>
        <v>0</v>
      </c>
      <c r="F386">
        <v>385</v>
      </c>
    </row>
    <row r="387" spans="1:6" x14ac:dyDescent="0.25">
      <c r="A387" s="1">
        <v>45455.705555555556</v>
      </c>
      <c r="B387">
        <v>1.4141208025250757E-2</v>
      </c>
      <c r="C387">
        <f t="shared" ref="C387:C450" si="18">B387^2</f>
        <v>1.999737644134164E-4</v>
      </c>
      <c r="D387">
        <f t="shared" ref="D387:D450" si="19">(1-$I$2)^F387</f>
        <v>0</v>
      </c>
      <c r="E387">
        <f t="shared" ref="E387:E450" si="20">D387*C387</f>
        <v>0</v>
      </c>
      <c r="F387">
        <v>386</v>
      </c>
    </row>
    <row r="388" spans="1:6" x14ac:dyDescent="0.25">
      <c r="A388" s="1">
        <v>45454.705555555556</v>
      </c>
      <c r="B388">
        <v>-2.8085227529789036E-2</v>
      </c>
      <c r="C388">
        <f t="shared" si="18"/>
        <v>7.8878000540001994E-4</v>
      </c>
      <c r="D388">
        <f t="shared" si="19"/>
        <v>0</v>
      </c>
      <c r="E388">
        <f t="shared" si="20"/>
        <v>0</v>
      </c>
      <c r="F388">
        <v>387</v>
      </c>
    </row>
    <row r="389" spans="1:6" x14ac:dyDescent="0.25">
      <c r="A389" s="1">
        <v>45453.705555555556</v>
      </c>
      <c r="B389">
        <v>6.1573903997231205E-3</v>
      </c>
      <c r="C389">
        <f t="shared" si="18"/>
        <v>3.7913456534602448E-5</v>
      </c>
      <c r="D389">
        <f t="shared" si="19"/>
        <v>0</v>
      </c>
      <c r="E389">
        <f t="shared" si="20"/>
        <v>0</v>
      </c>
      <c r="F389">
        <v>388</v>
      </c>
    </row>
    <row r="390" spans="1:6" x14ac:dyDescent="0.25">
      <c r="A390" s="1">
        <v>45450.705555555556</v>
      </c>
      <c r="B390">
        <v>-1.3694935863831029E-2</v>
      </c>
      <c r="C390">
        <f t="shared" si="18"/>
        <v>1.8755126831444534E-4</v>
      </c>
      <c r="D390">
        <f t="shared" si="19"/>
        <v>0</v>
      </c>
      <c r="E390">
        <f t="shared" si="20"/>
        <v>0</v>
      </c>
      <c r="F390">
        <v>389</v>
      </c>
    </row>
    <row r="391" spans="1:6" x14ac:dyDescent="0.25">
      <c r="A391" s="1">
        <v>45449.705555555556</v>
      </c>
      <c r="B391">
        <v>-1.1270899814890283E-2</v>
      </c>
      <c r="C391">
        <f t="shared" si="18"/>
        <v>1.2703318263729383E-4</v>
      </c>
      <c r="D391">
        <f t="shared" si="19"/>
        <v>0</v>
      </c>
      <c r="E391">
        <f t="shared" si="20"/>
        <v>0</v>
      </c>
      <c r="F391">
        <v>390</v>
      </c>
    </row>
    <row r="392" spans="1:6" x14ac:dyDescent="0.25">
      <c r="A392" s="1">
        <v>45448.705555555556</v>
      </c>
      <c r="B392">
        <v>1.638454732172797E-2</v>
      </c>
      <c r="C392">
        <f t="shared" si="18"/>
        <v>2.6845339093794319E-4</v>
      </c>
      <c r="D392">
        <f t="shared" si="19"/>
        <v>0</v>
      </c>
      <c r="E392">
        <f t="shared" si="20"/>
        <v>0</v>
      </c>
      <c r="F392">
        <v>391</v>
      </c>
    </row>
    <row r="393" spans="1:6" x14ac:dyDescent="0.25">
      <c r="A393" s="1">
        <v>45447.705555555556</v>
      </c>
      <c r="B393">
        <v>2.0429425800988221E-2</v>
      </c>
      <c r="C393">
        <f t="shared" si="18"/>
        <v>4.1736143855808323E-4</v>
      </c>
      <c r="D393">
        <f t="shared" si="19"/>
        <v>0</v>
      </c>
      <c r="E393">
        <f t="shared" si="20"/>
        <v>0</v>
      </c>
      <c r="F393">
        <v>392</v>
      </c>
    </row>
    <row r="394" spans="1:6" x14ac:dyDescent="0.25">
      <c r="A394" s="1">
        <v>45446.705555555556</v>
      </c>
      <c r="B394">
        <v>1.1401965360248588E-2</v>
      </c>
      <c r="C394">
        <f t="shared" si="18"/>
        <v>1.3000481407630872E-4</v>
      </c>
      <c r="D394">
        <f t="shared" si="19"/>
        <v>0</v>
      </c>
      <c r="E394">
        <f t="shared" si="20"/>
        <v>0</v>
      </c>
      <c r="F394">
        <v>393</v>
      </c>
    </row>
    <row r="395" spans="1:6" x14ac:dyDescent="0.25">
      <c r="A395" s="1">
        <v>45443.705555555556</v>
      </c>
      <c r="B395">
        <v>6.1937965301311218E-3</v>
      </c>
      <c r="C395">
        <f t="shared" si="18"/>
        <v>3.8363115456664322E-5</v>
      </c>
      <c r="D395">
        <f t="shared" si="19"/>
        <v>0</v>
      </c>
      <c r="E395">
        <f t="shared" si="20"/>
        <v>0</v>
      </c>
      <c r="F395">
        <v>394</v>
      </c>
    </row>
    <row r="396" spans="1:6" x14ac:dyDescent="0.25">
      <c r="A396" s="1">
        <v>45441.705555555556</v>
      </c>
      <c r="B396">
        <v>-5.752652489449922E-3</v>
      </c>
      <c r="C396">
        <f t="shared" si="18"/>
        <v>3.3093010664374382E-5</v>
      </c>
      <c r="D396">
        <f t="shared" si="19"/>
        <v>0</v>
      </c>
      <c r="E396">
        <f t="shared" si="20"/>
        <v>0</v>
      </c>
      <c r="F396">
        <v>395</v>
      </c>
    </row>
    <row r="397" spans="1:6" x14ac:dyDescent="0.25">
      <c r="A397" s="1">
        <v>45440.705555555556</v>
      </c>
      <c r="B397">
        <v>-1.2569589636295552E-2</v>
      </c>
      <c r="C397">
        <f t="shared" si="18"/>
        <v>1.5799458362486854E-4</v>
      </c>
      <c r="D397">
        <f t="shared" si="19"/>
        <v>0</v>
      </c>
      <c r="E397">
        <f t="shared" si="20"/>
        <v>0</v>
      </c>
      <c r="F397">
        <v>396</v>
      </c>
    </row>
    <row r="398" spans="1:6" x14ac:dyDescent="0.25">
      <c r="A398" s="1">
        <v>45439.705555555556</v>
      </c>
      <c r="B398">
        <v>1.7582870557866663E-2</v>
      </c>
      <c r="C398">
        <f t="shared" si="18"/>
        <v>3.0915733705469433E-4</v>
      </c>
      <c r="D398">
        <f t="shared" si="19"/>
        <v>0</v>
      </c>
      <c r="E398">
        <f t="shared" si="20"/>
        <v>0</v>
      </c>
      <c r="F398">
        <v>397</v>
      </c>
    </row>
    <row r="399" spans="1:6" x14ac:dyDescent="0.25">
      <c r="A399" s="1">
        <v>45436.705555555556</v>
      </c>
      <c r="B399">
        <v>1.8650298134408782E-2</v>
      </c>
      <c r="C399">
        <f t="shared" si="18"/>
        <v>3.4783362050233167E-4</v>
      </c>
      <c r="D399">
        <f t="shared" si="19"/>
        <v>0</v>
      </c>
      <c r="E399">
        <f t="shared" si="20"/>
        <v>0</v>
      </c>
      <c r="F399">
        <v>398</v>
      </c>
    </row>
    <row r="400" spans="1:6" x14ac:dyDescent="0.25">
      <c r="A400" s="1">
        <v>45435.705555555556</v>
      </c>
      <c r="B400">
        <v>-2.8359112261369775E-2</v>
      </c>
      <c r="C400">
        <f t="shared" si="18"/>
        <v>8.0423924825297351E-4</v>
      </c>
      <c r="D400">
        <f t="shared" si="19"/>
        <v>0</v>
      </c>
      <c r="E400">
        <f t="shared" si="20"/>
        <v>0</v>
      </c>
      <c r="F400">
        <v>399</v>
      </c>
    </row>
    <row r="401" spans="1:6" x14ac:dyDescent="0.25">
      <c r="A401" s="1">
        <v>45434.705555555556</v>
      </c>
      <c r="B401">
        <v>4.2543891647085575E-3</v>
      </c>
      <c r="C401">
        <f t="shared" si="18"/>
        <v>1.8099827164789578E-5</v>
      </c>
      <c r="D401">
        <f t="shared" si="19"/>
        <v>0</v>
      </c>
      <c r="E401">
        <f t="shared" si="20"/>
        <v>0</v>
      </c>
      <c r="F401">
        <v>400</v>
      </c>
    </row>
    <row r="402" spans="1:6" x14ac:dyDescent="0.25">
      <c r="A402" s="1">
        <v>45433.705555555556</v>
      </c>
      <c r="B402">
        <v>1.3170741628389146E-2</v>
      </c>
      <c r="C402">
        <f t="shared" si="18"/>
        <v>1.7346843504178276E-4</v>
      </c>
      <c r="D402">
        <f t="shared" si="19"/>
        <v>0</v>
      </c>
      <c r="E402">
        <f t="shared" si="20"/>
        <v>0</v>
      </c>
      <c r="F402">
        <v>401</v>
      </c>
    </row>
    <row r="403" spans="1:6" x14ac:dyDescent="0.25">
      <c r="A403" s="1">
        <v>45432.705555555556</v>
      </c>
      <c r="B403">
        <v>4.8529509925808366E-2</v>
      </c>
      <c r="C403">
        <f t="shared" si="18"/>
        <v>2.3551133336391326E-3</v>
      </c>
      <c r="D403">
        <f t="shared" si="19"/>
        <v>0</v>
      </c>
      <c r="E403">
        <f t="shared" si="20"/>
        <v>0</v>
      </c>
      <c r="F403">
        <v>402</v>
      </c>
    </row>
    <row r="404" spans="1:6" x14ac:dyDescent="0.25">
      <c r="A404" s="1">
        <v>45429.705555555556</v>
      </c>
      <c r="B404">
        <v>2.8550710068131622E-2</v>
      </c>
      <c r="C404">
        <f t="shared" si="18"/>
        <v>8.1514304539451231E-4</v>
      </c>
      <c r="D404">
        <f t="shared" si="19"/>
        <v>0</v>
      </c>
      <c r="E404">
        <f t="shared" si="20"/>
        <v>0</v>
      </c>
      <c r="F404">
        <v>403</v>
      </c>
    </row>
    <row r="405" spans="1:6" x14ac:dyDescent="0.25">
      <c r="A405" s="1">
        <v>45428.705555555556</v>
      </c>
      <c r="B405">
        <v>-1.7702399920782812E-2</v>
      </c>
      <c r="C405">
        <f t="shared" si="18"/>
        <v>3.133749629553313E-4</v>
      </c>
      <c r="D405">
        <f t="shared" si="19"/>
        <v>0</v>
      </c>
      <c r="E405">
        <f t="shared" si="20"/>
        <v>0</v>
      </c>
      <c r="F405">
        <v>404</v>
      </c>
    </row>
    <row r="406" spans="1:6" x14ac:dyDescent="0.25">
      <c r="A406" s="1">
        <v>45427.705555555556</v>
      </c>
      <c r="B406">
        <v>5.7921197478946397E-2</v>
      </c>
      <c r="C406">
        <f t="shared" si="18"/>
        <v>3.3548651173951065E-3</v>
      </c>
      <c r="D406">
        <f t="shared" si="19"/>
        <v>0</v>
      </c>
      <c r="E406">
        <f t="shared" si="20"/>
        <v>0</v>
      </c>
      <c r="F406">
        <v>405</v>
      </c>
    </row>
    <row r="407" spans="1:6" x14ac:dyDescent="0.25">
      <c r="A407" s="1">
        <v>45426.705555555556</v>
      </c>
      <c r="B407">
        <v>-2.4488318324200963E-2</v>
      </c>
      <c r="C407">
        <f t="shared" si="18"/>
        <v>5.9967773434739665E-4</v>
      </c>
      <c r="D407">
        <f t="shared" si="19"/>
        <v>0</v>
      </c>
      <c r="E407">
        <f t="shared" si="20"/>
        <v>0</v>
      </c>
      <c r="F407">
        <v>406</v>
      </c>
    </row>
    <row r="408" spans="1:6" x14ac:dyDescent="0.25">
      <c r="A408" s="1">
        <v>45425.705555555556</v>
      </c>
      <c r="B408">
        <v>1.8476276167573212E-2</v>
      </c>
      <c r="C408">
        <f t="shared" si="18"/>
        <v>3.4137278102043387E-4</v>
      </c>
      <c r="D408">
        <f t="shared" si="19"/>
        <v>0</v>
      </c>
      <c r="E408">
        <f t="shared" si="20"/>
        <v>0</v>
      </c>
      <c r="F408">
        <v>407</v>
      </c>
    </row>
    <row r="409" spans="1:6" x14ac:dyDescent="0.25">
      <c r="A409" s="1">
        <v>45422.705555555556</v>
      </c>
      <c r="B409">
        <v>-1.814931850567722E-2</v>
      </c>
      <c r="C409">
        <f t="shared" si="18"/>
        <v>3.293977622205176E-4</v>
      </c>
      <c r="D409">
        <f t="shared" si="19"/>
        <v>0</v>
      </c>
      <c r="E409">
        <f t="shared" si="20"/>
        <v>0</v>
      </c>
      <c r="F409">
        <v>408</v>
      </c>
    </row>
    <row r="410" spans="1:6" x14ac:dyDescent="0.25">
      <c r="A410" s="1">
        <v>45421.705555555556</v>
      </c>
      <c r="B410">
        <v>2.1819047394639673E-2</v>
      </c>
      <c r="C410">
        <f t="shared" si="18"/>
        <v>4.760708292095323E-4</v>
      </c>
      <c r="D410">
        <f t="shared" si="19"/>
        <v>0</v>
      </c>
      <c r="E410">
        <f t="shared" si="20"/>
        <v>0</v>
      </c>
      <c r="F410">
        <v>409</v>
      </c>
    </row>
    <row r="411" spans="1:6" x14ac:dyDescent="0.25">
      <c r="A411" s="1">
        <v>45420.705555555556</v>
      </c>
      <c r="B411">
        <v>-9.6458422923041982E-3</v>
      </c>
      <c r="C411">
        <f t="shared" si="18"/>
        <v>9.3042273528004305E-5</v>
      </c>
      <c r="D411">
        <f t="shared" si="19"/>
        <v>0</v>
      </c>
      <c r="E411">
        <f t="shared" si="20"/>
        <v>0</v>
      </c>
      <c r="F411">
        <v>410</v>
      </c>
    </row>
    <row r="412" spans="1:6" x14ac:dyDescent="0.25">
      <c r="A412" s="1">
        <v>45419.705555555556</v>
      </c>
      <c r="B412">
        <v>-7.0916434750102125E-3</v>
      </c>
      <c r="C412">
        <f t="shared" si="18"/>
        <v>5.0291407176654925E-5</v>
      </c>
      <c r="D412">
        <f t="shared" si="19"/>
        <v>0</v>
      </c>
      <c r="E412">
        <f t="shared" si="20"/>
        <v>0</v>
      </c>
      <c r="F412">
        <v>411</v>
      </c>
    </row>
    <row r="413" spans="1:6" x14ac:dyDescent="0.25">
      <c r="A413" s="1">
        <v>45418.705555555556</v>
      </c>
      <c r="B413">
        <v>1.1404139791951743E-2</v>
      </c>
      <c r="C413">
        <f t="shared" si="18"/>
        <v>1.3005440439437714E-4</v>
      </c>
      <c r="D413">
        <f t="shared" si="19"/>
        <v>0</v>
      </c>
      <c r="E413">
        <f t="shared" si="20"/>
        <v>0</v>
      </c>
      <c r="F413">
        <v>412</v>
      </c>
    </row>
    <row r="414" spans="1:6" x14ac:dyDescent="0.25">
      <c r="A414" s="1">
        <v>45415.705555555556</v>
      </c>
      <c r="B414">
        <v>2.5249616092279537E-2</v>
      </c>
      <c r="C414">
        <f t="shared" si="18"/>
        <v>6.375431128075018E-4</v>
      </c>
      <c r="D414">
        <f t="shared" si="19"/>
        <v>0</v>
      </c>
      <c r="E414">
        <f t="shared" si="20"/>
        <v>0</v>
      </c>
      <c r="F414">
        <v>413</v>
      </c>
    </row>
    <row r="415" spans="1:6" x14ac:dyDescent="0.25">
      <c r="A415" s="1">
        <v>45414.705555555556</v>
      </c>
      <c r="B415">
        <v>-1.0176478596114277E-2</v>
      </c>
      <c r="C415">
        <f t="shared" si="18"/>
        <v>1.0356071661717201E-4</v>
      </c>
      <c r="D415">
        <f t="shared" si="19"/>
        <v>0</v>
      </c>
      <c r="E415">
        <f t="shared" si="20"/>
        <v>0</v>
      </c>
      <c r="F415">
        <v>414</v>
      </c>
    </row>
    <row r="416" spans="1:6" x14ac:dyDescent="0.25">
      <c r="A416" s="1">
        <v>45412.705555555556</v>
      </c>
      <c r="B416">
        <v>-3.8889652881060117E-2</v>
      </c>
      <c r="C416">
        <f t="shared" si="18"/>
        <v>1.5124051012093474E-3</v>
      </c>
      <c r="D416">
        <f t="shared" si="19"/>
        <v>0</v>
      </c>
      <c r="E416">
        <f t="shared" si="20"/>
        <v>0</v>
      </c>
      <c r="F416">
        <v>415</v>
      </c>
    </row>
    <row r="417" spans="1:6" x14ac:dyDescent="0.25">
      <c r="A417" s="1">
        <v>45411.705555555556</v>
      </c>
      <c r="B417">
        <v>-7.2774639937547587E-3</v>
      </c>
      <c r="C417">
        <f t="shared" si="18"/>
        <v>5.2961482180396959E-5</v>
      </c>
      <c r="D417">
        <f t="shared" si="19"/>
        <v>0</v>
      </c>
      <c r="E417">
        <f t="shared" si="20"/>
        <v>0</v>
      </c>
      <c r="F417">
        <v>416</v>
      </c>
    </row>
    <row r="418" spans="1:6" x14ac:dyDescent="0.25">
      <c r="A418" s="1">
        <v>45408.705555555556</v>
      </c>
      <c r="B418">
        <v>-9.7812052163501039E-3</v>
      </c>
      <c r="C418">
        <f t="shared" si="18"/>
        <v>9.5671975484354479E-5</v>
      </c>
      <c r="D418">
        <f t="shared" si="19"/>
        <v>0</v>
      </c>
      <c r="E418">
        <f t="shared" si="20"/>
        <v>0</v>
      </c>
      <c r="F418">
        <v>417</v>
      </c>
    </row>
    <row r="419" spans="1:6" x14ac:dyDescent="0.25">
      <c r="A419" s="1">
        <v>45407.705555555556</v>
      </c>
      <c r="B419">
        <v>4.7984736985528728E-3</v>
      </c>
      <c r="C419">
        <f t="shared" si="18"/>
        <v>2.3025349835703687E-5</v>
      </c>
      <c r="D419">
        <f t="shared" si="19"/>
        <v>0</v>
      </c>
      <c r="E419">
        <f t="shared" si="20"/>
        <v>0</v>
      </c>
      <c r="F419">
        <v>418</v>
      </c>
    </row>
    <row r="420" spans="1:6" x14ac:dyDescent="0.25">
      <c r="A420" s="1">
        <v>45406.705555555556</v>
      </c>
      <c r="B420">
        <v>-2.6423497590482591E-2</v>
      </c>
      <c r="C420">
        <f t="shared" si="18"/>
        <v>6.9820122491423922E-4</v>
      </c>
      <c r="D420">
        <f t="shared" si="19"/>
        <v>0</v>
      </c>
      <c r="E420">
        <f t="shared" si="20"/>
        <v>0</v>
      </c>
      <c r="F420">
        <v>419</v>
      </c>
    </row>
    <row r="421" spans="1:6" x14ac:dyDescent="0.25">
      <c r="A421" s="1">
        <v>45405.705555555556</v>
      </c>
      <c r="B421">
        <v>-1.1797715229715193E-2</v>
      </c>
      <c r="C421">
        <f t="shared" si="18"/>
        <v>1.391860846414538E-4</v>
      </c>
      <c r="D421">
        <f t="shared" si="19"/>
        <v>0</v>
      </c>
      <c r="E421">
        <f t="shared" si="20"/>
        <v>0</v>
      </c>
      <c r="F421">
        <v>420</v>
      </c>
    </row>
    <row r="422" spans="1:6" x14ac:dyDescent="0.25">
      <c r="A422" s="1">
        <v>45404.705555555556</v>
      </c>
      <c r="B422">
        <v>2.3420274208098422E-2</v>
      </c>
      <c r="C422">
        <f t="shared" si="18"/>
        <v>5.4850924398252014E-4</v>
      </c>
      <c r="D422">
        <f t="shared" si="19"/>
        <v>0</v>
      </c>
      <c r="E422">
        <f t="shared" si="20"/>
        <v>0</v>
      </c>
      <c r="F422">
        <v>421</v>
      </c>
    </row>
    <row r="423" spans="1:6" x14ac:dyDescent="0.25">
      <c r="A423" s="1">
        <v>45401.705555555556</v>
      </c>
      <c r="B423">
        <v>-2.5244570049190842E-3</v>
      </c>
      <c r="C423">
        <f t="shared" si="18"/>
        <v>6.3728831696850326E-6</v>
      </c>
      <c r="D423">
        <f t="shared" si="19"/>
        <v>0</v>
      </c>
      <c r="E423">
        <f t="shared" si="20"/>
        <v>0</v>
      </c>
      <c r="F423">
        <v>422</v>
      </c>
    </row>
    <row r="424" spans="1:6" x14ac:dyDescent="0.25">
      <c r="A424" s="1">
        <v>45400.705555555556</v>
      </c>
      <c r="B424">
        <v>3.8061599493373954E-2</v>
      </c>
      <c r="C424">
        <f t="shared" si="18"/>
        <v>1.4486853559940044E-3</v>
      </c>
      <c r="D424">
        <f t="shared" si="19"/>
        <v>0</v>
      </c>
      <c r="E424">
        <f t="shared" si="20"/>
        <v>0</v>
      </c>
      <c r="F424">
        <v>423</v>
      </c>
    </row>
    <row r="425" spans="1:6" x14ac:dyDescent="0.25">
      <c r="A425" s="1">
        <v>45399.705555555556</v>
      </c>
      <c r="B425">
        <v>-2.6969741203156136E-2</v>
      </c>
      <c r="C425">
        <f t="shared" si="18"/>
        <v>7.2736694056521774E-4</v>
      </c>
      <c r="D425">
        <f t="shared" si="19"/>
        <v>0</v>
      </c>
      <c r="E425">
        <f t="shared" si="20"/>
        <v>0</v>
      </c>
      <c r="F425">
        <v>424</v>
      </c>
    </row>
    <row r="426" spans="1:6" x14ac:dyDescent="0.25">
      <c r="A426" s="1">
        <v>45398.705555555556</v>
      </c>
      <c r="B426">
        <v>-4.2928756601869067E-3</v>
      </c>
      <c r="C426">
        <f t="shared" si="18"/>
        <v>1.842878143382517E-5</v>
      </c>
      <c r="D426">
        <f t="shared" si="19"/>
        <v>0</v>
      </c>
      <c r="E426">
        <f t="shared" si="20"/>
        <v>0</v>
      </c>
      <c r="F426">
        <v>425</v>
      </c>
    </row>
    <row r="427" spans="1:6" x14ac:dyDescent="0.25">
      <c r="A427" s="1">
        <v>45397.705555555556</v>
      </c>
      <c r="B427">
        <v>-1.9015266113487625E-2</v>
      </c>
      <c r="C427">
        <f t="shared" si="18"/>
        <v>3.6158034536675079E-4</v>
      </c>
      <c r="D427">
        <f t="shared" si="19"/>
        <v>0</v>
      </c>
      <c r="E427">
        <f t="shared" si="20"/>
        <v>0</v>
      </c>
      <c r="F427">
        <v>426</v>
      </c>
    </row>
    <row r="428" spans="1:6" x14ac:dyDescent="0.25">
      <c r="A428" s="1">
        <v>45394.705555555556</v>
      </c>
      <c r="B428">
        <v>-4.3706994531641501E-2</v>
      </c>
      <c r="C428">
        <f t="shared" si="18"/>
        <v>1.91030137098894E-3</v>
      </c>
      <c r="D428">
        <f t="shared" si="19"/>
        <v>0</v>
      </c>
      <c r="E428">
        <f t="shared" si="20"/>
        <v>0</v>
      </c>
      <c r="F428">
        <v>427</v>
      </c>
    </row>
    <row r="429" spans="1:6" x14ac:dyDescent="0.25">
      <c r="A429" s="1">
        <v>45393.705555555556</v>
      </c>
      <c r="B429">
        <v>9.2815037557843708E-3</v>
      </c>
      <c r="C429">
        <f t="shared" si="18"/>
        <v>8.6146311968639383E-5</v>
      </c>
      <c r="D429">
        <f t="shared" si="19"/>
        <v>0</v>
      </c>
      <c r="E429">
        <f t="shared" si="20"/>
        <v>0</v>
      </c>
      <c r="F429">
        <v>428</v>
      </c>
    </row>
    <row r="430" spans="1:6" x14ac:dyDescent="0.25">
      <c r="A430" s="1">
        <v>45392.705555555556</v>
      </c>
      <c r="B430">
        <v>1.8672269249188848E-2</v>
      </c>
      <c r="C430">
        <f t="shared" si="18"/>
        <v>3.4865363891420348E-4</v>
      </c>
      <c r="D430">
        <f t="shared" si="19"/>
        <v>0</v>
      </c>
      <c r="E430">
        <f t="shared" si="20"/>
        <v>0</v>
      </c>
      <c r="F430">
        <v>429</v>
      </c>
    </row>
    <row r="431" spans="1:6" x14ac:dyDescent="0.25">
      <c r="A431" s="1">
        <v>45391.705555555556</v>
      </c>
      <c r="B431">
        <v>-3.6706888753054667E-2</v>
      </c>
      <c r="C431">
        <f t="shared" si="18"/>
        <v>1.3473956819291311E-3</v>
      </c>
      <c r="D431">
        <f t="shared" si="19"/>
        <v>0</v>
      </c>
      <c r="E431">
        <f t="shared" si="20"/>
        <v>0</v>
      </c>
      <c r="F431">
        <v>430</v>
      </c>
    </row>
    <row r="432" spans="1:6" x14ac:dyDescent="0.25">
      <c r="A432" s="1">
        <v>45390.705555555556</v>
      </c>
      <c r="B432">
        <v>4.826592937407919E-2</v>
      </c>
      <c r="C432">
        <f t="shared" si="18"/>
        <v>2.3295999383436002E-3</v>
      </c>
      <c r="D432">
        <f t="shared" si="19"/>
        <v>0</v>
      </c>
      <c r="E432">
        <f t="shared" si="20"/>
        <v>0</v>
      </c>
      <c r="F432">
        <v>431</v>
      </c>
    </row>
    <row r="433" spans="1:6" x14ac:dyDescent="0.25">
      <c r="A433" s="1">
        <v>45387.705555555556</v>
      </c>
      <c r="B433">
        <v>5.4402869858911516E-3</v>
      </c>
      <c r="C433">
        <f t="shared" si="18"/>
        <v>2.959672248885663E-5</v>
      </c>
      <c r="D433">
        <f t="shared" si="19"/>
        <v>0</v>
      </c>
      <c r="E433">
        <f t="shared" si="20"/>
        <v>0</v>
      </c>
      <c r="F433">
        <v>432</v>
      </c>
    </row>
    <row r="434" spans="1:6" x14ac:dyDescent="0.25">
      <c r="A434" s="1">
        <v>45386.705555555556</v>
      </c>
      <c r="B434">
        <v>1.8245237166726391E-2</v>
      </c>
      <c r="C434">
        <f t="shared" si="18"/>
        <v>3.3288867927009405E-4</v>
      </c>
      <c r="D434">
        <f t="shared" si="19"/>
        <v>0</v>
      </c>
      <c r="E434">
        <f t="shared" si="20"/>
        <v>0</v>
      </c>
      <c r="F434">
        <v>433</v>
      </c>
    </row>
    <row r="435" spans="1:6" x14ac:dyDescent="0.25">
      <c r="A435" s="1">
        <v>45385.705555555556</v>
      </c>
      <c r="B435">
        <v>-2.2197567383128881E-3</v>
      </c>
      <c r="C435">
        <f t="shared" si="18"/>
        <v>4.9273199772854715E-6</v>
      </c>
      <c r="D435">
        <f t="shared" si="19"/>
        <v>0</v>
      </c>
      <c r="E435">
        <f t="shared" si="20"/>
        <v>0</v>
      </c>
      <c r="F435">
        <v>434</v>
      </c>
    </row>
    <row r="436" spans="1:6" x14ac:dyDescent="0.25">
      <c r="A436" s="1">
        <v>45384.705555555556</v>
      </c>
      <c r="B436">
        <v>-4.0961357631065287E-2</v>
      </c>
      <c r="C436">
        <f t="shared" si="18"/>
        <v>1.6778328189800305E-3</v>
      </c>
      <c r="D436">
        <f t="shared" si="19"/>
        <v>0</v>
      </c>
      <c r="E436">
        <f t="shared" si="20"/>
        <v>0</v>
      </c>
      <c r="F436">
        <v>435</v>
      </c>
    </row>
    <row r="437" spans="1:6" x14ac:dyDescent="0.25">
      <c r="A437" s="1">
        <v>45383.705555555556</v>
      </c>
      <c r="B437">
        <v>-2.8842524738685485E-3</v>
      </c>
      <c r="C437">
        <f t="shared" si="18"/>
        <v>8.3189123330168414E-6</v>
      </c>
      <c r="D437">
        <f t="shared" si="19"/>
        <v>0</v>
      </c>
      <c r="E437">
        <f t="shared" si="20"/>
        <v>0</v>
      </c>
      <c r="F437">
        <v>436</v>
      </c>
    </row>
    <row r="438" spans="1:6" x14ac:dyDescent="0.25">
      <c r="A438" s="1">
        <v>45379.705555555556</v>
      </c>
      <c r="B438">
        <v>3.0942205269025969E-2</v>
      </c>
      <c r="C438">
        <f t="shared" si="18"/>
        <v>9.5742006691053837E-4</v>
      </c>
      <c r="D438">
        <f t="shared" si="19"/>
        <v>0</v>
      </c>
      <c r="E438">
        <f t="shared" si="20"/>
        <v>0</v>
      </c>
      <c r="F438">
        <v>437</v>
      </c>
    </row>
    <row r="439" spans="1:6" x14ac:dyDescent="0.25">
      <c r="A439" s="1">
        <v>45378.705555555556</v>
      </c>
      <c r="B439">
        <v>-1.4127379259210565E-2</v>
      </c>
      <c r="C439">
        <f t="shared" si="18"/>
        <v>1.9958284473357285E-4</v>
      </c>
      <c r="D439">
        <f t="shared" si="19"/>
        <v>0</v>
      </c>
      <c r="E439">
        <f t="shared" si="20"/>
        <v>0</v>
      </c>
      <c r="F439">
        <v>438</v>
      </c>
    </row>
    <row r="440" spans="1:6" x14ac:dyDescent="0.25">
      <c r="A440" s="1">
        <v>45377.705555555556</v>
      </c>
      <c r="B440">
        <v>-8.7484250695274435E-3</v>
      </c>
      <c r="C440">
        <f t="shared" si="18"/>
        <v>7.6534941197136256E-5</v>
      </c>
      <c r="D440">
        <f t="shared" si="19"/>
        <v>0</v>
      </c>
      <c r="E440">
        <f t="shared" si="20"/>
        <v>0</v>
      </c>
      <c r="F440">
        <v>439</v>
      </c>
    </row>
    <row r="441" spans="1:6" x14ac:dyDescent="0.25">
      <c r="A441" s="1">
        <v>45376.705555555556</v>
      </c>
      <c r="B441">
        <v>7.1079836367211047E-2</v>
      </c>
      <c r="C441">
        <f t="shared" si="18"/>
        <v>5.0523431379894982E-3</v>
      </c>
      <c r="D441">
        <f t="shared" si="19"/>
        <v>0</v>
      </c>
      <c r="E441">
        <f t="shared" si="20"/>
        <v>0</v>
      </c>
      <c r="F441">
        <v>440</v>
      </c>
    </row>
    <row r="442" spans="1:6" x14ac:dyDescent="0.25">
      <c r="A442" s="1">
        <v>45373.705555555556</v>
      </c>
      <c r="B442">
        <v>-2.1425912957080115E-2</v>
      </c>
      <c r="C442">
        <f t="shared" si="18"/>
        <v>4.5906974604437357E-4</v>
      </c>
      <c r="D442">
        <f t="shared" si="19"/>
        <v>0</v>
      </c>
      <c r="E442">
        <f t="shared" si="20"/>
        <v>0</v>
      </c>
      <c r="F442">
        <v>441</v>
      </c>
    </row>
    <row r="443" spans="1:6" x14ac:dyDescent="0.25">
      <c r="A443" s="1">
        <v>45372.705555555556</v>
      </c>
      <c r="B443">
        <v>1.7680628249686077E-3</v>
      </c>
      <c r="C443">
        <f t="shared" si="18"/>
        <v>3.1260461530359733E-6</v>
      </c>
      <c r="D443">
        <f t="shared" si="19"/>
        <v>0</v>
      </c>
      <c r="E443">
        <f t="shared" si="20"/>
        <v>0</v>
      </c>
      <c r="F443">
        <v>442</v>
      </c>
    </row>
    <row r="444" spans="1:6" x14ac:dyDescent="0.25">
      <c r="A444" s="1">
        <v>45371.705555555556</v>
      </c>
      <c r="B444">
        <v>2.4592070669332736E-2</v>
      </c>
      <c r="C444">
        <f t="shared" si="18"/>
        <v>6.0476993980545547E-4</v>
      </c>
      <c r="D444">
        <f t="shared" si="19"/>
        <v>0</v>
      </c>
      <c r="E444">
        <f t="shared" si="20"/>
        <v>0</v>
      </c>
      <c r="F444">
        <v>443</v>
      </c>
    </row>
    <row r="445" spans="1:6" x14ac:dyDescent="0.25">
      <c r="A445" s="1">
        <v>45370.705555555556</v>
      </c>
      <c r="B445">
        <v>-3.7538787110592164E-2</v>
      </c>
      <c r="C445">
        <f t="shared" si="18"/>
        <v>1.4091605377343605E-3</v>
      </c>
      <c r="D445">
        <f t="shared" si="19"/>
        <v>0</v>
      </c>
      <c r="E445">
        <f t="shared" si="20"/>
        <v>0</v>
      </c>
      <c r="F445">
        <v>444</v>
      </c>
    </row>
    <row r="446" spans="1:6" x14ac:dyDescent="0.25">
      <c r="A446" s="1">
        <v>45369.705555555556</v>
      </c>
      <c r="B446">
        <v>-2.1678511541484341E-2</v>
      </c>
      <c r="C446">
        <f t="shared" si="18"/>
        <v>4.6995786265426975E-4</v>
      </c>
      <c r="D446">
        <f t="shared" si="19"/>
        <v>0</v>
      </c>
      <c r="E446">
        <f t="shared" si="20"/>
        <v>0</v>
      </c>
      <c r="F446">
        <v>445</v>
      </c>
    </row>
    <row r="447" spans="1:6" x14ac:dyDescent="0.25">
      <c r="A447" s="1">
        <v>45366.705555555556</v>
      </c>
      <c r="B447">
        <v>-3.2263328884312749E-2</v>
      </c>
      <c r="C447">
        <f t="shared" si="18"/>
        <v>1.0409223906973294E-3</v>
      </c>
      <c r="D447">
        <f t="shared" si="19"/>
        <v>0</v>
      </c>
      <c r="E447">
        <f t="shared" si="20"/>
        <v>0</v>
      </c>
      <c r="F447">
        <v>446</v>
      </c>
    </row>
    <row r="448" spans="1:6" x14ac:dyDescent="0.25">
      <c r="A448" s="1">
        <v>45365.705555555556</v>
      </c>
      <c r="B448">
        <v>-3.0379457088359211E-2</v>
      </c>
      <c r="C448">
        <f t="shared" si="18"/>
        <v>9.2291141298345874E-4</v>
      </c>
      <c r="D448">
        <f t="shared" si="19"/>
        <v>0</v>
      </c>
      <c r="E448">
        <f t="shared" si="20"/>
        <v>0</v>
      </c>
      <c r="F448">
        <v>447</v>
      </c>
    </row>
    <row r="449" spans="1:6" x14ac:dyDescent="0.25">
      <c r="A449" s="1">
        <v>45364.705555555556</v>
      </c>
      <c r="B449">
        <v>1.2484556662245277E-2</v>
      </c>
      <c r="C449">
        <f t="shared" si="18"/>
        <v>1.5586415505281293E-4</v>
      </c>
      <c r="D449">
        <f t="shared" si="19"/>
        <v>0</v>
      </c>
      <c r="E449">
        <f t="shared" si="20"/>
        <v>0</v>
      </c>
      <c r="F449">
        <v>448</v>
      </c>
    </row>
    <row r="450" spans="1:6" x14ac:dyDescent="0.25">
      <c r="A450" s="1">
        <v>45363.705555555556</v>
      </c>
      <c r="B450">
        <v>-1.3651588158667695E-2</v>
      </c>
      <c r="C450">
        <f t="shared" si="18"/>
        <v>1.8636585925387603E-4</v>
      </c>
      <c r="D450">
        <f t="shared" si="19"/>
        <v>0</v>
      </c>
      <c r="E450">
        <f t="shared" si="20"/>
        <v>0</v>
      </c>
      <c r="F450">
        <v>449</v>
      </c>
    </row>
    <row r="451" spans="1:6" x14ac:dyDescent="0.25">
      <c r="A451" s="1">
        <v>45362.705555555556</v>
      </c>
      <c r="B451">
        <v>3.1997989834080226E-2</v>
      </c>
      <c r="C451">
        <f t="shared" ref="C451:C488" si="21">B451^2</f>
        <v>1.0238713534219015E-3</v>
      </c>
      <c r="D451">
        <f t="shared" ref="D451:D488" si="22">(1-$I$2)^F451</f>
        <v>0</v>
      </c>
      <c r="E451">
        <f t="shared" ref="E451:E488" si="23">D451*C451</f>
        <v>0</v>
      </c>
      <c r="F451">
        <v>450</v>
      </c>
    </row>
    <row r="452" spans="1:6" x14ac:dyDescent="0.25">
      <c r="A452" s="1">
        <v>45359.705555555556</v>
      </c>
      <c r="B452">
        <v>1.9763489118839718E-2</v>
      </c>
      <c r="C452">
        <f t="shared" si="21"/>
        <v>3.9059550215049592E-4</v>
      </c>
      <c r="D452">
        <f t="shared" si="22"/>
        <v>0</v>
      </c>
      <c r="E452">
        <f t="shared" si="23"/>
        <v>0</v>
      </c>
      <c r="F452">
        <v>451</v>
      </c>
    </row>
    <row r="453" spans="1:6" x14ac:dyDescent="0.25">
      <c r="A453" s="1">
        <v>45358.705555555556</v>
      </c>
      <c r="B453">
        <v>1.5005309000051065E-2</v>
      </c>
      <c r="C453">
        <f t="shared" si="21"/>
        <v>2.251592981870135E-4</v>
      </c>
      <c r="D453">
        <f t="shared" si="22"/>
        <v>0</v>
      </c>
      <c r="E453">
        <f t="shared" si="23"/>
        <v>0</v>
      </c>
      <c r="F453">
        <v>452</v>
      </c>
    </row>
    <row r="454" spans="1:6" x14ac:dyDescent="0.25">
      <c r="A454" s="1">
        <v>45357.705555555556</v>
      </c>
      <c r="B454">
        <v>6.0556435238449127E-2</v>
      </c>
      <c r="C454">
        <f t="shared" si="21"/>
        <v>3.6670818487884831E-3</v>
      </c>
      <c r="D454">
        <f t="shared" si="22"/>
        <v>0</v>
      </c>
      <c r="E454">
        <f t="shared" si="23"/>
        <v>0</v>
      </c>
      <c r="F454">
        <v>453</v>
      </c>
    </row>
    <row r="455" spans="1:6" x14ac:dyDescent="0.25">
      <c r="A455" s="1">
        <v>45356.705555555556</v>
      </c>
      <c r="B455">
        <v>-4.7693512790683866E-2</v>
      </c>
      <c r="C455">
        <f t="shared" si="21"/>
        <v>2.2746711623151256E-3</v>
      </c>
      <c r="D455">
        <f t="shared" si="22"/>
        <v>0</v>
      </c>
      <c r="E455">
        <f t="shared" si="23"/>
        <v>0</v>
      </c>
      <c r="F455">
        <v>454</v>
      </c>
    </row>
    <row r="456" spans="1:6" x14ac:dyDescent="0.25">
      <c r="A456" s="1">
        <v>45355.705555555556</v>
      </c>
      <c r="B456">
        <v>5.5006159636970552E-2</v>
      </c>
      <c r="C456">
        <f t="shared" si="21"/>
        <v>3.0256775980078885E-3</v>
      </c>
      <c r="D456">
        <f t="shared" si="22"/>
        <v>0</v>
      </c>
      <c r="E456">
        <f t="shared" si="23"/>
        <v>0</v>
      </c>
      <c r="F456">
        <v>455</v>
      </c>
    </row>
    <row r="457" spans="1:6" x14ac:dyDescent="0.25">
      <c r="A457" s="1">
        <v>45352.705555555556</v>
      </c>
      <c r="B457">
        <v>2.1071154639472449E-2</v>
      </c>
      <c r="C457">
        <f t="shared" si="21"/>
        <v>4.4399355784056129E-4</v>
      </c>
      <c r="D457">
        <f t="shared" si="22"/>
        <v>0</v>
      </c>
      <c r="E457">
        <f t="shared" si="23"/>
        <v>0</v>
      </c>
      <c r="F457">
        <v>456</v>
      </c>
    </row>
    <row r="458" spans="1:6" x14ac:dyDescent="0.25">
      <c r="A458" s="1">
        <v>45351.705555555556</v>
      </c>
      <c r="B458">
        <v>2.0133175958848688E-2</v>
      </c>
      <c r="C458">
        <f t="shared" si="21"/>
        <v>4.0534477418996276E-4</v>
      </c>
      <c r="D458">
        <f t="shared" si="22"/>
        <v>0</v>
      </c>
      <c r="E458">
        <f t="shared" si="23"/>
        <v>0</v>
      </c>
      <c r="F458">
        <v>457</v>
      </c>
    </row>
    <row r="459" spans="1:6" x14ac:dyDescent="0.25">
      <c r="A459" s="1">
        <v>45350.705555555556</v>
      </c>
      <c r="B459">
        <v>4.4609795378773673E-2</v>
      </c>
      <c r="C459">
        <f t="shared" si="21"/>
        <v>1.9900338437360571E-3</v>
      </c>
      <c r="D459">
        <f t="shared" si="22"/>
        <v>0</v>
      </c>
      <c r="E459">
        <f t="shared" si="23"/>
        <v>0</v>
      </c>
      <c r="F459">
        <v>458</v>
      </c>
    </row>
    <row r="460" spans="1:6" x14ac:dyDescent="0.25">
      <c r="A460" s="1">
        <v>45349.705555555556</v>
      </c>
      <c r="B460">
        <v>1.5015847050827863E-2</v>
      </c>
      <c r="C460">
        <f t="shared" si="21"/>
        <v>2.2547566265385585E-4</v>
      </c>
      <c r="D460">
        <f t="shared" si="22"/>
        <v>0</v>
      </c>
      <c r="E460">
        <f t="shared" si="23"/>
        <v>0</v>
      </c>
      <c r="F460">
        <v>459</v>
      </c>
    </row>
    <row r="461" spans="1:6" x14ac:dyDescent="0.25">
      <c r="A461" s="1">
        <v>45348.705555555556</v>
      </c>
      <c r="B461">
        <v>4.3169458606462874E-2</v>
      </c>
      <c r="C461">
        <f t="shared" si="21"/>
        <v>1.8636021563751114E-3</v>
      </c>
      <c r="D461">
        <f t="shared" si="22"/>
        <v>0</v>
      </c>
      <c r="E461">
        <f t="shared" si="23"/>
        <v>0</v>
      </c>
      <c r="F461">
        <v>460</v>
      </c>
    </row>
    <row r="462" spans="1:6" x14ac:dyDescent="0.25">
      <c r="A462" s="1">
        <v>45345.705555555556</v>
      </c>
      <c r="B462">
        <v>3.0870176936591432E-3</v>
      </c>
      <c r="C462">
        <f t="shared" si="21"/>
        <v>9.5296782409646149E-6</v>
      </c>
      <c r="D462">
        <f t="shared" si="22"/>
        <v>0</v>
      </c>
      <c r="E462">
        <f t="shared" si="23"/>
        <v>0</v>
      </c>
      <c r="F462">
        <v>461</v>
      </c>
    </row>
    <row r="463" spans="1:6" x14ac:dyDescent="0.25">
      <c r="A463" s="1">
        <v>45344.705555555556</v>
      </c>
      <c r="B463">
        <v>1.224862207619902E-2</v>
      </c>
      <c r="C463">
        <f t="shared" si="21"/>
        <v>1.5002874276554999E-4</v>
      </c>
      <c r="D463">
        <f t="shared" si="22"/>
        <v>0</v>
      </c>
      <c r="E463">
        <f t="shared" si="23"/>
        <v>0</v>
      </c>
      <c r="F463">
        <v>462</v>
      </c>
    </row>
    <row r="464" spans="1:6" x14ac:dyDescent="0.25">
      <c r="A464" s="1">
        <v>45343.705555555556</v>
      </c>
      <c r="B464">
        <v>-4.8785344098969874E-3</v>
      </c>
      <c r="C464">
        <f t="shared" si="21"/>
        <v>2.3800097988548945E-5</v>
      </c>
      <c r="D464">
        <f t="shared" si="22"/>
        <v>0</v>
      </c>
      <c r="E464">
        <f t="shared" si="23"/>
        <v>0</v>
      </c>
      <c r="F464">
        <v>463</v>
      </c>
    </row>
    <row r="465" spans="1:6" x14ac:dyDescent="0.25">
      <c r="A465" s="1">
        <v>45342.705555555556</v>
      </c>
      <c r="B465">
        <v>-3.1098178609565274E-3</v>
      </c>
      <c r="C465">
        <f t="shared" si="21"/>
        <v>9.6709671283242319E-6</v>
      </c>
      <c r="D465">
        <f t="shared" si="22"/>
        <v>0</v>
      </c>
      <c r="E465">
        <f t="shared" si="23"/>
        <v>0</v>
      </c>
      <c r="F465">
        <v>464</v>
      </c>
    </row>
    <row r="466" spans="1:6" x14ac:dyDescent="0.25">
      <c r="A466" s="1">
        <v>45341.705555555556</v>
      </c>
      <c r="B466">
        <v>9.7504672642527313E-3</v>
      </c>
      <c r="C466">
        <f t="shared" si="21"/>
        <v>9.5071611871264144E-5</v>
      </c>
      <c r="D466">
        <f t="shared" si="22"/>
        <v>0</v>
      </c>
      <c r="E466">
        <f t="shared" si="23"/>
        <v>0</v>
      </c>
      <c r="F466">
        <v>465</v>
      </c>
    </row>
    <row r="467" spans="1:6" x14ac:dyDescent="0.25">
      <c r="A467" s="1">
        <v>45338.705555555556</v>
      </c>
      <c r="B467">
        <v>-1.9577140160276529E-3</v>
      </c>
      <c r="C467">
        <f t="shared" si="21"/>
        <v>3.8326441685511208E-6</v>
      </c>
      <c r="D467">
        <f t="shared" si="22"/>
        <v>0</v>
      </c>
      <c r="E467">
        <f t="shared" si="23"/>
        <v>0</v>
      </c>
      <c r="F467">
        <v>466</v>
      </c>
    </row>
    <row r="468" spans="1:6" x14ac:dyDescent="0.25">
      <c r="A468" s="1">
        <v>45337.705555555556</v>
      </c>
      <c r="B468">
        <v>1.3586897995189015E-2</v>
      </c>
      <c r="C468">
        <f t="shared" si="21"/>
        <v>1.8460379713167128E-4</v>
      </c>
      <c r="D468">
        <f t="shared" si="22"/>
        <v>0</v>
      </c>
      <c r="E468">
        <f t="shared" si="23"/>
        <v>0</v>
      </c>
      <c r="F468">
        <v>467</v>
      </c>
    </row>
    <row r="469" spans="1:6" x14ac:dyDescent="0.25">
      <c r="A469" s="1">
        <v>45336.705555555556</v>
      </c>
      <c r="B469">
        <v>7.063690938666016E-2</v>
      </c>
      <c r="C469">
        <f t="shared" si="21"/>
        <v>4.9895729676992379E-3</v>
      </c>
      <c r="D469">
        <f t="shared" si="22"/>
        <v>0</v>
      </c>
      <c r="E469">
        <f t="shared" si="23"/>
        <v>0</v>
      </c>
      <c r="F469">
        <v>468</v>
      </c>
    </row>
    <row r="470" spans="1:6" x14ac:dyDescent="0.25">
      <c r="A470" s="1">
        <v>45331.705555555556</v>
      </c>
      <c r="B470">
        <v>1.7600797783709397E-2</v>
      </c>
      <c r="C470">
        <f t="shared" si="21"/>
        <v>3.0978808262302964E-4</v>
      </c>
      <c r="D470">
        <f t="shared" si="22"/>
        <v>0</v>
      </c>
      <c r="E470">
        <f t="shared" si="23"/>
        <v>0</v>
      </c>
      <c r="F470">
        <v>469</v>
      </c>
    </row>
    <row r="471" spans="1:6" x14ac:dyDescent="0.25">
      <c r="A471" s="1">
        <v>45330.705555555556</v>
      </c>
      <c r="B471">
        <v>1.8798367766543783E-2</v>
      </c>
      <c r="C471">
        <f t="shared" si="21"/>
        <v>3.533786306862323E-4</v>
      </c>
      <c r="D471">
        <f t="shared" si="22"/>
        <v>0</v>
      </c>
      <c r="E471">
        <f t="shared" si="23"/>
        <v>0</v>
      </c>
      <c r="F471">
        <v>470</v>
      </c>
    </row>
    <row r="472" spans="1:6" x14ac:dyDescent="0.25">
      <c r="A472" s="1">
        <v>45329.705555555556</v>
      </c>
      <c r="B472">
        <v>1.8483991341855008E-2</v>
      </c>
      <c r="C472">
        <f t="shared" si="21"/>
        <v>3.416579359257709E-4</v>
      </c>
      <c r="D472">
        <f t="shared" si="22"/>
        <v>0</v>
      </c>
      <c r="E472">
        <f t="shared" si="23"/>
        <v>0</v>
      </c>
      <c r="F472">
        <v>471</v>
      </c>
    </row>
    <row r="473" spans="1:6" x14ac:dyDescent="0.25">
      <c r="A473" s="1">
        <v>45328.705555555556</v>
      </c>
      <c r="B473">
        <v>8.8046623651501406E-3</v>
      </c>
      <c r="C473">
        <f t="shared" si="21"/>
        <v>7.7522079364291269E-5</v>
      </c>
      <c r="D473">
        <f t="shared" si="22"/>
        <v>0</v>
      </c>
      <c r="E473">
        <f t="shared" si="23"/>
        <v>0</v>
      </c>
      <c r="F473">
        <v>472</v>
      </c>
    </row>
    <row r="474" spans="1:6" x14ac:dyDescent="0.25">
      <c r="A474" s="1">
        <v>45327.705555555556</v>
      </c>
      <c r="B474">
        <v>-1.1331445971686203E-3</v>
      </c>
      <c r="C474">
        <f t="shared" si="21"/>
        <v>1.2840166780924349E-6</v>
      </c>
      <c r="D474">
        <f t="shared" si="22"/>
        <v>0</v>
      </c>
      <c r="E474">
        <f t="shared" si="23"/>
        <v>0</v>
      </c>
      <c r="F474">
        <v>473</v>
      </c>
    </row>
    <row r="475" spans="1:6" x14ac:dyDescent="0.25">
      <c r="A475" s="1">
        <v>45324.705555555556</v>
      </c>
      <c r="B475">
        <v>4.9954690622806908E-3</v>
      </c>
      <c r="C475">
        <f t="shared" si="21"/>
        <v>2.4954711152203523E-5</v>
      </c>
      <c r="D475">
        <f t="shared" si="22"/>
        <v>0</v>
      </c>
      <c r="E475">
        <f t="shared" si="23"/>
        <v>0</v>
      </c>
      <c r="F475">
        <v>474</v>
      </c>
    </row>
    <row r="476" spans="1:6" x14ac:dyDescent="0.25">
      <c r="A476" s="1">
        <v>45323.705555555556</v>
      </c>
      <c r="B476">
        <v>-2.2760896877586966E-4</v>
      </c>
      <c r="C476">
        <f t="shared" si="21"/>
        <v>5.1805842667214811E-8</v>
      </c>
      <c r="D476">
        <f t="shared" si="22"/>
        <v>0</v>
      </c>
      <c r="E476">
        <f t="shared" si="23"/>
        <v>0</v>
      </c>
      <c r="F476">
        <v>475</v>
      </c>
    </row>
    <row r="477" spans="1:6" x14ac:dyDescent="0.25">
      <c r="A477" s="1">
        <v>45322.705555555556</v>
      </c>
      <c r="B477">
        <v>-1.7819350488292609E-2</v>
      </c>
      <c r="C477">
        <f t="shared" si="21"/>
        <v>3.1752925182461405E-4</v>
      </c>
      <c r="D477">
        <f t="shared" si="22"/>
        <v>0</v>
      </c>
      <c r="E477">
        <f t="shared" si="23"/>
        <v>0</v>
      </c>
      <c r="F477">
        <v>476</v>
      </c>
    </row>
    <row r="478" spans="1:6" x14ac:dyDescent="0.25">
      <c r="A478" s="1">
        <v>45321.705555555556</v>
      </c>
      <c r="B478">
        <v>1.7591793313570518E-2</v>
      </c>
      <c r="C478">
        <f t="shared" si="21"/>
        <v>3.094711919873844E-4</v>
      </c>
      <c r="D478">
        <f t="shared" si="22"/>
        <v>0</v>
      </c>
      <c r="E478">
        <f t="shared" si="23"/>
        <v>0</v>
      </c>
      <c r="F478">
        <v>477</v>
      </c>
    </row>
    <row r="479" spans="1:6" x14ac:dyDescent="0.25">
      <c r="A479" s="1">
        <v>45320.705555555556</v>
      </c>
      <c r="B479">
        <v>2.6514521543435046E-2</v>
      </c>
      <c r="C479">
        <f t="shared" si="21"/>
        <v>7.0301985267728114E-4</v>
      </c>
      <c r="D479">
        <f t="shared" si="22"/>
        <v>0</v>
      </c>
      <c r="E479">
        <f t="shared" si="23"/>
        <v>0</v>
      </c>
      <c r="F479">
        <v>478</v>
      </c>
    </row>
    <row r="480" spans="1:6" x14ac:dyDescent="0.25">
      <c r="A480" s="1">
        <v>45317.705555555556</v>
      </c>
      <c r="B480">
        <v>2.1968522556699205E-2</v>
      </c>
      <c r="C480">
        <f t="shared" si="21"/>
        <v>4.8261598332420178E-4</v>
      </c>
      <c r="D480">
        <f t="shared" si="22"/>
        <v>0</v>
      </c>
      <c r="E480">
        <f t="shared" si="23"/>
        <v>0</v>
      </c>
      <c r="F480">
        <v>479</v>
      </c>
    </row>
    <row r="481" spans="1:6" x14ac:dyDescent="0.25">
      <c r="A481" s="1">
        <v>45316.705555555556</v>
      </c>
      <c r="B481">
        <v>-3.3381051502388739E-3</v>
      </c>
      <c r="C481">
        <f t="shared" si="21"/>
        <v>1.1142945994051295E-5</v>
      </c>
      <c r="D481">
        <f t="shared" si="22"/>
        <v>0</v>
      </c>
      <c r="E481">
        <f t="shared" si="23"/>
        <v>0</v>
      </c>
      <c r="F481">
        <v>480</v>
      </c>
    </row>
    <row r="482" spans="1:6" x14ac:dyDescent="0.25">
      <c r="A482" s="1">
        <v>45315.705555555556</v>
      </c>
      <c r="B482">
        <v>1.0288402751424026E-2</v>
      </c>
      <c r="C482">
        <f t="shared" si="21"/>
        <v>1.0585123117550947E-4</v>
      </c>
      <c r="D482">
        <f t="shared" si="22"/>
        <v>0</v>
      </c>
      <c r="E482">
        <f t="shared" si="23"/>
        <v>0</v>
      </c>
      <c r="F482">
        <v>481</v>
      </c>
    </row>
    <row r="483" spans="1:6" x14ac:dyDescent="0.25">
      <c r="A483" s="1">
        <v>45314.705555555556</v>
      </c>
      <c r="B483">
        <v>-3.613570632917644E-2</v>
      </c>
      <c r="C483">
        <f t="shared" si="21"/>
        <v>1.3057892719084822E-3</v>
      </c>
      <c r="D483">
        <f t="shared" si="22"/>
        <v>0</v>
      </c>
      <c r="E483">
        <f t="shared" si="23"/>
        <v>0</v>
      </c>
      <c r="F483">
        <v>482</v>
      </c>
    </row>
    <row r="484" spans="1:6" x14ac:dyDescent="0.25">
      <c r="A484" s="1">
        <v>45313.705555555556</v>
      </c>
      <c r="B484">
        <v>-2.0661892063956744E-2</v>
      </c>
      <c r="C484">
        <f t="shared" si="21"/>
        <v>4.2691378366259869E-4</v>
      </c>
      <c r="D484">
        <f t="shared" si="22"/>
        <v>0</v>
      </c>
      <c r="E484">
        <f t="shared" si="23"/>
        <v>0</v>
      </c>
      <c r="F484">
        <v>483</v>
      </c>
    </row>
    <row r="485" spans="1:6" x14ac:dyDescent="0.25">
      <c r="A485" s="1">
        <v>45310.705555555556</v>
      </c>
      <c r="B485">
        <v>-3.4025211458397482E-3</v>
      </c>
      <c r="C485">
        <f t="shared" si="21"/>
        <v>1.1577150147886633E-5</v>
      </c>
      <c r="D485">
        <f t="shared" si="22"/>
        <v>0</v>
      </c>
      <c r="E485">
        <f t="shared" si="23"/>
        <v>0</v>
      </c>
      <c r="F485">
        <v>484</v>
      </c>
    </row>
    <row r="486" spans="1:6" x14ac:dyDescent="0.25">
      <c r="A486" s="1">
        <v>45309.705555555556</v>
      </c>
      <c r="B486">
        <v>-1.8620840884240968E-2</v>
      </c>
      <c r="C486">
        <f t="shared" si="21"/>
        <v>3.4673571523621995E-4</v>
      </c>
      <c r="D486">
        <f t="shared" si="22"/>
        <v>0</v>
      </c>
      <c r="E486">
        <f t="shared" si="23"/>
        <v>0</v>
      </c>
      <c r="F486">
        <v>485</v>
      </c>
    </row>
    <row r="487" spans="1:6" x14ac:dyDescent="0.25">
      <c r="A487" s="1">
        <v>45308.705555555556</v>
      </c>
      <c r="B487">
        <v>-9.7324369182311115E-3</v>
      </c>
      <c r="C487">
        <f t="shared" si="21"/>
        <v>9.4720328367347894E-5</v>
      </c>
      <c r="D487">
        <f t="shared" si="22"/>
        <v>0</v>
      </c>
      <c r="E487">
        <f t="shared" si="23"/>
        <v>0</v>
      </c>
      <c r="F487">
        <v>486</v>
      </c>
    </row>
    <row r="488" spans="1:6" x14ac:dyDescent="0.25">
      <c r="A488" s="1">
        <v>45307.705555555556</v>
      </c>
      <c r="B488">
        <v>3.9700096253768736E-3</v>
      </c>
      <c r="C488">
        <f t="shared" si="21"/>
        <v>1.5760976425585024E-5</v>
      </c>
      <c r="D488">
        <f t="shared" si="22"/>
        <v>0</v>
      </c>
      <c r="E488">
        <f t="shared" si="23"/>
        <v>0</v>
      </c>
      <c r="F488">
        <v>487</v>
      </c>
    </row>
  </sheetData>
  <sortState xmlns:xlrd2="http://schemas.microsoft.com/office/spreadsheetml/2017/richdata2" ref="A2:B490">
    <sortCondition descending="1" ref="A2:A4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EFF4-6BC3-4527-B604-55BD9B2A2803}">
  <dimension ref="A1:F1001"/>
  <sheetViews>
    <sheetView tabSelected="1" workbookViewId="0">
      <selection activeCell="A8" sqref="A8:B8"/>
    </sheetView>
  </sheetViews>
  <sheetFormatPr defaultRowHeight="15" x14ac:dyDescent="0.25"/>
  <cols>
    <col min="1" max="1" width="21" bestFit="1" customWidth="1"/>
    <col min="5" max="5" width="10.42578125" bestFit="1" customWidth="1"/>
    <col min="6" max="6" width="9.140625" style="3"/>
  </cols>
  <sheetData>
    <row r="1" spans="1:6" x14ac:dyDescent="0.25">
      <c r="A1" t="s">
        <v>18</v>
      </c>
      <c r="B1" s="7">
        <f>AVERAGE('EWMA Paramétrico'!B2:B488)</f>
        <v>1.4237539027092459E-3</v>
      </c>
      <c r="E1" t="s">
        <v>20</v>
      </c>
      <c r="F1" s="3">
        <f ca="1">B5</f>
        <v>-1.0182281827594118E-2</v>
      </c>
    </row>
    <row r="2" spans="1:6" x14ac:dyDescent="0.25">
      <c r="A2" t="s">
        <v>19</v>
      </c>
      <c r="B2" s="7">
        <f>'EWMA Paramétrico'!I6</f>
        <v>1.3537177746365189E-2</v>
      </c>
      <c r="E2">
        <v>1</v>
      </c>
      <c r="F2" s="3">
        <f t="dataTable" ref="F2:F1001" dt2D="0" dtr="0" r1="L4" ca="1"/>
        <v>1.4734334883358471E-2</v>
      </c>
    </row>
    <row r="3" spans="1:6" x14ac:dyDescent="0.25">
      <c r="A3" t="s">
        <v>14</v>
      </c>
      <c r="B3" s="13">
        <f ca="1">_xlfn.NORM.S.INV(RAND())</f>
        <v>-0.85734530104841478</v>
      </c>
      <c r="E3">
        <v>2</v>
      </c>
      <c r="F3" s="3">
        <v>-8.7028405589711921E-3</v>
      </c>
    </row>
    <row r="4" spans="1:6" x14ac:dyDescent="0.25">
      <c r="E4">
        <v>3</v>
      </c>
      <c r="F4" s="3">
        <v>-1.511507549685394E-2</v>
      </c>
    </row>
    <row r="5" spans="1:6" x14ac:dyDescent="0.25">
      <c r="A5" t="s">
        <v>15</v>
      </c>
      <c r="B5" s="7">
        <f ca="1">B1+B3*B2</f>
        <v>-1.0182281827594118E-2</v>
      </c>
      <c r="E5">
        <v>4</v>
      </c>
      <c r="F5" s="3">
        <v>1.6299000526548361E-2</v>
      </c>
    </row>
    <row r="6" spans="1:6" x14ac:dyDescent="0.25">
      <c r="E6">
        <v>5</v>
      </c>
      <c r="F6" s="3">
        <v>2.6604008301860573E-3</v>
      </c>
    </row>
    <row r="7" spans="1:6" x14ac:dyDescent="0.25">
      <c r="A7" t="s">
        <v>16</v>
      </c>
      <c r="B7" s="14">
        <v>0.95</v>
      </c>
      <c r="E7">
        <v>6</v>
      </c>
      <c r="F7" s="3">
        <v>2.8164413605602091E-3</v>
      </c>
    </row>
    <row r="8" spans="1:6" x14ac:dyDescent="0.25">
      <c r="A8" s="10" t="s">
        <v>17</v>
      </c>
      <c r="B8" s="12">
        <f ca="1">_xlfn.PERCENTILE.INC(F1:F1001,(1-B7))</f>
        <v>-2.1121335837137829E-2</v>
      </c>
      <c r="E8">
        <v>7</v>
      </c>
      <c r="F8" s="3">
        <v>2.1890308836409342E-2</v>
      </c>
    </row>
    <row r="9" spans="1:6" x14ac:dyDescent="0.25">
      <c r="E9">
        <v>8</v>
      </c>
      <c r="F9" s="3">
        <v>4.574489616835686E-3</v>
      </c>
    </row>
    <row r="10" spans="1:6" x14ac:dyDescent="0.25">
      <c r="E10">
        <v>9</v>
      </c>
      <c r="F10" s="3">
        <v>1.3549738817723426E-2</v>
      </c>
    </row>
    <row r="11" spans="1:6" x14ac:dyDescent="0.25">
      <c r="E11">
        <v>10</v>
      </c>
      <c r="F11" s="3">
        <v>1.1379385291485812E-2</v>
      </c>
    </row>
    <row r="12" spans="1:6" x14ac:dyDescent="0.25">
      <c r="E12">
        <v>11</v>
      </c>
      <c r="F12" s="3">
        <v>1.1653130773533324E-2</v>
      </c>
    </row>
    <row r="13" spans="1:6" x14ac:dyDescent="0.25">
      <c r="E13">
        <v>12</v>
      </c>
      <c r="F13" s="3">
        <v>-1.7436674512078369E-3</v>
      </c>
    </row>
    <row r="14" spans="1:6" x14ac:dyDescent="0.25">
      <c r="E14">
        <v>13</v>
      </c>
      <c r="F14" s="3">
        <v>-1.003174003315103E-2</v>
      </c>
    </row>
    <row r="15" spans="1:6" x14ac:dyDescent="0.25">
      <c r="E15">
        <v>14</v>
      </c>
      <c r="F15" s="3">
        <v>-2.636554248886736E-3</v>
      </c>
    </row>
    <row r="16" spans="1:6" x14ac:dyDescent="0.25">
      <c r="E16">
        <v>15</v>
      </c>
      <c r="F16" s="3">
        <v>1.596562567643971E-3</v>
      </c>
    </row>
    <row r="17" spans="5:6" x14ac:dyDescent="0.25">
      <c r="E17">
        <v>16</v>
      </c>
      <c r="F17" s="3">
        <v>-1.7935361282557058E-3</v>
      </c>
    </row>
    <row r="18" spans="5:6" x14ac:dyDescent="0.25">
      <c r="E18">
        <v>17</v>
      </c>
      <c r="F18" s="3">
        <v>-2.1047929713821148E-2</v>
      </c>
    </row>
    <row r="19" spans="5:6" x14ac:dyDescent="0.25">
      <c r="E19">
        <v>18</v>
      </c>
      <c r="F19" s="3">
        <v>3.7815509248905702E-3</v>
      </c>
    </row>
    <row r="20" spans="5:6" x14ac:dyDescent="0.25">
      <c r="E20">
        <v>19</v>
      </c>
      <c r="F20" s="3">
        <v>5.4390432705885665E-3</v>
      </c>
    </row>
    <row r="21" spans="5:6" x14ac:dyDescent="0.25">
      <c r="E21">
        <v>20</v>
      </c>
      <c r="F21" s="3">
        <v>1.6293875620465737E-2</v>
      </c>
    </row>
    <row r="22" spans="5:6" x14ac:dyDescent="0.25">
      <c r="E22">
        <v>21</v>
      </c>
      <c r="F22" s="3">
        <v>-7.8378309381909872E-3</v>
      </c>
    </row>
    <row r="23" spans="5:6" x14ac:dyDescent="0.25">
      <c r="E23">
        <v>22</v>
      </c>
      <c r="F23" s="3">
        <v>-2.4035114646029584E-2</v>
      </c>
    </row>
    <row r="24" spans="5:6" x14ac:dyDescent="0.25">
      <c r="E24">
        <v>23</v>
      </c>
      <c r="F24" s="3">
        <v>-1.2665808407010299E-2</v>
      </c>
    </row>
    <row r="25" spans="5:6" x14ac:dyDescent="0.25">
      <c r="E25">
        <v>24</v>
      </c>
      <c r="F25" s="3">
        <v>-6.2056260514525763E-3</v>
      </c>
    </row>
    <row r="26" spans="5:6" x14ac:dyDescent="0.25">
      <c r="E26">
        <v>25</v>
      </c>
      <c r="F26" s="3">
        <v>6.792014756297626E-3</v>
      </c>
    </row>
    <row r="27" spans="5:6" x14ac:dyDescent="0.25">
      <c r="E27">
        <v>26</v>
      </c>
      <c r="F27" s="3">
        <v>1.0456487665220931E-2</v>
      </c>
    </row>
    <row r="28" spans="5:6" x14ac:dyDescent="0.25">
      <c r="E28">
        <v>27</v>
      </c>
      <c r="F28" s="3">
        <v>1.9008930747159872E-2</v>
      </c>
    </row>
    <row r="29" spans="5:6" x14ac:dyDescent="0.25">
      <c r="E29">
        <v>28</v>
      </c>
      <c r="F29" s="3">
        <v>-8.5532165473110409E-3</v>
      </c>
    </row>
    <row r="30" spans="5:6" x14ac:dyDescent="0.25">
      <c r="E30">
        <v>29</v>
      </c>
      <c r="F30" s="3">
        <v>1.333697028840364E-2</v>
      </c>
    </row>
    <row r="31" spans="5:6" x14ac:dyDescent="0.25">
      <c r="E31">
        <v>30</v>
      </c>
      <c r="F31" s="3">
        <v>2.278693653868717E-3</v>
      </c>
    </row>
    <row r="32" spans="5:6" x14ac:dyDescent="0.25">
      <c r="E32">
        <v>31</v>
      </c>
      <c r="F32" s="3">
        <v>-1.1678839244739407E-2</v>
      </c>
    </row>
    <row r="33" spans="5:6" x14ac:dyDescent="0.25">
      <c r="E33">
        <v>32</v>
      </c>
      <c r="F33" s="3">
        <v>3.1834090162306278E-3</v>
      </c>
    </row>
    <row r="34" spans="5:6" x14ac:dyDescent="0.25">
      <c r="E34">
        <v>33</v>
      </c>
      <c r="F34" s="3">
        <v>-2.1121335837137833E-2</v>
      </c>
    </row>
    <row r="35" spans="5:6" x14ac:dyDescent="0.25">
      <c r="E35">
        <v>34</v>
      </c>
      <c r="F35" s="3">
        <v>-6.8525738165916231E-3</v>
      </c>
    </row>
    <row r="36" spans="5:6" x14ac:dyDescent="0.25">
      <c r="E36">
        <v>35</v>
      </c>
      <c r="F36" s="3">
        <v>5.2796054704134891E-3</v>
      </c>
    </row>
    <row r="37" spans="5:6" x14ac:dyDescent="0.25">
      <c r="E37">
        <v>36</v>
      </c>
      <c r="F37" s="3">
        <v>-9.3799999359781023E-3</v>
      </c>
    </row>
    <row r="38" spans="5:6" x14ac:dyDescent="0.25">
      <c r="E38">
        <v>37</v>
      </c>
      <c r="F38" s="3">
        <v>3.8975157035804281E-3</v>
      </c>
    </row>
    <row r="39" spans="5:6" x14ac:dyDescent="0.25">
      <c r="E39">
        <v>38</v>
      </c>
      <c r="F39" s="3">
        <v>-6.673136480006019E-3</v>
      </c>
    </row>
    <row r="40" spans="5:6" x14ac:dyDescent="0.25">
      <c r="E40">
        <v>39</v>
      </c>
      <c r="F40" s="3">
        <v>1.4233429092181735E-2</v>
      </c>
    </row>
    <row r="41" spans="5:6" x14ac:dyDescent="0.25">
      <c r="E41">
        <v>40</v>
      </c>
      <c r="F41" s="3">
        <v>-1.5708082045362875E-2</v>
      </c>
    </row>
    <row r="42" spans="5:6" x14ac:dyDescent="0.25">
      <c r="E42">
        <v>41</v>
      </c>
      <c r="F42" s="3">
        <v>-7.7940804917344259E-3</v>
      </c>
    </row>
    <row r="43" spans="5:6" x14ac:dyDescent="0.25">
      <c r="E43">
        <v>42</v>
      </c>
      <c r="F43" s="3">
        <v>7.526445028449489E-3</v>
      </c>
    </row>
    <row r="44" spans="5:6" x14ac:dyDescent="0.25">
      <c r="E44">
        <v>43</v>
      </c>
      <c r="F44" s="3">
        <v>-1.4531977827035499E-2</v>
      </c>
    </row>
    <row r="45" spans="5:6" x14ac:dyDescent="0.25">
      <c r="E45">
        <v>44</v>
      </c>
      <c r="F45" s="3">
        <v>-1.3295114061185047E-2</v>
      </c>
    </row>
    <row r="46" spans="5:6" x14ac:dyDescent="0.25">
      <c r="E46">
        <v>45</v>
      </c>
      <c r="F46" s="3">
        <v>7.8512877422284161E-3</v>
      </c>
    </row>
    <row r="47" spans="5:6" x14ac:dyDescent="0.25">
      <c r="E47">
        <v>46</v>
      </c>
      <c r="F47" s="3">
        <v>4.3289004404620645E-3</v>
      </c>
    </row>
    <row r="48" spans="5:6" x14ac:dyDescent="0.25">
      <c r="E48">
        <v>47</v>
      </c>
      <c r="F48" s="3">
        <v>1.4437922067006019E-2</v>
      </c>
    </row>
    <row r="49" spans="5:6" x14ac:dyDescent="0.25">
      <c r="E49">
        <v>48</v>
      </c>
      <c r="F49" s="3">
        <v>3.7512834295635421E-3</v>
      </c>
    </row>
    <row r="50" spans="5:6" x14ac:dyDescent="0.25">
      <c r="E50">
        <v>49</v>
      </c>
      <c r="F50" s="3">
        <v>-8.6861635961740982E-3</v>
      </c>
    </row>
    <row r="51" spans="5:6" x14ac:dyDescent="0.25">
      <c r="E51">
        <v>50</v>
      </c>
      <c r="F51" s="3">
        <v>1.0705956012980496E-2</v>
      </c>
    </row>
    <row r="52" spans="5:6" x14ac:dyDescent="0.25">
      <c r="E52">
        <v>51</v>
      </c>
      <c r="F52" s="3">
        <v>1.8599727075844764E-2</v>
      </c>
    </row>
    <row r="53" spans="5:6" x14ac:dyDescent="0.25">
      <c r="E53">
        <v>52</v>
      </c>
      <c r="F53" s="3">
        <v>1.0811636840303203E-2</v>
      </c>
    </row>
    <row r="54" spans="5:6" x14ac:dyDescent="0.25">
      <c r="E54">
        <v>53</v>
      </c>
      <c r="F54" s="3">
        <v>-9.0516337470121899E-3</v>
      </c>
    </row>
    <row r="55" spans="5:6" x14ac:dyDescent="0.25">
      <c r="E55">
        <v>54</v>
      </c>
      <c r="F55" s="3">
        <v>-1.6040315248059486E-2</v>
      </c>
    </row>
    <row r="56" spans="5:6" x14ac:dyDescent="0.25">
      <c r="E56">
        <v>55</v>
      </c>
      <c r="F56" s="3">
        <v>-2.026657709207097E-2</v>
      </c>
    </row>
    <row r="57" spans="5:6" x14ac:dyDescent="0.25">
      <c r="E57">
        <v>56</v>
      </c>
      <c r="F57" s="3">
        <v>7.3163036363901764E-3</v>
      </c>
    </row>
    <row r="58" spans="5:6" x14ac:dyDescent="0.25">
      <c r="E58">
        <v>57</v>
      </c>
      <c r="F58" s="3">
        <v>1.658135638802663E-2</v>
      </c>
    </row>
    <row r="59" spans="5:6" x14ac:dyDescent="0.25">
      <c r="E59">
        <v>58</v>
      </c>
      <c r="F59" s="3">
        <v>9.158488308011652E-3</v>
      </c>
    </row>
    <row r="60" spans="5:6" x14ac:dyDescent="0.25">
      <c r="E60">
        <v>59</v>
      </c>
      <c r="F60" s="3">
        <v>1.4080817705425755E-3</v>
      </c>
    </row>
    <row r="61" spans="5:6" x14ac:dyDescent="0.25">
      <c r="E61">
        <v>60</v>
      </c>
      <c r="F61" s="3">
        <v>4.7683088593871471E-3</v>
      </c>
    </row>
    <row r="62" spans="5:6" x14ac:dyDescent="0.25">
      <c r="E62">
        <v>61</v>
      </c>
      <c r="F62" s="3">
        <v>2.7988640019543428E-3</v>
      </c>
    </row>
    <row r="63" spans="5:6" x14ac:dyDescent="0.25">
      <c r="E63">
        <v>62</v>
      </c>
      <c r="F63" s="3">
        <v>1.5189803792001449E-2</v>
      </c>
    </row>
    <row r="64" spans="5:6" x14ac:dyDescent="0.25">
      <c r="E64">
        <v>63</v>
      </c>
      <c r="F64" s="3">
        <v>-1.1409486344239798E-2</v>
      </c>
    </row>
    <row r="65" spans="5:6" x14ac:dyDescent="0.25">
      <c r="E65">
        <v>64</v>
      </c>
      <c r="F65" s="3">
        <v>-2.2665672600116499E-2</v>
      </c>
    </row>
    <row r="66" spans="5:6" x14ac:dyDescent="0.25">
      <c r="E66">
        <v>65</v>
      </c>
      <c r="F66" s="3">
        <v>5.2839765776369852E-3</v>
      </c>
    </row>
    <row r="67" spans="5:6" x14ac:dyDescent="0.25">
      <c r="E67">
        <v>66</v>
      </c>
      <c r="F67" s="3">
        <v>-1.1856331546671232E-3</v>
      </c>
    </row>
    <row r="68" spans="5:6" x14ac:dyDescent="0.25">
      <c r="E68">
        <v>67</v>
      </c>
      <c r="F68" s="3">
        <v>-2.8871751385721262E-2</v>
      </c>
    </row>
    <row r="69" spans="5:6" x14ac:dyDescent="0.25">
      <c r="E69">
        <v>68</v>
      </c>
      <c r="F69" s="3">
        <v>-6.1223404392580245E-3</v>
      </c>
    </row>
    <row r="70" spans="5:6" x14ac:dyDescent="0.25">
      <c r="E70">
        <v>69</v>
      </c>
      <c r="F70" s="3">
        <v>3.6405669714837463E-3</v>
      </c>
    </row>
    <row r="71" spans="5:6" x14ac:dyDescent="0.25">
      <c r="E71">
        <v>70</v>
      </c>
      <c r="F71" s="3">
        <v>-9.4811691864571065E-4</v>
      </c>
    </row>
    <row r="72" spans="5:6" x14ac:dyDescent="0.25">
      <c r="E72">
        <v>71</v>
      </c>
      <c r="F72" s="3">
        <v>-2.7612963781037295E-2</v>
      </c>
    </row>
    <row r="73" spans="5:6" x14ac:dyDescent="0.25">
      <c r="E73">
        <v>72</v>
      </c>
      <c r="F73" s="3">
        <v>-7.0738450036429146E-3</v>
      </c>
    </row>
    <row r="74" spans="5:6" x14ac:dyDescent="0.25">
      <c r="E74">
        <v>73</v>
      </c>
      <c r="F74" s="3">
        <v>-6.5803463981113034E-3</v>
      </c>
    </row>
    <row r="75" spans="5:6" x14ac:dyDescent="0.25">
      <c r="E75">
        <v>74</v>
      </c>
      <c r="F75" s="3">
        <v>-3.1382493240002876E-2</v>
      </c>
    </row>
    <row r="76" spans="5:6" x14ac:dyDescent="0.25">
      <c r="E76">
        <v>75</v>
      </c>
      <c r="F76" s="3">
        <v>3.7853590813083891E-4</v>
      </c>
    </row>
    <row r="77" spans="5:6" x14ac:dyDescent="0.25">
      <c r="E77">
        <v>76</v>
      </c>
      <c r="F77" s="3">
        <v>-3.9119962590556554E-3</v>
      </c>
    </row>
    <row r="78" spans="5:6" x14ac:dyDescent="0.25">
      <c r="E78">
        <v>77</v>
      </c>
      <c r="F78" s="3">
        <v>-2.3405891590257948E-3</v>
      </c>
    </row>
    <row r="79" spans="5:6" x14ac:dyDescent="0.25">
      <c r="E79">
        <v>78</v>
      </c>
      <c r="F79" s="3">
        <v>9.3647372295645459E-3</v>
      </c>
    </row>
    <row r="80" spans="5:6" x14ac:dyDescent="0.25">
      <c r="E80">
        <v>79</v>
      </c>
      <c r="F80" s="3">
        <v>-2.2923504248135527E-3</v>
      </c>
    </row>
    <row r="81" spans="5:6" x14ac:dyDescent="0.25">
      <c r="E81">
        <v>80</v>
      </c>
      <c r="F81" s="3">
        <v>-4.6046732446312078E-3</v>
      </c>
    </row>
    <row r="82" spans="5:6" x14ac:dyDescent="0.25">
      <c r="E82">
        <v>81</v>
      </c>
      <c r="F82" s="3">
        <v>1.3322227911067672E-2</v>
      </c>
    </row>
    <row r="83" spans="5:6" x14ac:dyDescent="0.25">
      <c r="E83">
        <v>82</v>
      </c>
      <c r="F83" s="3">
        <v>9.3741142165128643E-3</v>
      </c>
    </row>
    <row r="84" spans="5:6" x14ac:dyDescent="0.25">
      <c r="E84">
        <v>83</v>
      </c>
      <c r="F84" s="3">
        <v>-6.0683335595404183E-4</v>
      </c>
    </row>
    <row r="85" spans="5:6" x14ac:dyDescent="0.25">
      <c r="E85">
        <v>84</v>
      </c>
      <c r="F85" s="3">
        <v>-2.9156787670469034E-2</v>
      </c>
    </row>
    <row r="86" spans="5:6" x14ac:dyDescent="0.25">
      <c r="E86">
        <v>85</v>
      </c>
      <c r="F86" s="3">
        <v>-4.9640393632284724E-4</v>
      </c>
    </row>
    <row r="87" spans="5:6" x14ac:dyDescent="0.25">
      <c r="E87">
        <v>86</v>
      </c>
      <c r="F87" s="3">
        <v>-1.9767764096580475E-3</v>
      </c>
    </row>
    <row r="88" spans="5:6" x14ac:dyDescent="0.25">
      <c r="E88">
        <v>87</v>
      </c>
      <c r="F88" s="3">
        <v>-2.5302944666783494E-3</v>
      </c>
    </row>
    <row r="89" spans="5:6" x14ac:dyDescent="0.25">
      <c r="E89">
        <v>88</v>
      </c>
      <c r="F89" s="3">
        <v>-8.8322116117006601E-3</v>
      </c>
    </row>
    <row r="90" spans="5:6" x14ac:dyDescent="0.25">
      <c r="E90">
        <v>89</v>
      </c>
      <c r="F90" s="3">
        <v>-1.1298494137586667E-2</v>
      </c>
    </row>
    <row r="91" spans="5:6" x14ac:dyDescent="0.25">
      <c r="E91">
        <v>90</v>
      </c>
      <c r="F91" s="3">
        <v>-1.7729309491849959E-2</v>
      </c>
    </row>
    <row r="92" spans="5:6" x14ac:dyDescent="0.25">
      <c r="E92">
        <v>91</v>
      </c>
      <c r="F92" s="3">
        <v>6.2845122728783656E-3</v>
      </c>
    </row>
    <row r="93" spans="5:6" x14ac:dyDescent="0.25">
      <c r="E93">
        <v>92</v>
      </c>
      <c r="F93" s="3">
        <v>1.1072570033030813E-3</v>
      </c>
    </row>
    <row r="94" spans="5:6" x14ac:dyDescent="0.25">
      <c r="E94">
        <v>93</v>
      </c>
      <c r="F94" s="3">
        <v>2.7090204918307489E-2</v>
      </c>
    </row>
    <row r="95" spans="5:6" x14ac:dyDescent="0.25">
      <c r="E95">
        <v>94</v>
      </c>
      <c r="F95" s="3">
        <v>4.20564571619364E-3</v>
      </c>
    </row>
    <row r="96" spans="5:6" x14ac:dyDescent="0.25">
      <c r="E96">
        <v>95</v>
      </c>
      <c r="F96" s="3">
        <v>2.1407791740771009E-2</v>
      </c>
    </row>
    <row r="97" spans="5:6" x14ac:dyDescent="0.25">
      <c r="E97">
        <v>96</v>
      </c>
      <c r="F97" s="3">
        <v>1.7403210911498455E-2</v>
      </c>
    </row>
    <row r="98" spans="5:6" x14ac:dyDescent="0.25">
      <c r="E98">
        <v>97</v>
      </c>
      <c r="F98" s="3">
        <v>2.0083886655019954E-2</v>
      </c>
    </row>
    <row r="99" spans="5:6" x14ac:dyDescent="0.25">
      <c r="E99">
        <v>98</v>
      </c>
      <c r="F99" s="3">
        <v>-1.8066221208560811E-2</v>
      </c>
    </row>
    <row r="100" spans="5:6" x14ac:dyDescent="0.25">
      <c r="E100">
        <v>99</v>
      </c>
      <c r="F100" s="3">
        <v>-3.2310702806591226E-3</v>
      </c>
    </row>
    <row r="101" spans="5:6" x14ac:dyDescent="0.25">
      <c r="E101">
        <v>100</v>
      </c>
      <c r="F101" s="3">
        <v>1.2195780108864125E-3</v>
      </c>
    </row>
    <row r="102" spans="5:6" x14ac:dyDescent="0.25">
      <c r="E102">
        <v>101</v>
      </c>
      <c r="F102" s="3">
        <v>-1.8899416527473595E-2</v>
      </c>
    </row>
    <row r="103" spans="5:6" x14ac:dyDescent="0.25">
      <c r="E103">
        <v>102</v>
      </c>
      <c r="F103" s="3">
        <v>-4.8607819994405908E-3</v>
      </c>
    </row>
    <row r="104" spans="5:6" x14ac:dyDescent="0.25">
      <c r="E104">
        <v>103</v>
      </c>
      <c r="F104" s="3">
        <v>-1.4322010062578423E-2</v>
      </c>
    </row>
    <row r="105" spans="5:6" x14ac:dyDescent="0.25">
      <c r="E105">
        <v>104</v>
      </c>
      <c r="F105" s="3">
        <v>-8.5007406851255059E-4</v>
      </c>
    </row>
    <row r="106" spans="5:6" x14ac:dyDescent="0.25">
      <c r="E106">
        <v>105</v>
      </c>
      <c r="F106" s="3">
        <v>6.358000515505521E-3</v>
      </c>
    </row>
    <row r="107" spans="5:6" x14ac:dyDescent="0.25">
      <c r="E107">
        <v>106</v>
      </c>
      <c r="F107" s="3">
        <v>1.3592632667424187E-2</v>
      </c>
    </row>
    <row r="108" spans="5:6" x14ac:dyDescent="0.25">
      <c r="E108">
        <v>107</v>
      </c>
      <c r="F108" s="3">
        <v>1.0471483736756965E-2</v>
      </c>
    </row>
    <row r="109" spans="5:6" x14ac:dyDescent="0.25">
      <c r="E109">
        <v>108</v>
      </c>
      <c r="F109" s="3">
        <v>-2.6332015985118563E-2</v>
      </c>
    </row>
    <row r="110" spans="5:6" x14ac:dyDescent="0.25">
      <c r="E110">
        <v>109</v>
      </c>
      <c r="F110" s="3">
        <v>-2.1853224238352596E-2</v>
      </c>
    </row>
    <row r="111" spans="5:6" x14ac:dyDescent="0.25">
      <c r="E111">
        <v>110</v>
      </c>
      <c r="F111" s="3">
        <v>3.0073636745344638E-3</v>
      </c>
    </row>
    <row r="112" spans="5:6" x14ac:dyDescent="0.25">
      <c r="E112">
        <v>111</v>
      </c>
      <c r="F112" s="3">
        <v>1.7144684289810429E-2</v>
      </c>
    </row>
    <row r="113" spans="5:6" x14ac:dyDescent="0.25">
      <c r="E113">
        <v>112</v>
      </c>
      <c r="F113" s="3">
        <v>8.3178585527988805E-3</v>
      </c>
    </row>
    <row r="114" spans="5:6" x14ac:dyDescent="0.25">
      <c r="E114">
        <v>113</v>
      </c>
      <c r="F114" s="3">
        <v>-1.6836309930840856E-2</v>
      </c>
    </row>
    <row r="115" spans="5:6" x14ac:dyDescent="0.25">
      <c r="E115">
        <v>114</v>
      </c>
      <c r="F115" s="3">
        <v>-2.3890989291502535E-2</v>
      </c>
    </row>
    <row r="116" spans="5:6" x14ac:dyDescent="0.25">
      <c r="E116">
        <v>115</v>
      </c>
      <c r="F116" s="3">
        <v>-1.326685241435497E-3</v>
      </c>
    </row>
    <row r="117" spans="5:6" x14ac:dyDescent="0.25">
      <c r="E117">
        <v>116</v>
      </c>
      <c r="F117" s="3">
        <v>5.1391679931677705E-4</v>
      </c>
    </row>
    <row r="118" spans="5:6" x14ac:dyDescent="0.25">
      <c r="E118">
        <v>117</v>
      </c>
      <c r="F118" s="3">
        <v>-7.6402746820081083E-4</v>
      </c>
    </row>
    <row r="119" spans="5:6" x14ac:dyDescent="0.25">
      <c r="E119">
        <v>118</v>
      </c>
      <c r="F119" s="3">
        <v>1.9113025896932635E-2</v>
      </c>
    </row>
    <row r="120" spans="5:6" x14ac:dyDescent="0.25">
      <c r="E120">
        <v>119</v>
      </c>
      <c r="F120" s="3">
        <v>-4.8693158821301423E-3</v>
      </c>
    </row>
    <row r="121" spans="5:6" x14ac:dyDescent="0.25">
      <c r="E121">
        <v>120</v>
      </c>
      <c r="F121" s="3">
        <v>-2.8356821230842493E-3</v>
      </c>
    </row>
    <row r="122" spans="5:6" x14ac:dyDescent="0.25">
      <c r="E122">
        <v>121</v>
      </c>
      <c r="F122" s="3">
        <v>1.3917667383455181E-2</v>
      </c>
    </row>
    <row r="123" spans="5:6" x14ac:dyDescent="0.25">
      <c r="E123">
        <v>122</v>
      </c>
      <c r="F123" s="3">
        <v>-1.5988756145618713E-3</v>
      </c>
    </row>
    <row r="124" spans="5:6" x14ac:dyDescent="0.25">
      <c r="E124">
        <v>123</v>
      </c>
      <c r="F124" s="3">
        <v>1.654525162548829E-2</v>
      </c>
    </row>
    <row r="125" spans="5:6" x14ac:dyDescent="0.25">
      <c r="E125">
        <v>124</v>
      </c>
      <c r="F125" s="3">
        <v>-1.8437351164545413E-2</v>
      </c>
    </row>
    <row r="126" spans="5:6" x14ac:dyDescent="0.25">
      <c r="E126">
        <v>125</v>
      </c>
      <c r="F126" s="3">
        <v>-1.1227714365503114E-2</v>
      </c>
    </row>
    <row r="127" spans="5:6" x14ac:dyDescent="0.25">
      <c r="E127">
        <v>126</v>
      </c>
      <c r="F127" s="3">
        <v>9.8894611352360329E-3</v>
      </c>
    </row>
    <row r="128" spans="5:6" x14ac:dyDescent="0.25">
      <c r="E128">
        <v>127</v>
      </c>
      <c r="F128" s="3">
        <v>9.234786958113906E-3</v>
      </c>
    </row>
    <row r="129" spans="5:6" x14ac:dyDescent="0.25">
      <c r="E129">
        <v>128</v>
      </c>
      <c r="F129" s="3">
        <v>1.5688829615429549E-2</v>
      </c>
    </row>
    <row r="130" spans="5:6" x14ac:dyDescent="0.25">
      <c r="E130">
        <v>129</v>
      </c>
      <c r="F130" s="3">
        <v>1.587172103010721E-2</v>
      </c>
    </row>
    <row r="131" spans="5:6" x14ac:dyDescent="0.25">
      <c r="E131">
        <v>130</v>
      </c>
      <c r="F131" s="3">
        <v>-1.4496752762216186E-2</v>
      </c>
    </row>
    <row r="132" spans="5:6" x14ac:dyDescent="0.25">
      <c r="E132">
        <v>131</v>
      </c>
      <c r="F132" s="3">
        <v>-1.4202817554766404E-2</v>
      </c>
    </row>
    <row r="133" spans="5:6" x14ac:dyDescent="0.25">
      <c r="E133">
        <v>132</v>
      </c>
      <c r="F133" s="3">
        <v>6.3619340638812324E-3</v>
      </c>
    </row>
    <row r="134" spans="5:6" x14ac:dyDescent="0.25">
      <c r="E134">
        <v>133</v>
      </c>
      <c r="F134" s="3">
        <v>-2.2918016075965504E-2</v>
      </c>
    </row>
    <row r="135" spans="5:6" x14ac:dyDescent="0.25">
      <c r="E135">
        <v>134</v>
      </c>
      <c r="F135" s="3">
        <v>5.7848841602986551E-3</v>
      </c>
    </row>
    <row r="136" spans="5:6" x14ac:dyDescent="0.25">
      <c r="E136">
        <v>135</v>
      </c>
      <c r="F136" s="3">
        <v>5.715035552572887E-3</v>
      </c>
    </row>
    <row r="137" spans="5:6" x14ac:dyDescent="0.25">
      <c r="E137">
        <v>136</v>
      </c>
      <c r="F137" s="3">
        <v>1.3884862351170774E-2</v>
      </c>
    </row>
    <row r="138" spans="5:6" x14ac:dyDescent="0.25">
      <c r="E138">
        <v>137</v>
      </c>
      <c r="F138" s="3">
        <v>6.5766687505034345E-3</v>
      </c>
    </row>
    <row r="139" spans="5:6" x14ac:dyDescent="0.25">
      <c r="E139">
        <v>138</v>
      </c>
      <c r="F139" s="3">
        <v>9.8459396468115416E-3</v>
      </c>
    </row>
    <row r="140" spans="5:6" x14ac:dyDescent="0.25">
      <c r="E140">
        <v>139</v>
      </c>
      <c r="F140" s="3">
        <v>-2.4605351083513739E-2</v>
      </c>
    </row>
    <row r="141" spans="5:6" x14ac:dyDescent="0.25">
      <c r="E141">
        <v>140</v>
      </c>
      <c r="F141" s="3">
        <v>2.397724491732247E-2</v>
      </c>
    </row>
    <row r="142" spans="5:6" x14ac:dyDescent="0.25">
      <c r="E142">
        <v>141</v>
      </c>
      <c r="F142" s="3">
        <v>-5.4935292639005148E-3</v>
      </c>
    </row>
    <row r="143" spans="5:6" x14ac:dyDescent="0.25">
      <c r="E143">
        <v>142</v>
      </c>
      <c r="F143" s="3">
        <v>-1.7061785157716888E-2</v>
      </c>
    </row>
    <row r="144" spans="5:6" x14ac:dyDescent="0.25">
      <c r="E144">
        <v>143</v>
      </c>
      <c r="F144" s="3">
        <v>-8.2821313576034086E-3</v>
      </c>
    </row>
    <row r="145" spans="5:6" x14ac:dyDescent="0.25">
      <c r="E145">
        <v>144</v>
      </c>
      <c r="F145" s="3">
        <v>-3.4136182109122531E-3</v>
      </c>
    </row>
    <row r="146" spans="5:6" x14ac:dyDescent="0.25">
      <c r="E146">
        <v>145</v>
      </c>
      <c r="F146" s="3">
        <v>1.3904650743841748E-2</v>
      </c>
    </row>
    <row r="147" spans="5:6" x14ac:dyDescent="0.25">
      <c r="E147">
        <v>146</v>
      </c>
      <c r="F147" s="3">
        <v>3.519572300550701E-3</v>
      </c>
    </row>
    <row r="148" spans="5:6" x14ac:dyDescent="0.25">
      <c r="E148">
        <v>147</v>
      </c>
      <c r="F148" s="3">
        <v>7.4606331036815542E-3</v>
      </c>
    </row>
    <row r="149" spans="5:6" x14ac:dyDescent="0.25">
      <c r="E149">
        <v>148</v>
      </c>
      <c r="F149" s="3">
        <v>8.6036177863411788E-3</v>
      </c>
    </row>
    <row r="150" spans="5:6" x14ac:dyDescent="0.25">
      <c r="E150">
        <v>149</v>
      </c>
      <c r="F150" s="3">
        <v>2.8988717562307897E-4</v>
      </c>
    </row>
    <row r="151" spans="5:6" x14ac:dyDescent="0.25">
      <c r="E151">
        <v>150</v>
      </c>
      <c r="F151" s="3">
        <v>6.4129137005834837E-3</v>
      </c>
    </row>
    <row r="152" spans="5:6" x14ac:dyDescent="0.25">
      <c r="E152">
        <v>151</v>
      </c>
      <c r="F152" s="3">
        <v>-1.2324882055234387E-2</v>
      </c>
    </row>
    <row r="153" spans="5:6" x14ac:dyDescent="0.25">
      <c r="E153">
        <v>152</v>
      </c>
      <c r="F153" s="3">
        <v>-1.1476532384481854E-2</v>
      </c>
    </row>
    <row r="154" spans="5:6" x14ac:dyDescent="0.25">
      <c r="E154">
        <v>153</v>
      </c>
      <c r="F154" s="3">
        <v>2.750625283824119E-2</v>
      </c>
    </row>
    <row r="155" spans="5:6" x14ac:dyDescent="0.25">
      <c r="E155">
        <v>154</v>
      </c>
      <c r="F155" s="3">
        <v>-2.1487898367846909E-3</v>
      </c>
    </row>
    <row r="156" spans="5:6" x14ac:dyDescent="0.25">
      <c r="E156">
        <v>155</v>
      </c>
      <c r="F156" s="3">
        <v>-6.4580050030279695E-3</v>
      </c>
    </row>
    <row r="157" spans="5:6" x14ac:dyDescent="0.25">
      <c r="E157">
        <v>156</v>
      </c>
      <c r="F157" s="3">
        <v>2.0651263232259777E-2</v>
      </c>
    </row>
    <row r="158" spans="5:6" x14ac:dyDescent="0.25">
      <c r="E158">
        <v>157</v>
      </c>
      <c r="F158" s="3">
        <v>5.5683545434544639E-3</v>
      </c>
    </row>
    <row r="159" spans="5:6" x14ac:dyDescent="0.25">
      <c r="E159">
        <v>158</v>
      </c>
      <c r="F159" s="3">
        <v>5.8299717277718608E-3</v>
      </c>
    </row>
    <row r="160" spans="5:6" x14ac:dyDescent="0.25">
      <c r="E160">
        <v>159</v>
      </c>
      <c r="F160" s="3">
        <v>2.3526731261094436E-2</v>
      </c>
    </row>
    <row r="161" spans="5:6" x14ac:dyDescent="0.25">
      <c r="E161">
        <v>160</v>
      </c>
      <c r="F161" s="3">
        <v>5.366934634914557E-3</v>
      </c>
    </row>
    <row r="162" spans="5:6" x14ac:dyDescent="0.25">
      <c r="E162">
        <v>161</v>
      </c>
      <c r="F162" s="3">
        <v>8.0228773590289605E-3</v>
      </c>
    </row>
    <row r="163" spans="5:6" x14ac:dyDescent="0.25">
      <c r="E163">
        <v>162</v>
      </c>
      <c r="F163" s="3">
        <v>-1.7691998280748786E-2</v>
      </c>
    </row>
    <row r="164" spans="5:6" x14ac:dyDescent="0.25">
      <c r="E164">
        <v>163</v>
      </c>
      <c r="F164" s="3">
        <v>3.0407295118018547E-2</v>
      </c>
    </row>
    <row r="165" spans="5:6" x14ac:dyDescent="0.25">
      <c r="E165">
        <v>164</v>
      </c>
      <c r="F165" s="3">
        <v>3.1460800005779031E-3</v>
      </c>
    </row>
    <row r="166" spans="5:6" x14ac:dyDescent="0.25">
      <c r="E166">
        <v>165</v>
      </c>
      <c r="F166" s="3">
        <v>2.0894892847677964E-2</v>
      </c>
    </row>
    <row r="167" spans="5:6" x14ac:dyDescent="0.25">
      <c r="E167">
        <v>166</v>
      </c>
      <c r="F167" s="3">
        <v>1.6713728029745911E-2</v>
      </c>
    </row>
    <row r="168" spans="5:6" x14ac:dyDescent="0.25">
      <c r="E168">
        <v>167</v>
      </c>
      <c r="F168" s="3">
        <v>-1.1432235950988716E-2</v>
      </c>
    </row>
    <row r="169" spans="5:6" x14ac:dyDescent="0.25">
      <c r="E169">
        <v>168</v>
      </c>
      <c r="F169" s="3">
        <v>-1.7596625148545254E-2</v>
      </c>
    </row>
    <row r="170" spans="5:6" x14ac:dyDescent="0.25">
      <c r="E170">
        <v>169</v>
      </c>
      <c r="F170" s="3">
        <v>-8.7456275287256281E-3</v>
      </c>
    </row>
    <row r="171" spans="5:6" x14ac:dyDescent="0.25">
      <c r="E171">
        <v>170</v>
      </c>
      <c r="F171" s="3">
        <v>4.5339505940679495E-3</v>
      </c>
    </row>
    <row r="172" spans="5:6" x14ac:dyDescent="0.25">
      <c r="E172">
        <v>171</v>
      </c>
      <c r="F172" s="3">
        <v>-5.7108342664498896E-3</v>
      </c>
    </row>
    <row r="173" spans="5:6" x14ac:dyDescent="0.25">
      <c r="E173">
        <v>172</v>
      </c>
      <c r="F173" s="3">
        <v>-8.9953985415957508E-3</v>
      </c>
    </row>
    <row r="174" spans="5:6" x14ac:dyDescent="0.25">
      <c r="E174">
        <v>173</v>
      </c>
      <c r="F174" s="3">
        <v>6.9132097577721428E-3</v>
      </c>
    </row>
    <row r="175" spans="5:6" x14ac:dyDescent="0.25">
      <c r="E175">
        <v>174</v>
      </c>
      <c r="F175" s="3">
        <v>3.0650189554974777E-3</v>
      </c>
    </row>
    <row r="176" spans="5:6" x14ac:dyDescent="0.25">
      <c r="E176">
        <v>175</v>
      </c>
      <c r="F176" s="3">
        <v>5.3750158044605367E-3</v>
      </c>
    </row>
    <row r="177" spans="5:6" x14ac:dyDescent="0.25">
      <c r="E177">
        <v>176</v>
      </c>
      <c r="F177" s="3">
        <v>-8.22033289048444E-3</v>
      </c>
    </row>
    <row r="178" spans="5:6" x14ac:dyDescent="0.25">
      <c r="E178">
        <v>177</v>
      </c>
      <c r="F178" s="3">
        <v>2.5849328680039547E-2</v>
      </c>
    </row>
    <row r="179" spans="5:6" x14ac:dyDescent="0.25">
      <c r="E179">
        <v>178</v>
      </c>
      <c r="F179" s="3">
        <v>2.5505126402513328E-2</v>
      </c>
    </row>
    <row r="180" spans="5:6" x14ac:dyDescent="0.25">
      <c r="E180">
        <v>179</v>
      </c>
      <c r="F180" s="3">
        <v>1.8113956153766549E-2</v>
      </c>
    </row>
    <row r="181" spans="5:6" x14ac:dyDescent="0.25">
      <c r="E181">
        <v>180</v>
      </c>
      <c r="F181" s="3">
        <v>3.8426724380802761E-3</v>
      </c>
    </row>
    <row r="182" spans="5:6" x14ac:dyDescent="0.25">
      <c r="E182">
        <v>181</v>
      </c>
      <c r="F182" s="3">
        <v>4.1855949122838959E-3</v>
      </c>
    </row>
    <row r="183" spans="5:6" x14ac:dyDescent="0.25">
      <c r="E183">
        <v>182</v>
      </c>
      <c r="F183" s="3">
        <v>2.3726748185302408E-2</v>
      </c>
    </row>
    <row r="184" spans="5:6" x14ac:dyDescent="0.25">
      <c r="E184">
        <v>183</v>
      </c>
      <c r="F184" s="3">
        <v>-2.2800664899546262E-2</v>
      </c>
    </row>
    <row r="185" spans="5:6" x14ac:dyDescent="0.25">
      <c r="E185">
        <v>184</v>
      </c>
      <c r="F185" s="3">
        <v>-1.5653920128525644E-3</v>
      </c>
    </row>
    <row r="186" spans="5:6" x14ac:dyDescent="0.25">
      <c r="E186">
        <v>185</v>
      </c>
      <c r="F186" s="3">
        <v>-1.0969244598917434E-2</v>
      </c>
    </row>
    <row r="187" spans="5:6" x14ac:dyDescent="0.25">
      <c r="E187">
        <v>186</v>
      </c>
      <c r="F187" s="3">
        <v>1.7644407320754854E-2</v>
      </c>
    </row>
    <row r="188" spans="5:6" x14ac:dyDescent="0.25">
      <c r="E188">
        <v>187</v>
      </c>
      <c r="F188" s="3">
        <v>1.6859045011720062E-2</v>
      </c>
    </row>
    <row r="189" spans="5:6" x14ac:dyDescent="0.25">
      <c r="E189">
        <v>188</v>
      </c>
      <c r="F189" s="3">
        <v>-9.7773478919993117E-3</v>
      </c>
    </row>
    <row r="190" spans="5:6" x14ac:dyDescent="0.25">
      <c r="E190">
        <v>189</v>
      </c>
      <c r="F190" s="3">
        <v>-3.4747499866763102E-3</v>
      </c>
    </row>
    <row r="191" spans="5:6" x14ac:dyDescent="0.25">
      <c r="E191">
        <v>190</v>
      </c>
      <c r="F191" s="3">
        <v>-6.0519114361289482E-3</v>
      </c>
    </row>
    <row r="192" spans="5:6" x14ac:dyDescent="0.25">
      <c r="E192">
        <v>191</v>
      </c>
      <c r="F192" s="3">
        <v>-8.350758422671729E-3</v>
      </c>
    </row>
    <row r="193" spans="5:6" x14ac:dyDescent="0.25">
      <c r="E193">
        <v>192</v>
      </c>
      <c r="F193" s="3">
        <v>-1.3949592897310287E-2</v>
      </c>
    </row>
    <row r="194" spans="5:6" x14ac:dyDescent="0.25">
      <c r="E194">
        <v>193</v>
      </c>
      <c r="F194" s="3">
        <v>2.3419993581113366E-3</v>
      </c>
    </row>
    <row r="195" spans="5:6" x14ac:dyDescent="0.25">
      <c r="E195">
        <v>194</v>
      </c>
      <c r="F195" s="3">
        <v>1.0156530551529448E-2</v>
      </c>
    </row>
    <row r="196" spans="5:6" x14ac:dyDescent="0.25">
      <c r="E196">
        <v>195</v>
      </c>
      <c r="F196" s="3">
        <v>8.5149667590821165E-4</v>
      </c>
    </row>
    <row r="197" spans="5:6" x14ac:dyDescent="0.25">
      <c r="E197">
        <v>196</v>
      </c>
      <c r="F197" s="3">
        <v>2.2489055680616292E-3</v>
      </c>
    </row>
    <row r="198" spans="5:6" x14ac:dyDescent="0.25">
      <c r="E198">
        <v>197</v>
      </c>
      <c r="F198" s="3">
        <v>-1.2144854685763413E-2</v>
      </c>
    </row>
    <row r="199" spans="5:6" x14ac:dyDescent="0.25">
      <c r="E199">
        <v>198</v>
      </c>
      <c r="F199" s="3">
        <v>1.8979781775555756E-2</v>
      </c>
    </row>
    <row r="200" spans="5:6" x14ac:dyDescent="0.25">
      <c r="E200">
        <v>199</v>
      </c>
      <c r="F200" s="3">
        <v>4.1353148456944227E-4</v>
      </c>
    </row>
    <row r="201" spans="5:6" x14ac:dyDescent="0.25">
      <c r="E201">
        <v>200</v>
      </c>
      <c r="F201" s="3">
        <v>1.0476313248117491E-2</v>
      </c>
    </row>
    <row r="202" spans="5:6" x14ac:dyDescent="0.25">
      <c r="E202">
        <v>201</v>
      </c>
      <c r="F202" s="3">
        <v>-2.2198209581965368E-3</v>
      </c>
    </row>
    <row r="203" spans="5:6" x14ac:dyDescent="0.25">
      <c r="E203">
        <v>202</v>
      </c>
      <c r="F203" s="3">
        <v>3.8292090803376047E-3</v>
      </c>
    </row>
    <row r="204" spans="5:6" x14ac:dyDescent="0.25">
      <c r="E204">
        <v>203</v>
      </c>
      <c r="F204" s="3">
        <v>1.1408954928150829E-3</v>
      </c>
    </row>
    <row r="205" spans="5:6" x14ac:dyDescent="0.25">
      <c r="E205">
        <v>204</v>
      </c>
      <c r="F205" s="3">
        <v>-3.1786170066302508E-2</v>
      </c>
    </row>
    <row r="206" spans="5:6" x14ac:dyDescent="0.25">
      <c r="E206">
        <v>205</v>
      </c>
      <c r="F206" s="3">
        <v>-8.4751181109086748E-3</v>
      </c>
    </row>
    <row r="207" spans="5:6" x14ac:dyDescent="0.25">
      <c r="E207">
        <v>206</v>
      </c>
      <c r="F207" s="3">
        <v>1.4931105208821442E-3</v>
      </c>
    </row>
    <row r="208" spans="5:6" x14ac:dyDescent="0.25">
      <c r="E208">
        <v>207</v>
      </c>
      <c r="F208" s="3">
        <v>3.7923376716351299E-2</v>
      </c>
    </row>
    <row r="209" spans="5:6" x14ac:dyDescent="0.25">
      <c r="E209">
        <v>208</v>
      </c>
      <c r="F209" s="3">
        <v>1.633971351682334E-2</v>
      </c>
    </row>
    <row r="210" spans="5:6" x14ac:dyDescent="0.25">
      <c r="E210">
        <v>209</v>
      </c>
      <c r="F210" s="3">
        <v>-1.1128796974711076E-2</v>
      </c>
    </row>
    <row r="211" spans="5:6" x14ac:dyDescent="0.25">
      <c r="E211">
        <v>210</v>
      </c>
      <c r="F211" s="3">
        <v>7.7935003733638668E-3</v>
      </c>
    </row>
    <row r="212" spans="5:6" x14ac:dyDescent="0.25">
      <c r="E212">
        <v>211</v>
      </c>
      <c r="F212" s="3">
        <v>-7.7228875378491848E-3</v>
      </c>
    </row>
    <row r="213" spans="5:6" x14ac:dyDescent="0.25">
      <c r="E213">
        <v>212</v>
      </c>
      <c r="F213" s="3">
        <v>8.5439979135022246E-3</v>
      </c>
    </row>
    <row r="214" spans="5:6" x14ac:dyDescent="0.25">
      <c r="E214">
        <v>213</v>
      </c>
      <c r="F214" s="3">
        <v>-4.9550851607999295E-4</v>
      </c>
    </row>
    <row r="215" spans="5:6" x14ac:dyDescent="0.25">
      <c r="E215">
        <v>214</v>
      </c>
      <c r="F215" s="3">
        <v>-3.7255909998474982E-3</v>
      </c>
    </row>
    <row r="216" spans="5:6" x14ac:dyDescent="0.25">
      <c r="E216">
        <v>215</v>
      </c>
      <c r="F216" s="3">
        <v>3.5592098488578233E-4</v>
      </c>
    </row>
    <row r="217" spans="5:6" x14ac:dyDescent="0.25">
      <c r="E217">
        <v>216</v>
      </c>
      <c r="F217" s="3">
        <v>4.4072034989782157E-3</v>
      </c>
    </row>
    <row r="218" spans="5:6" x14ac:dyDescent="0.25">
      <c r="E218">
        <v>217</v>
      </c>
      <c r="F218" s="3">
        <v>1.4861671423087756E-2</v>
      </c>
    </row>
    <row r="219" spans="5:6" x14ac:dyDescent="0.25">
      <c r="E219">
        <v>218</v>
      </c>
      <c r="F219" s="3">
        <v>-1.9173184174645176E-2</v>
      </c>
    </row>
    <row r="220" spans="5:6" x14ac:dyDescent="0.25">
      <c r="E220">
        <v>219</v>
      </c>
      <c r="F220" s="3">
        <v>3.2376461107962953E-2</v>
      </c>
    </row>
    <row r="221" spans="5:6" x14ac:dyDescent="0.25">
      <c r="E221">
        <v>220</v>
      </c>
      <c r="F221" s="3">
        <v>-1.2952869316009199E-2</v>
      </c>
    </row>
    <row r="222" spans="5:6" x14ac:dyDescent="0.25">
      <c r="E222">
        <v>221</v>
      </c>
      <c r="F222" s="3">
        <v>8.1990228473925713E-3</v>
      </c>
    </row>
    <row r="223" spans="5:6" x14ac:dyDescent="0.25">
      <c r="E223">
        <v>222</v>
      </c>
      <c r="F223" s="3">
        <v>-1.7632626301874378E-2</v>
      </c>
    </row>
    <row r="224" spans="5:6" x14ac:dyDescent="0.25">
      <c r="E224">
        <v>223</v>
      </c>
      <c r="F224" s="3">
        <v>-1.0521799534950924E-2</v>
      </c>
    </row>
    <row r="225" spans="5:6" x14ac:dyDescent="0.25">
      <c r="E225">
        <v>224</v>
      </c>
      <c r="F225" s="3">
        <v>-1.6503576977897987E-2</v>
      </c>
    </row>
    <row r="226" spans="5:6" x14ac:dyDescent="0.25">
      <c r="E226">
        <v>225</v>
      </c>
      <c r="F226" s="3">
        <v>8.5592245603714062E-3</v>
      </c>
    </row>
    <row r="227" spans="5:6" x14ac:dyDescent="0.25">
      <c r="E227">
        <v>226</v>
      </c>
      <c r="F227" s="3">
        <v>-1.2030364928156E-2</v>
      </c>
    </row>
    <row r="228" spans="5:6" x14ac:dyDescent="0.25">
      <c r="E228">
        <v>227</v>
      </c>
      <c r="F228" s="3">
        <v>7.5916672567448388E-3</v>
      </c>
    </row>
    <row r="229" spans="5:6" x14ac:dyDescent="0.25">
      <c r="E229">
        <v>228</v>
      </c>
      <c r="F229" s="3">
        <v>-2.0712999612385041E-5</v>
      </c>
    </row>
    <row r="230" spans="5:6" x14ac:dyDescent="0.25">
      <c r="E230">
        <v>229</v>
      </c>
      <c r="F230" s="3">
        <v>7.0820211914391579E-3</v>
      </c>
    </row>
    <row r="231" spans="5:6" x14ac:dyDescent="0.25">
      <c r="E231">
        <v>230</v>
      </c>
      <c r="F231" s="3">
        <v>-9.9317363209517982E-3</v>
      </c>
    </row>
    <row r="232" spans="5:6" x14ac:dyDescent="0.25">
      <c r="E232">
        <v>231</v>
      </c>
      <c r="F232" s="3">
        <v>-5.8151415465552731E-4</v>
      </c>
    </row>
    <row r="233" spans="5:6" x14ac:dyDescent="0.25">
      <c r="E233">
        <v>232</v>
      </c>
      <c r="F233" s="3">
        <v>-7.5391919816181728E-3</v>
      </c>
    </row>
    <row r="234" spans="5:6" x14ac:dyDescent="0.25">
      <c r="E234">
        <v>233</v>
      </c>
      <c r="F234" s="3">
        <v>1.0348918097840854E-2</v>
      </c>
    </row>
    <row r="235" spans="5:6" x14ac:dyDescent="0.25">
      <c r="E235">
        <v>234</v>
      </c>
      <c r="F235" s="3">
        <v>6.1354616776081866E-3</v>
      </c>
    </row>
    <row r="236" spans="5:6" x14ac:dyDescent="0.25">
      <c r="E236">
        <v>235</v>
      </c>
      <c r="F236" s="3">
        <v>4.2265282926454879E-3</v>
      </c>
    </row>
    <row r="237" spans="5:6" x14ac:dyDescent="0.25">
      <c r="E237">
        <v>236</v>
      </c>
      <c r="F237" s="3">
        <v>4.681290462810195E-3</v>
      </c>
    </row>
    <row r="238" spans="5:6" x14ac:dyDescent="0.25">
      <c r="E238">
        <v>237</v>
      </c>
      <c r="F238" s="3">
        <v>-3.5984959931915195E-2</v>
      </c>
    </row>
    <row r="239" spans="5:6" x14ac:dyDescent="0.25">
      <c r="E239">
        <v>238</v>
      </c>
      <c r="F239" s="3">
        <v>-9.0701283982617814E-3</v>
      </c>
    </row>
    <row r="240" spans="5:6" x14ac:dyDescent="0.25">
      <c r="E240">
        <v>239</v>
      </c>
      <c r="F240" s="3">
        <v>1.1782742503139754E-2</v>
      </c>
    </row>
    <row r="241" spans="5:6" x14ac:dyDescent="0.25">
      <c r="E241">
        <v>240</v>
      </c>
      <c r="F241" s="3">
        <v>5.3629777777685897E-3</v>
      </c>
    </row>
    <row r="242" spans="5:6" x14ac:dyDescent="0.25">
      <c r="E242">
        <v>241</v>
      </c>
      <c r="F242" s="3">
        <v>1.8090474768392352E-2</v>
      </c>
    </row>
    <row r="243" spans="5:6" x14ac:dyDescent="0.25">
      <c r="E243">
        <v>242</v>
      </c>
      <c r="F243" s="3">
        <v>1.1691815222241967E-2</v>
      </c>
    </row>
    <row r="244" spans="5:6" x14ac:dyDescent="0.25">
      <c r="E244">
        <v>243</v>
      </c>
      <c r="F244" s="3">
        <v>1.6365190569194308E-2</v>
      </c>
    </row>
    <row r="245" spans="5:6" x14ac:dyDescent="0.25">
      <c r="E245">
        <v>244</v>
      </c>
      <c r="F245" s="3">
        <v>3.3307342577790274E-3</v>
      </c>
    </row>
    <row r="246" spans="5:6" x14ac:dyDescent="0.25">
      <c r="E246">
        <v>245</v>
      </c>
      <c r="F246" s="3">
        <v>9.2898688327601991E-3</v>
      </c>
    </row>
    <row r="247" spans="5:6" x14ac:dyDescent="0.25">
      <c r="E247">
        <v>246</v>
      </c>
      <c r="F247" s="3">
        <v>-1.8096191012807815E-2</v>
      </c>
    </row>
    <row r="248" spans="5:6" x14ac:dyDescent="0.25">
      <c r="E248">
        <v>247</v>
      </c>
      <c r="F248" s="3">
        <v>2.7111292691298666E-2</v>
      </c>
    </row>
    <row r="249" spans="5:6" x14ac:dyDescent="0.25">
      <c r="E249">
        <v>248</v>
      </c>
      <c r="F249" s="3">
        <v>-4.3649294649275262E-3</v>
      </c>
    </row>
    <row r="250" spans="5:6" x14ac:dyDescent="0.25">
      <c r="E250">
        <v>249</v>
      </c>
      <c r="F250" s="3">
        <v>-5.4102792027079993E-3</v>
      </c>
    </row>
    <row r="251" spans="5:6" x14ac:dyDescent="0.25">
      <c r="E251">
        <v>250</v>
      </c>
      <c r="F251" s="3">
        <v>-3.5847513235081124E-3</v>
      </c>
    </row>
    <row r="252" spans="5:6" x14ac:dyDescent="0.25">
      <c r="E252">
        <v>251</v>
      </c>
      <c r="F252" s="3">
        <v>2.5919984821394541E-3</v>
      </c>
    </row>
    <row r="253" spans="5:6" x14ac:dyDescent="0.25">
      <c r="E253">
        <v>252</v>
      </c>
      <c r="F253" s="3">
        <v>-4.313724030817109E-3</v>
      </c>
    </row>
    <row r="254" spans="5:6" x14ac:dyDescent="0.25">
      <c r="E254">
        <v>253</v>
      </c>
      <c r="F254" s="3">
        <v>2.0747274432841648E-2</v>
      </c>
    </row>
    <row r="255" spans="5:6" x14ac:dyDescent="0.25">
      <c r="E255">
        <v>254</v>
      </c>
      <c r="F255" s="3">
        <v>8.7689680174025345E-3</v>
      </c>
    </row>
    <row r="256" spans="5:6" x14ac:dyDescent="0.25">
      <c r="E256">
        <v>255</v>
      </c>
      <c r="F256" s="3">
        <v>-8.7755394150770463E-3</v>
      </c>
    </row>
    <row r="257" spans="5:6" x14ac:dyDescent="0.25">
      <c r="E257">
        <v>256</v>
      </c>
      <c r="F257" s="3">
        <v>-8.5659224777960771E-3</v>
      </c>
    </row>
    <row r="258" spans="5:6" x14ac:dyDescent="0.25">
      <c r="E258">
        <v>257</v>
      </c>
      <c r="F258" s="3">
        <v>-1.2513252370516184E-2</v>
      </c>
    </row>
    <row r="259" spans="5:6" x14ac:dyDescent="0.25">
      <c r="E259">
        <v>258</v>
      </c>
      <c r="F259" s="3">
        <v>-1.3304665646863055E-2</v>
      </c>
    </row>
    <row r="260" spans="5:6" x14ac:dyDescent="0.25">
      <c r="E260">
        <v>259</v>
      </c>
      <c r="F260" s="3">
        <v>6.9359954029618916E-3</v>
      </c>
    </row>
    <row r="261" spans="5:6" x14ac:dyDescent="0.25">
      <c r="E261">
        <v>260</v>
      </c>
      <c r="F261" s="3">
        <v>9.3538299411974179E-3</v>
      </c>
    </row>
    <row r="262" spans="5:6" x14ac:dyDescent="0.25">
      <c r="E262">
        <v>261</v>
      </c>
      <c r="F262" s="3">
        <v>5.2761804264630265E-3</v>
      </c>
    </row>
    <row r="263" spans="5:6" x14ac:dyDescent="0.25">
      <c r="E263">
        <v>262</v>
      </c>
      <c r="F263" s="3">
        <v>-1.9984419963137084E-2</v>
      </c>
    </row>
    <row r="264" spans="5:6" x14ac:dyDescent="0.25">
      <c r="E264">
        <v>263</v>
      </c>
      <c r="F264" s="3">
        <v>9.1174536562153297E-3</v>
      </c>
    </row>
    <row r="265" spans="5:6" x14ac:dyDescent="0.25">
      <c r="E265">
        <v>264</v>
      </c>
      <c r="F265" s="3">
        <v>5.0403724040504324E-3</v>
      </c>
    </row>
    <row r="266" spans="5:6" x14ac:dyDescent="0.25">
      <c r="E266">
        <v>265</v>
      </c>
      <c r="F266" s="3">
        <v>2.9004189487823788E-2</v>
      </c>
    </row>
    <row r="267" spans="5:6" x14ac:dyDescent="0.25">
      <c r="E267">
        <v>266</v>
      </c>
      <c r="F267" s="3">
        <v>8.4920933898364089E-3</v>
      </c>
    </row>
    <row r="268" spans="5:6" x14ac:dyDescent="0.25">
      <c r="E268">
        <v>267</v>
      </c>
      <c r="F268" s="3">
        <v>1.1630408196015954E-2</v>
      </c>
    </row>
    <row r="269" spans="5:6" x14ac:dyDescent="0.25">
      <c r="E269">
        <v>268</v>
      </c>
      <c r="F269" s="3">
        <v>1.9229286495606856E-2</v>
      </c>
    </row>
    <row r="270" spans="5:6" x14ac:dyDescent="0.25">
      <c r="E270">
        <v>269</v>
      </c>
      <c r="F270" s="3">
        <v>9.0575218080889402E-3</v>
      </c>
    </row>
    <row r="271" spans="5:6" x14ac:dyDescent="0.25">
      <c r="E271">
        <v>270</v>
      </c>
      <c r="F271" s="3">
        <v>4.3746044834342126E-3</v>
      </c>
    </row>
    <row r="272" spans="5:6" x14ac:dyDescent="0.25">
      <c r="E272">
        <v>271</v>
      </c>
      <c r="F272" s="3">
        <v>2.4821340293672459E-2</v>
      </c>
    </row>
    <row r="273" spans="5:6" x14ac:dyDescent="0.25">
      <c r="E273">
        <v>272</v>
      </c>
      <c r="F273" s="3">
        <v>-1.1103291490669237E-2</v>
      </c>
    </row>
    <row r="274" spans="5:6" x14ac:dyDescent="0.25">
      <c r="E274">
        <v>273</v>
      </c>
      <c r="F274" s="3">
        <v>9.397004229271623E-3</v>
      </c>
    </row>
    <row r="275" spans="5:6" x14ac:dyDescent="0.25">
      <c r="E275">
        <v>274</v>
      </c>
      <c r="F275" s="3">
        <v>1.8881207776164807E-2</v>
      </c>
    </row>
    <row r="276" spans="5:6" x14ac:dyDescent="0.25">
      <c r="E276">
        <v>275</v>
      </c>
      <c r="F276" s="3">
        <v>-4.4659904984584546E-3</v>
      </c>
    </row>
    <row r="277" spans="5:6" x14ac:dyDescent="0.25">
      <c r="E277">
        <v>276</v>
      </c>
      <c r="F277" s="3">
        <v>-6.7670642654276778E-3</v>
      </c>
    </row>
    <row r="278" spans="5:6" x14ac:dyDescent="0.25">
      <c r="E278">
        <v>277</v>
      </c>
      <c r="F278" s="3">
        <v>1.0742667948497549E-2</v>
      </c>
    </row>
    <row r="279" spans="5:6" x14ac:dyDescent="0.25">
      <c r="E279">
        <v>278</v>
      </c>
      <c r="F279" s="3">
        <v>-8.0712013077573093E-3</v>
      </c>
    </row>
    <row r="280" spans="5:6" x14ac:dyDescent="0.25">
      <c r="E280">
        <v>279</v>
      </c>
      <c r="F280" s="3">
        <v>4.1990229156982509E-3</v>
      </c>
    </row>
    <row r="281" spans="5:6" x14ac:dyDescent="0.25">
      <c r="E281">
        <v>280</v>
      </c>
      <c r="F281" s="3">
        <v>-8.8893835781876287E-3</v>
      </c>
    </row>
    <row r="282" spans="5:6" x14ac:dyDescent="0.25">
      <c r="E282">
        <v>281</v>
      </c>
      <c r="F282" s="3">
        <v>-2.5985932440427753E-2</v>
      </c>
    </row>
    <row r="283" spans="5:6" x14ac:dyDescent="0.25">
      <c r="E283">
        <v>282</v>
      </c>
      <c r="F283" s="3">
        <v>-7.14449294913325E-3</v>
      </c>
    </row>
    <row r="284" spans="5:6" x14ac:dyDescent="0.25">
      <c r="E284">
        <v>283</v>
      </c>
      <c r="F284" s="3">
        <v>5.7356034733960825E-3</v>
      </c>
    </row>
    <row r="285" spans="5:6" x14ac:dyDescent="0.25">
      <c r="E285">
        <v>284</v>
      </c>
      <c r="F285" s="3">
        <v>-6.771819095589415E-3</v>
      </c>
    </row>
    <row r="286" spans="5:6" x14ac:dyDescent="0.25">
      <c r="E286">
        <v>285</v>
      </c>
      <c r="F286" s="3">
        <v>-8.8630502382968657E-3</v>
      </c>
    </row>
    <row r="287" spans="5:6" x14ac:dyDescent="0.25">
      <c r="E287">
        <v>286</v>
      </c>
      <c r="F287" s="3">
        <v>1.8447729364889139E-4</v>
      </c>
    </row>
    <row r="288" spans="5:6" x14ac:dyDescent="0.25">
      <c r="E288">
        <v>287</v>
      </c>
      <c r="F288" s="3">
        <v>-1.5561456861278534E-2</v>
      </c>
    </row>
    <row r="289" spans="5:6" x14ac:dyDescent="0.25">
      <c r="E289">
        <v>288</v>
      </c>
      <c r="F289" s="3">
        <v>-1.1318287667086611E-2</v>
      </c>
    </row>
    <row r="290" spans="5:6" x14ac:dyDescent="0.25">
      <c r="E290">
        <v>289</v>
      </c>
      <c r="F290" s="3">
        <v>1.6086553120902937E-2</v>
      </c>
    </row>
    <row r="291" spans="5:6" x14ac:dyDescent="0.25">
      <c r="E291">
        <v>290</v>
      </c>
      <c r="F291" s="3">
        <v>1.8093629422247945E-2</v>
      </c>
    </row>
    <row r="292" spans="5:6" x14ac:dyDescent="0.25">
      <c r="E292">
        <v>291</v>
      </c>
      <c r="F292" s="3">
        <v>8.2499734882358136E-3</v>
      </c>
    </row>
    <row r="293" spans="5:6" x14ac:dyDescent="0.25">
      <c r="E293">
        <v>292</v>
      </c>
      <c r="F293" s="3">
        <v>1.4589425182811106E-2</v>
      </c>
    </row>
    <row r="294" spans="5:6" x14ac:dyDescent="0.25">
      <c r="E294">
        <v>293</v>
      </c>
      <c r="F294" s="3">
        <v>-1.4271160492731106E-2</v>
      </c>
    </row>
    <row r="295" spans="5:6" x14ac:dyDescent="0.25">
      <c r="E295">
        <v>294</v>
      </c>
      <c r="F295" s="3">
        <v>1.4714788421577197E-3</v>
      </c>
    </row>
    <row r="296" spans="5:6" x14ac:dyDescent="0.25">
      <c r="E296">
        <v>295</v>
      </c>
      <c r="F296" s="3">
        <v>1.9416994164239029E-2</v>
      </c>
    </row>
    <row r="297" spans="5:6" x14ac:dyDescent="0.25">
      <c r="E297">
        <v>296</v>
      </c>
      <c r="F297" s="3">
        <v>-6.4032433131608266E-3</v>
      </c>
    </row>
    <row r="298" spans="5:6" x14ac:dyDescent="0.25">
      <c r="E298">
        <v>297</v>
      </c>
      <c r="F298" s="3">
        <v>-1.012541816255739E-2</v>
      </c>
    </row>
    <row r="299" spans="5:6" x14ac:dyDescent="0.25">
      <c r="E299">
        <v>298</v>
      </c>
      <c r="F299" s="3">
        <v>-4.4992474751301102E-3</v>
      </c>
    </row>
    <row r="300" spans="5:6" x14ac:dyDescent="0.25">
      <c r="E300">
        <v>299</v>
      </c>
      <c r="F300" s="3">
        <v>-4.9369804763047358E-3</v>
      </c>
    </row>
    <row r="301" spans="5:6" x14ac:dyDescent="0.25">
      <c r="E301">
        <v>300</v>
      </c>
      <c r="F301" s="3">
        <v>-7.3756316470925958E-4</v>
      </c>
    </row>
    <row r="302" spans="5:6" x14ac:dyDescent="0.25">
      <c r="E302">
        <v>301</v>
      </c>
      <c r="F302" s="3">
        <v>-1.3211669254195293E-3</v>
      </c>
    </row>
    <row r="303" spans="5:6" x14ac:dyDescent="0.25">
      <c r="E303">
        <v>302</v>
      </c>
      <c r="F303" s="3">
        <v>-1.1910435090495611E-2</v>
      </c>
    </row>
    <row r="304" spans="5:6" x14ac:dyDescent="0.25">
      <c r="E304">
        <v>303</v>
      </c>
      <c r="F304" s="3">
        <v>3.4076797656184769E-3</v>
      </c>
    </row>
    <row r="305" spans="5:6" x14ac:dyDescent="0.25">
      <c r="E305">
        <v>304</v>
      </c>
      <c r="F305" s="3">
        <v>9.7538302284586112E-3</v>
      </c>
    </row>
    <row r="306" spans="5:6" x14ac:dyDescent="0.25">
      <c r="E306">
        <v>305</v>
      </c>
      <c r="F306" s="3">
        <v>-2.3452275368315435E-2</v>
      </c>
    </row>
    <row r="307" spans="5:6" x14ac:dyDescent="0.25">
      <c r="E307">
        <v>306</v>
      </c>
      <c r="F307" s="3">
        <v>-1.5205603650837134E-2</v>
      </c>
    </row>
    <row r="308" spans="5:6" x14ac:dyDescent="0.25">
      <c r="E308">
        <v>307</v>
      </c>
      <c r="F308" s="3">
        <v>-1.2322522055368995E-2</v>
      </c>
    </row>
    <row r="309" spans="5:6" x14ac:dyDescent="0.25">
      <c r="E309">
        <v>308</v>
      </c>
      <c r="F309" s="3">
        <v>7.9673127906571065E-3</v>
      </c>
    </row>
    <row r="310" spans="5:6" x14ac:dyDescent="0.25">
      <c r="E310">
        <v>309</v>
      </c>
      <c r="F310" s="3">
        <v>-1.2296956166704646E-2</v>
      </c>
    </row>
    <row r="311" spans="5:6" x14ac:dyDescent="0.25">
      <c r="E311">
        <v>310</v>
      </c>
      <c r="F311" s="3">
        <v>-2.2803142185894659E-2</v>
      </c>
    </row>
    <row r="312" spans="5:6" x14ac:dyDescent="0.25">
      <c r="E312">
        <v>311</v>
      </c>
      <c r="F312" s="3">
        <v>1.1755295002330444E-2</v>
      </c>
    </row>
    <row r="313" spans="5:6" x14ac:dyDescent="0.25">
      <c r="E313">
        <v>312</v>
      </c>
      <c r="F313" s="3">
        <v>-1.1139574653551466E-2</v>
      </c>
    </row>
    <row r="314" spans="5:6" x14ac:dyDescent="0.25">
      <c r="E314">
        <v>313</v>
      </c>
      <c r="F314" s="3">
        <v>-1.7746284110951079E-2</v>
      </c>
    </row>
    <row r="315" spans="5:6" x14ac:dyDescent="0.25">
      <c r="E315">
        <v>314</v>
      </c>
      <c r="F315" s="3">
        <v>3.2226215673047814E-3</v>
      </c>
    </row>
    <row r="316" spans="5:6" x14ac:dyDescent="0.25">
      <c r="E316">
        <v>315</v>
      </c>
      <c r="F316" s="3">
        <v>-2.6483694982080835E-3</v>
      </c>
    </row>
    <row r="317" spans="5:6" x14ac:dyDescent="0.25">
      <c r="E317">
        <v>316</v>
      </c>
      <c r="F317" s="3">
        <v>-3.8520841347278283E-3</v>
      </c>
    </row>
    <row r="318" spans="5:6" x14ac:dyDescent="0.25">
      <c r="E318">
        <v>317</v>
      </c>
      <c r="F318" s="3">
        <v>-1.5521220521337901E-3</v>
      </c>
    </row>
    <row r="319" spans="5:6" x14ac:dyDescent="0.25">
      <c r="E319">
        <v>318</v>
      </c>
      <c r="F319" s="3">
        <v>-4.3085640162864886E-3</v>
      </c>
    </row>
    <row r="320" spans="5:6" x14ac:dyDescent="0.25">
      <c r="E320">
        <v>319</v>
      </c>
      <c r="F320" s="3">
        <v>1.0998897739494123E-2</v>
      </c>
    </row>
    <row r="321" spans="5:6" x14ac:dyDescent="0.25">
      <c r="E321">
        <v>320</v>
      </c>
      <c r="F321" s="3">
        <v>-1.4514956292323302E-2</v>
      </c>
    </row>
    <row r="322" spans="5:6" x14ac:dyDescent="0.25">
      <c r="E322">
        <v>321</v>
      </c>
      <c r="F322" s="3">
        <v>2.7415645447528388E-2</v>
      </c>
    </row>
    <row r="323" spans="5:6" x14ac:dyDescent="0.25">
      <c r="E323">
        <v>322</v>
      </c>
      <c r="F323" s="3">
        <v>-1.2938859362835382E-2</v>
      </c>
    </row>
    <row r="324" spans="5:6" x14ac:dyDescent="0.25">
      <c r="E324">
        <v>323</v>
      </c>
      <c r="F324" s="3">
        <v>2.1322724535919758E-2</v>
      </c>
    </row>
    <row r="325" spans="5:6" x14ac:dyDescent="0.25">
      <c r="E325">
        <v>324</v>
      </c>
      <c r="F325" s="3">
        <v>2.0710474830105866E-2</v>
      </c>
    </row>
    <row r="326" spans="5:6" x14ac:dyDescent="0.25">
      <c r="E326">
        <v>325</v>
      </c>
      <c r="F326" s="3">
        <v>1.5294125467406026E-2</v>
      </c>
    </row>
    <row r="327" spans="5:6" x14ac:dyDescent="0.25">
      <c r="E327">
        <v>326</v>
      </c>
      <c r="F327" s="3">
        <v>3.1475413245897102E-2</v>
      </c>
    </row>
    <row r="328" spans="5:6" x14ac:dyDescent="0.25">
      <c r="E328">
        <v>327</v>
      </c>
      <c r="F328" s="3">
        <v>1.2890841419732195E-2</v>
      </c>
    </row>
    <row r="329" spans="5:6" x14ac:dyDescent="0.25">
      <c r="E329">
        <v>328</v>
      </c>
      <c r="F329" s="3">
        <v>3.9071823204238632E-3</v>
      </c>
    </row>
    <row r="330" spans="5:6" x14ac:dyDescent="0.25">
      <c r="E330">
        <v>329</v>
      </c>
      <c r="F330" s="3">
        <v>9.9435501765893029E-3</v>
      </c>
    </row>
    <row r="331" spans="5:6" x14ac:dyDescent="0.25">
      <c r="E331">
        <v>330</v>
      </c>
      <c r="F331" s="3">
        <v>-1.9023810108811694E-2</v>
      </c>
    </row>
    <row r="332" spans="5:6" x14ac:dyDescent="0.25">
      <c r="E332">
        <v>331</v>
      </c>
      <c r="F332" s="3">
        <v>-1.0972470918716922E-2</v>
      </c>
    </row>
    <row r="333" spans="5:6" x14ac:dyDescent="0.25">
      <c r="E333">
        <v>332</v>
      </c>
      <c r="F333" s="3">
        <v>1.6870649155022319E-2</v>
      </c>
    </row>
    <row r="334" spans="5:6" x14ac:dyDescent="0.25">
      <c r="E334">
        <v>333</v>
      </c>
      <c r="F334" s="3">
        <v>4.2785525572290081E-2</v>
      </c>
    </row>
    <row r="335" spans="5:6" x14ac:dyDescent="0.25">
      <c r="E335">
        <v>334</v>
      </c>
      <c r="F335" s="3">
        <v>4.699822390830082E-3</v>
      </c>
    </row>
    <row r="336" spans="5:6" x14ac:dyDescent="0.25">
      <c r="E336">
        <v>335</v>
      </c>
      <c r="F336" s="3">
        <v>-3.0596304748628312E-3</v>
      </c>
    </row>
    <row r="337" spans="5:6" x14ac:dyDescent="0.25">
      <c r="E337">
        <v>336</v>
      </c>
      <c r="F337" s="3">
        <v>-2.19465400455457E-2</v>
      </c>
    </row>
    <row r="338" spans="5:6" x14ac:dyDescent="0.25">
      <c r="E338">
        <v>337</v>
      </c>
      <c r="F338" s="3">
        <v>-8.3979660900552651E-3</v>
      </c>
    </row>
    <row r="339" spans="5:6" x14ac:dyDescent="0.25">
      <c r="E339">
        <v>338</v>
      </c>
      <c r="F339" s="3">
        <v>1.1952639629033236E-2</v>
      </c>
    </row>
    <row r="340" spans="5:6" x14ac:dyDescent="0.25">
      <c r="E340">
        <v>339</v>
      </c>
      <c r="F340" s="3">
        <v>1.6712694278934053E-2</v>
      </c>
    </row>
    <row r="341" spans="5:6" x14ac:dyDescent="0.25">
      <c r="E341">
        <v>340</v>
      </c>
      <c r="F341" s="3">
        <v>-8.0219947274703801E-3</v>
      </c>
    </row>
    <row r="342" spans="5:6" x14ac:dyDescent="0.25">
      <c r="E342">
        <v>341</v>
      </c>
      <c r="F342" s="3">
        <v>2.6149126638858978E-2</v>
      </c>
    </row>
    <row r="343" spans="5:6" x14ac:dyDescent="0.25">
      <c r="E343">
        <v>342</v>
      </c>
      <c r="F343" s="3">
        <v>5.1186738079788876E-3</v>
      </c>
    </row>
    <row r="344" spans="5:6" x14ac:dyDescent="0.25">
      <c r="E344">
        <v>343</v>
      </c>
      <c r="F344" s="3">
        <v>1.8012985203252254E-2</v>
      </c>
    </row>
    <row r="345" spans="5:6" x14ac:dyDescent="0.25">
      <c r="E345">
        <v>344</v>
      </c>
      <c r="F345" s="3">
        <v>-5.4388529584109549E-3</v>
      </c>
    </row>
    <row r="346" spans="5:6" x14ac:dyDescent="0.25">
      <c r="E346">
        <v>345</v>
      </c>
      <c r="F346" s="3">
        <v>-6.7682253816676204E-3</v>
      </c>
    </row>
    <row r="347" spans="5:6" x14ac:dyDescent="0.25">
      <c r="E347">
        <v>346</v>
      </c>
      <c r="F347" s="3">
        <v>-1.6385431784533461E-2</v>
      </c>
    </row>
    <row r="348" spans="5:6" x14ac:dyDescent="0.25">
      <c r="E348">
        <v>347</v>
      </c>
      <c r="F348" s="3">
        <v>-2.0908655897567694E-3</v>
      </c>
    </row>
    <row r="349" spans="5:6" x14ac:dyDescent="0.25">
      <c r="E349">
        <v>348</v>
      </c>
      <c r="F349" s="3">
        <v>2.3164711746920664E-3</v>
      </c>
    </row>
    <row r="350" spans="5:6" x14ac:dyDescent="0.25">
      <c r="E350">
        <v>349</v>
      </c>
      <c r="F350" s="3">
        <v>-3.6861853852226045E-3</v>
      </c>
    </row>
    <row r="351" spans="5:6" x14ac:dyDescent="0.25">
      <c r="E351">
        <v>350</v>
      </c>
      <c r="F351" s="3">
        <v>-3.8277639398879805E-3</v>
      </c>
    </row>
    <row r="352" spans="5:6" x14ac:dyDescent="0.25">
      <c r="E352">
        <v>351</v>
      </c>
      <c r="F352" s="3">
        <v>5.7450130415621246E-3</v>
      </c>
    </row>
    <row r="353" spans="5:6" x14ac:dyDescent="0.25">
      <c r="E353">
        <v>352</v>
      </c>
      <c r="F353" s="3">
        <v>-2.0614091278358539E-2</v>
      </c>
    </row>
    <row r="354" spans="5:6" x14ac:dyDescent="0.25">
      <c r="E354">
        <v>353</v>
      </c>
      <c r="F354" s="3">
        <v>-3.0182115589919227E-2</v>
      </c>
    </row>
    <row r="355" spans="5:6" x14ac:dyDescent="0.25">
      <c r="E355">
        <v>354</v>
      </c>
      <c r="F355" s="3">
        <v>2.4680567575098185E-3</v>
      </c>
    </row>
    <row r="356" spans="5:6" x14ac:dyDescent="0.25">
      <c r="E356">
        <v>355</v>
      </c>
      <c r="F356" s="3">
        <v>-4.7265851517590022E-3</v>
      </c>
    </row>
    <row r="357" spans="5:6" x14ac:dyDescent="0.25">
      <c r="E357">
        <v>356</v>
      </c>
      <c r="F357" s="3">
        <v>2.4531756498277862E-2</v>
      </c>
    </row>
    <row r="358" spans="5:6" x14ac:dyDescent="0.25">
      <c r="E358">
        <v>357</v>
      </c>
      <c r="F358" s="3">
        <v>-5.522321799315986E-3</v>
      </c>
    </row>
    <row r="359" spans="5:6" x14ac:dyDescent="0.25">
      <c r="E359">
        <v>358</v>
      </c>
      <c r="F359" s="3">
        <v>2.9225414058619758E-3</v>
      </c>
    </row>
    <row r="360" spans="5:6" x14ac:dyDescent="0.25">
      <c r="E360">
        <v>359</v>
      </c>
      <c r="F360" s="3">
        <v>2.6569365263273591E-2</v>
      </c>
    </row>
    <row r="361" spans="5:6" x14ac:dyDescent="0.25">
      <c r="E361">
        <v>360</v>
      </c>
      <c r="F361" s="3">
        <v>4.1035457550431722E-3</v>
      </c>
    </row>
    <row r="362" spans="5:6" x14ac:dyDescent="0.25">
      <c r="E362">
        <v>361</v>
      </c>
      <c r="F362" s="3">
        <v>8.9915812844737729E-3</v>
      </c>
    </row>
    <row r="363" spans="5:6" x14ac:dyDescent="0.25">
      <c r="E363">
        <v>362</v>
      </c>
      <c r="F363" s="3">
        <v>2.5643731158321567E-2</v>
      </c>
    </row>
    <row r="364" spans="5:6" x14ac:dyDescent="0.25">
      <c r="E364">
        <v>363</v>
      </c>
      <c r="F364" s="3">
        <v>9.2645345487723293E-3</v>
      </c>
    </row>
    <row r="365" spans="5:6" x14ac:dyDescent="0.25">
      <c r="E365">
        <v>364</v>
      </c>
      <c r="F365" s="3">
        <v>3.37730768431313E-3</v>
      </c>
    </row>
    <row r="366" spans="5:6" x14ac:dyDescent="0.25">
      <c r="E366">
        <v>365</v>
      </c>
      <c r="F366" s="3">
        <v>1.7566198610791854E-3</v>
      </c>
    </row>
    <row r="367" spans="5:6" x14ac:dyDescent="0.25">
      <c r="E367">
        <v>366</v>
      </c>
      <c r="F367" s="3">
        <v>2.273790990868756E-2</v>
      </c>
    </row>
    <row r="368" spans="5:6" x14ac:dyDescent="0.25">
      <c r="E368">
        <v>367</v>
      </c>
      <c r="F368" s="3">
        <v>-1.413243015907732E-2</v>
      </c>
    </row>
    <row r="369" spans="5:6" x14ac:dyDescent="0.25">
      <c r="E369">
        <v>368</v>
      </c>
      <c r="F369" s="3">
        <v>3.8596074151002642E-3</v>
      </c>
    </row>
    <row r="370" spans="5:6" x14ac:dyDescent="0.25">
      <c r="E370">
        <v>369</v>
      </c>
      <c r="F370" s="3">
        <v>-2.6307121465277729E-3</v>
      </c>
    </row>
    <row r="371" spans="5:6" x14ac:dyDescent="0.25">
      <c r="E371">
        <v>370</v>
      </c>
      <c r="F371" s="3">
        <v>7.9419683666465072E-3</v>
      </c>
    </row>
    <row r="372" spans="5:6" x14ac:dyDescent="0.25">
      <c r="E372">
        <v>371</v>
      </c>
      <c r="F372" s="3">
        <v>7.6036390628489879E-3</v>
      </c>
    </row>
    <row r="373" spans="5:6" x14ac:dyDescent="0.25">
      <c r="E373">
        <v>372</v>
      </c>
      <c r="F373" s="3">
        <v>-1.3096512795700845E-3</v>
      </c>
    </row>
    <row r="374" spans="5:6" x14ac:dyDescent="0.25">
      <c r="E374">
        <v>373</v>
      </c>
      <c r="F374" s="3">
        <v>5.9702553391552905E-3</v>
      </c>
    </row>
    <row r="375" spans="5:6" x14ac:dyDescent="0.25">
      <c r="E375">
        <v>374</v>
      </c>
      <c r="F375" s="3">
        <v>9.6322447305261759E-3</v>
      </c>
    </row>
    <row r="376" spans="5:6" x14ac:dyDescent="0.25">
      <c r="E376">
        <v>375</v>
      </c>
      <c r="F376" s="3">
        <v>6.1908651317627572E-3</v>
      </c>
    </row>
    <row r="377" spans="5:6" x14ac:dyDescent="0.25">
      <c r="E377">
        <v>376</v>
      </c>
      <c r="F377" s="3">
        <v>-1.0353139288817381E-2</v>
      </c>
    </row>
    <row r="378" spans="5:6" x14ac:dyDescent="0.25">
      <c r="E378">
        <v>377</v>
      </c>
      <c r="F378" s="3">
        <v>1.7812781659983533E-2</v>
      </c>
    </row>
    <row r="379" spans="5:6" x14ac:dyDescent="0.25">
      <c r="E379">
        <v>378</v>
      </c>
      <c r="F379" s="3">
        <v>1.7014389037511208E-3</v>
      </c>
    </row>
    <row r="380" spans="5:6" x14ac:dyDescent="0.25">
      <c r="E380">
        <v>379</v>
      </c>
      <c r="F380" s="3">
        <v>2.3880532101224223E-3</v>
      </c>
    </row>
    <row r="381" spans="5:6" x14ac:dyDescent="0.25">
      <c r="E381">
        <v>380</v>
      </c>
      <c r="F381" s="3">
        <v>-5.4209447149767519E-3</v>
      </c>
    </row>
    <row r="382" spans="5:6" x14ac:dyDescent="0.25">
      <c r="E382">
        <v>381</v>
      </c>
      <c r="F382" s="3">
        <v>6.6021549514674507E-3</v>
      </c>
    </row>
    <row r="383" spans="5:6" x14ac:dyDescent="0.25">
      <c r="E383">
        <v>382</v>
      </c>
      <c r="F383" s="3">
        <v>3.5014164709343237E-2</v>
      </c>
    </row>
    <row r="384" spans="5:6" x14ac:dyDescent="0.25">
      <c r="E384">
        <v>383</v>
      </c>
      <c r="F384" s="3">
        <v>2.3048750819123966E-2</v>
      </c>
    </row>
    <row r="385" spans="5:6" x14ac:dyDescent="0.25">
      <c r="E385">
        <v>384</v>
      </c>
      <c r="F385" s="3">
        <v>-1.4567393160182044E-2</v>
      </c>
    </row>
    <row r="386" spans="5:6" x14ac:dyDescent="0.25">
      <c r="E386">
        <v>385</v>
      </c>
      <c r="F386" s="3">
        <v>1.9988128083375752E-3</v>
      </c>
    </row>
    <row r="387" spans="5:6" x14ac:dyDescent="0.25">
      <c r="E387">
        <v>386</v>
      </c>
      <c r="F387" s="3">
        <v>-4.071865063177315E-3</v>
      </c>
    </row>
    <row r="388" spans="5:6" x14ac:dyDescent="0.25">
      <c r="E388">
        <v>387</v>
      </c>
      <c r="F388" s="3">
        <v>1.7212107314600468E-2</v>
      </c>
    </row>
    <row r="389" spans="5:6" x14ac:dyDescent="0.25">
      <c r="E389">
        <v>388</v>
      </c>
      <c r="F389" s="3">
        <v>4.9714935190795064E-3</v>
      </c>
    </row>
    <row r="390" spans="5:6" x14ac:dyDescent="0.25">
      <c r="E390">
        <v>389</v>
      </c>
      <c r="F390" s="3">
        <v>-1.8639054185166454E-2</v>
      </c>
    </row>
    <row r="391" spans="5:6" x14ac:dyDescent="0.25">
      <c r="E391">
        <v>390</v>
      </c>
      <c r="F391" s="3">
        <v>-7.2296748220866784E-3</v>
      </c>
    </row>
    <row r="392" spans="5:6" x14ac:dyDescent="0.25">
      <c r="E392">
        <v>391</v>
      </c>
      <c r="F392" s="3">
        <v>1.2877391477553969E-2</v>
      </c>
    </row>
    <row r="393" spans="5:6" x14ac:dyDescent="0.25">
      <c r="E393">
        <v>392</v>
      </c>
      <c r="F393" s="3">
        <v>8.2437886527731413E-3</v>
      </c>
    </row>
    <row r="394" spans="5:6" x14ac:dyDescent="0.25">
      <c r="E394">
        <v>393</v>
      </c>
      <c r="F394" s="3">
        <v>1.6450287502564064E-2</v>
      </c>
    </row>
    <row r="395" spans="5:6" x14ac:dyDescent="0.25">
      <c r="E395">
        <v>394</v>
      </c>
      <c r="F395" s="3">
        <v>-7.2351923554710793E-3</v>
      </c>
    </row>
    <row r="396" spans="5:6" x14ac:dyDescent="0.25">
      <c r="E396">
        <v>395</v>
      </c>
      <c r="F396" s="3">
        <v>-1.5565334828052861E-2</v>
      </c>
    </row>
    <row r="397" spans="5:6" x14ac:dyDescent="0.25">
      <c r="E397">
        <v>396</v>
      </c>
      <c r="F397" s="3">
        <v>1.7668380017097546E-2</v>
      </c>
    </row>
    <row r="398" spans="5:6" x14ac:dyDescent="0.25">
      <c r="E398">
        <v>397</v>
      </c>
      <c r="F398" s="3">
        <v>1.6790276518835953E-2</v>
      </c>
    </row>
    <row r="399" spans="5:6" x14ac:dyDescent="0.25">
      <c r="E399">
        <v>398</v>
      </c>
      <c r="F399" s="3">
        <v>1.4399190643429514E-2</v>
      </c>
    </row>
    <row r="400" spans="5:6" x14ac:dyDescent="0.25">
      <c r="E400">
        <v>399</v>
      </c>
      <c r="F400" s="3">
        <v>4.8754531763131846E-3</v>
      </c>
    </row>
    <row r="401" spans="5:6" x14ac:dyDescent="0.25">
      <c r="E401">
        <v>400</v>
      </c>
      <c r="F401" s="3">
        <v>-1.2796582111525737E-2</v>
      </c>
    </row>
    <row r="402" spans="5:6" x14ac:dyDescent="0.25">
      <c r="E402">
        <v>401</v>
      </c>
      <c r="F402" s="3">
        <v>-1.0162750153051814E-2</v>
      </c>
    </row>
    <row r="403" spans="5:6" x14ac:dyDescent="0.25">
      <c r="E403">
        <v>402</v>
      </c>
      <c r="F403" s="3">
        <v>-2.5519080304014737E-2</v>
      </c>
    </row>
    <row r="404" spans="5:6" x14ac:dyDescent="0.25">
      <c r="E404">
        <v>403</v>
      </c>
      <c r="F404" s="3">
        <v>-1.2295032761478151E-2</v>
      </c>
    </row>
    <row r="405" spans="5:6" x14ac:dyDescent="0.25">
      <c r="E405">
        <v>404</v>
      </c>
      <c r="F405" s="3">
        <v>-3.5699479373273941E-3</v>
      </c>
    </row>
    <row r="406" spans="5:6" x14ac:dyDescent="0.25">
      <c r="E406">
        <v>405</v>
      </c>
      <c r="F406" s="3">
        <v>-1.3156822268122375E-2</v>
      </c>
    </row>
    <row r="407" spans="5:6" x14ac:dyDescent="0.25">
      <c r="E407">
        <v>406</v>
      </c>
      <c r="F407" s="3">
        <v>-9.5784829549513169E-3</v>
      </c>
    </row>
    <row r="408" spans="5:6" x14ac:dyDescent="0.25">
      <c r="E408">
        <v>407</v>
      </c>
      <c r="F408" s="3">
        <v>-3.7625354343551005E-3</v>
      </c>
    </row>
    <row r="409" spans="5:6" x14ac:dyDescent="0.25">
      <c r="E409">
        <v>408</v>
      </c>
      <c r="F409" s="3">
        <v>-8.4031382783202879E-3</v>
      </c>
    </row>
    <row r="410" spans="5:6" x14ac:dyDescent="0.25">
      <c r="E410">
        <v>409</v>
      </c>
      <c r="F410" s="3">
        <v>1.6309593821962159E-2</v>
      </c>
    </row>
    <row r="411" spans="5:6" x14ac:dyDescent="0.25">
      <c r="E411">
        <v>410</v>
      </c>
      <c r="F411" s="3">
        <v>-3.1907570419426627E-3</v>
      </c>
    </row>
    <row r="412" spans="5:6" x14ac:dyDescent="0.25">
      <c r="E412">
        <v>411</v>
      </c>
      <c r="F412" s="3">
        <v>1.9083680732800316E-2</v>
      </c>
    </row>
    <row r="413" spans="5:6" x14ac:dyDescent="0.25">
      <c r="E413">
        <v>412</v>
      </c>
      <c r="F413" s="3">
        <v>-1.3169177488901323E-3</v>
      </c>
    </row>
    <row r="414" spans="5:6" x14ac:dyDescent="0.25">
      <c r="E414">
        <v>413</v>
      </c>
      <c r="F414" s="3">
        <v>-2.5726771365773296E-2</v>
      </c>
    </row>
    <row r="415" spans="5:6" x14ac:dyDescent="0.25">
      <c r="E415">
        <v>414</v>
      </c>
      <c r="F415" s="3">
        <v>3.9548433359983442E-3</v>
      </c>
    </row>
    <row r="416" spans="5:6" x14ac:dyDescent="0.25">
      <c r="E416">
        <v>415</v>
      </c>
      <c r="F416" s="3">
        <v>-1.4188877410613199E-3</v>
      </c>
    </row>
    <row r="417" spans="5:6" x14ac:dyDescent="0.25">
      <c r="E417">
        <v>416</v>
      </c>
      <c r="F417" s="3">
        <v>-2.8890114675519224E-4</v>
      </c>
    </row>
    <row r="418" spans="5:6" x14ac:dyDescent="0.25">
      <c r="E418">
        <v>417</v>
      </c>
      <c r="F418" s="3">
        <v>1.1063912933676735E-2</v>
      </c>
    </row>
    <row r="419" spans="5:6" x14ac:dyDescent="0.25">
      <c r="E419">
        <v>418</v>
      </c>
      <c r="F419" s="3">
        <v>-8.6318585216358171E-3</v>
      </c>
    </row>
    <row r="420" spans="5:6" x14ac:dyDescent="0.25">
      <c r="E420">
        <v>419</v>
      </c>
      <c r="F420" s="3">
        <v>-2.1380843233513556E-2</v>
      </c>
    </row>
    <row r="421" spans="5:6" x14ac:dyDescent="0.25">
      <c r="E421">
        <v>420</v>
      </c>
      <c r="F421" s="3">
        <v>5.5604662378817464E-3</v>
      </c>
    </row>
    <row r="422" spans="5:6" x14ac:dyDescent="0.25">
      <c r="E422">
        <v>421</v>
      </c>
      <c r="F422" s="3">
        <v>9.1558015293934335E-3</v>
      </c>
    </row>
    <row r="423" spans="5:6" x14ac:dyDescent="0.25">
      <c r="E423">
        <v>422</v>
      </c>
      <c r="F423" s="3">
        <v>-1.0859164218050815E-2</v>
      </c>
    </row>
    <row r="424" spans="5:6" x14ac:dyDescent="0.25">
      <c r="E424">
        <v>423</v>
      </c>
      <c r="F424" s="3">
        <v>-1.9261345818239759E-3</v>
      </c>
    </row>
    <row r="425" spans="5:6" x14ac:dyDescent="0.25">
      <c r="E425">
        <v>424</v>
      </c>
      <c r="F425" s="3">
        <v>-7.3455908335025941E-3</v>
      </c>
    </row>
    <row r="426" spans="5:6" x14ac:dyDescent="0.25">
      <c r="E426">
        <v>425</v>
      </c>
      <c r="F426" s="3">
        <v>1.5022936295918277E-2</v>
      </c>
    </row>
    <row r="427" spans="5:6" x14ac:dyDescent="0.25">
      <c r="E427">
        <v>426</v>
      </c>
      <c r="F427" s="3">
        <v>2.7985175347196838E-3</v>
      </c>
    </row>
    <row r="428" spans="5:6" x14ac:dyDescent="0.25">
      <c r="E428">
        <v>427</v>
      </c>
      <c r="F428" s="3">
        <v>1.5409009655326383E-2</v>
      </c>
    </row>
    <row r="429" spans="5:6" x14ac:dyDescent="0.25">
      <c r="E429">
        <v>428</v>
      </c>
      <c r="F429" s="3">
        <v>-1.3884230278534129E-2</v>
      </c>
    </row>
    <row r="430" spans="5:6" x14ac:dyDescent="0.25">
      <c r="E430">
        <v>429</v>
      </c>
      <c r="F430" s="3">
        <v>-1.0232903919923158E-2</v>
      </c>
    </row>
    <row r="431" spans="5:6" x14ac:dyDescent="0.25">
      <c r="E431">
        <v>430</v>
      </c>
      <c r="F431" s="3">
        <v>-9.4661352308768906E-4</v>
      </c>
    </row>
    <row r="432" spans="5:6" x14ac:dyDescent="0.25">
      <c r="E432">
        <v>431</v>
      </c>
      <c r="F432" s="3">
        <v>-1.9248101515263089E-2</v>
      </c>
    </row>
    <row r="433" spans="5:6" x14ac:dyDescent="0.25">
      <c r="E433">
        <v>432</v>
      </c>
      <c r="F433" s="3">
        <v>-1.3790483608466049E-2</v>
      </c>
    </row>
    <row r="434" spans="5:6" x14ac:dyDescent="0.25">
      <c r="E434">
        <v>433</v>
      </c>
      <c r="F434" s="3">
        <v>9.2861224001418007E-3</v>
      </c>
    </row>
    <row r="435" spans="5:6" x14ac:dyDescent="0.25">
      <c r="E435">
        <v>434</v>
      </c>
      <c r="F435" s="3">
        <v>6.5741459181734322E-3</v>
      </c>
    </row>
    <row r="436" spans="5:6" x14ac:dyDescent="0.25">
      <c r="E436">
        <v>435</v>
      </c>
      <c r="F436" s="3">
        <v>4.7326514442906529E-3</v>
      </c>
    </row>
    <row r="437" spans="5:6" x14ac:dyDescent="0.25">
      <c r="E437">
        <v>436</v>
      </c>
      <c r="F437" s="3">
        <v>3.5710397766267081E-3</v>
      </c>
    </row>
    <row r="438" spans="5:6" x14ac:dyDescent="0.25">
      <c r="E438">
        <v>437</v>
      </c>
      <c r="F438" s="3">
        <v>1.4732180656576097E-2</v>
      </c>
    </row>
    <row r="439" spans="5:6" x14ac:dyDescent="0.25">
      <c r="E439">
        <v>438</v>
      </c>
      <c r="F439" s="3">
        <v>-4.4876692899559478E-3</v>
      </c>
    </row>
    <row r="440" spans="5:6" x14ac:dyDescent="0.25">
      <c r="E440">
        <v>439</v>
      </c>
      <c r="F440" s="3">
        <v>-9.8491394057533491E-3</v>
      </c>
    </row>
    <row r="441" spans="5:6" x14ac:dyDescent="0.25">
      <c r="E441">
        <v>440</v>
      </c>
      <c r="F441" s="3">
        <v>-1.2030456550906534E-2</v>
      </c>
    </row>
    <row r="442" spans="5:6" x14ac:dyDescent="0.25">
      <c r="E442">
        <v>441</v>
      </c>
      <c r="F442" s="3">
        <v>2.2393355900895144E-3</v>
      </c>
    </row>
    <row r="443" spans="5:6" x14ac:dyDescent="0.25">
      <c r="E443">
        <v>442</v>
      </c>
      <c r="F443" s="3">
        <v>1.1281969867503459E-2</v>
      </c>
    </row>
    <row r="444" spans="5:6" x14ac:dyDescent="0.25">
      <c r="E444">
        <v>443</v>
      </c>
      <c r="F444" s="3">
        <v>-1.0365220191737943E-2</v>
      </c>
    </row>
    <row r="445" spans="5:6" x14ac:dyDescent="0.25">
      <c r="E445">
        <v>444</v>
      </c>
      <c r="F445" s="3">
        <v>1.3208550667159646E-2</v>
      </c>
    </row>
    <row r="446" spans="5:6" x14ac:dyDescent="0.25">
      <c r="E446">
        <v>445</v>
      </c>
      <c r="F446" s="3">
        <v>-1.6628725876681152E-2</v>
      </c>
    </row>
    <row r="447" spans="5:6" x14ac:dyDescent="0.25">
      <c r="E447">
        <v>446</v>
      </c>
      <c r="F447" s="3">
        <v>-4.4472926917615814E-3</v>
      </c>
    </row>
    <row r="448" spans="5:6" x14ac:dyDescent="0.25">
      <c r="E448">
        <v>447</v>
      </c>
      <c r="F448" s="3">
        <v>-5.3534717385966069E-3</v>
      </c>
    </row>
    <row r="449" spans="5:6" x14ac:dyDescent="0.25">
      <c r="E449">
        <v>448</v>
      </c>
      <c r="F449" s="3">
        <v>2.9608368542376154E-2</v>
      </c>
    </row>
    <row r="450" spans="5:6" x14ac:dyDescent="0.25">
      <c r="E450">
        <v>449</v>
      </c>
      <c r="F450" s="3">
        <v>-4.3975040797247693E-3</v>
      </c>
    </row>
    <row r="451" spans="5:6" x14ac:dyDescent="0.25">
      <c r="E451">
        <v>450</v>
      </c>
      <c r="F451" s="3">
        <v>6.5182672302266445E-3</v>
      </c>
    </row>
    <row r="452" spans="5:6" x14ac:dyDescent="0.25">
      <c r="E452">
        <v>451</v>
      </c>
      <c r="F452" s="3">
        <v>9.3725221067952561E-3</v>
      </c>
    </row>
    <row r="453" spans="5:6" x14ac:dyDescent="0.25">
      <c r="E453">
        <v>452</v>
      </c>
      <c r="F453" s="3">
        <v>-2.019482307582017E-2</v>
      </c>
    </row>
    <row r="454" spans="5:6" x14ac:dyDescent="0.25">
      <c r="E454">
        <v>453</v>
      </c>
      <c r="F454" s="3">
        <v>1.1347211357990968E-4</v>
      </c>
    </row>
    <row r="455" spans="5:6" x14ac:dyDescent="0.25">
      <c r="E455">
        <v>454</v>
      </c>
      <c r="F455" s="3">
        <v>6.5174588932696009E-3</v>
      </c>
    </row>
    <row r="456" spans="5:6" x14ac:dyDescent="0.25">
      <c r="E456">
        <v>455</v>
      </c>
      <c r="F456" s="3">
        <v>1.3309463963831916E-2</v>
      </c>
    </row>
    <row r="457" spans="5:6" x14ac:dyDescent="0.25">
      <c r="E457">
        <v>456</v>
      </c>
      <c r="F457" s="3">
        <v>-6.3843338411434993E-3</v>
      </c>
    </row>
    <row r="458" spans="5:6" x14ac:dyDescent="0.25">
      <c r="E458">
        <v>457</v>
      </c>
      <c r="F458" s="3">
        <v>1.0233741592187857E-2</v>
      </c>
    </row>
    <row r="459" spans="5:6" x14ac:dyDescent="0.25">
      <c r="E459">
        <v>458</v>
      </c>
      <c r="F459" s="3">
        <v>1.9071581045583104E-2</v>
      </c>
    </row>
    <row r="460" spans="5:6" x14ac:dyDescent="0.25">
      <c r="E460">
        <v>459</v>
      </c>
      <c r="F460" s="3">
        <v>1.9332637972165535E-2</v>
      </c>
    </row>
    <row r="461" spans="5:6" x14ac:dyDescent="0.25">
      <c r="E461">
        <v>460</v>
      </c>
      <c r="F461" s="3">
        <v>-2.9999077678820325E-2</v>
      </c>
    </row>
    <row r="462" spans="5:6" x14ac:dyDescent="0.25">
      <c r="E462">
        <v>461</v>
      </c>
      <c r="F462" s="3">
        <v>2.1373607566825117E-2</v>
      </c>
    </row>
    <row r="463" spans="5:6" x14ac:dyDescent="0.25">
      <c r="E463">
        <v>462</v>
      </c>
      <c r="F463" s="3">
        <v>-9.8618732261909186E-3</v>
      </c>
    </row>
    <row r="464" spans="5:6" x14ac:dyDescent="0.25">
      <c r="E464">
        <v>463</v>
      </c>
      <c r="F464" s="3">
        <v>5.7903509750616795E-3</v>
      </c>
    </row>
    <row r="465" spans="5:6" x14ac:dyDescent="0.25">
      <c r="E465">
        <v>464</v>
      </c>
      <c r="F465" s="3">
        <v>-9.8748701237108411E-3</v>
      </c>
    </row>
    <row r="466" spans="5:6" x14ac:dyDescent="0.25">
      <c r="E466">
        <v>465</v>
      </c>
      <c r="F466" s="3">
        <v>2.482536377023041E-2</v>
      </c>
    </row>
    <row r="467" spans="5:6" x14ac:dyDescent="0.25">
      <c r="E467">
        <v>466</v>
      </c>
      <c r="F467" s="3">
        <v>2.4927096096895189E-2</v>
      </c>
    </row>
    <row r="468" spans="5:6" x14ac:dyDescent="0.25">
      <c r="E468">
        <v>467</v>
      </c>
      <c r="F468" s="3">
        <v>8.4730993598852063E-3</v>
      </c>
    </row>
    <row r="469" spans="5:6" x14ac:dyDescent="0.25">
      <c r="E469">
        <v>468</v>
      </c>
      <c r="F469" s="3">
        <v>8.5001658902041591E-3</v>
      </c>
    </row>
    <row r="470" spans="5:6" x14ac:dyDescent="0.25">
      <c r="E470">
        <v>469</v>
      </c>
      <c r="F470" s="3">
        <v>2.6893459924672205E-3</v>
      </c>
    </row>
    <row r="471" spans="5:6" x14ac:dyDescent="0.25">
      <c r="E471">
        <v>470</v>
      </c>
      <c r="F471" s="3">
        <v>-1.0981606759319005E-2</v>
      </c>
    </row>
    <row r="472" spans="5:6" x14ac:dyDescent="0.25">
      <c r="E472">
        <v>471</v>
      </c>
      <c r="F472" s="3">
        <v>2.1258881264911728E-3</v>
      </c>
    </row>
    <row r="473" spans="5:6" x14ac:dyDescent="0.25">
      <c r="E473">
        <v>472</v>
      </c>
      <c r="F473" s="3">
        <v>-6.746323567186234E-3</v>
      </c>
    </row>
    <row r="474" spans="5:6" x14ac:dyDescent="0.25">
      <c r="E474">
        <v>473</v>
      </c>
      <c r="F474" s="3">
        <v>1.5630352068876346E-2</v>
      </c>
    </row>
    <row r="475" spans="5:6" x14ac:dyDescent="0.25">
      <c r="E475">
        <v>474</v>
      </c>
      <c r="F475" s="3">
        <v>3.9825515291811364E-4</v>
      </c>
    </row>
    <row r="476" spans="5:6" x14ac:dyDescent="0.25">
      <c r="E476">
        <v>475</v>
      </c>
      <c r="F476" s="3">
        <v>-1.7645126109526385E-2</v>
      </c>
    </row>
    <row r="477" spans="5:6" x14ac:dyDescent="0.25">
      <c r="E477">
        <v>476</v>
      </c>
      <c r="F477" s="3">
        <v>-9.4673660160163528E-3</v>
      </c>
    </row>
    <row r="478" spans="5:6" x14ac:dyDescent="0.25">
      <c r="E478">
        <v>477</v>
      </c>
      <c r="F478" s="3">
        <v>2.0892213350480218E-2</v>
      </c>
    </row>
    <row r="479" spans="5:6" x14ac:dyDescent="0.25">
      <c r="E479">
        <v>478</v>
      </c>
      <c r="F479" s="3">
        <v>-5.2670737195913489E-3</v>
      </c>
    </row>
    <row r="480" spans="5:6" x14ac:dyDescent="0.25">
      <c r="E480">
        <v>479</v>
      </c>
      <c r="F480" s="3">
        <v>8.8619903316167689E-3</v>
      </c>
    </row>
    <row r="481" spans="5:6" x14ac:dyDescent="0.25">
      <c r="E481">
        <v>480</v>
      </c>
      <c r="F481" s="3">
        <v>-2.2727611446366975E-3</v>
      </c>
    </row>
    <row r="482" spans="5:6" x14ac:dyDescent="0.25">
      <c r="E482">
        <v>481</v>
      </c>
      <c r="F482" s="3">
        <v>8.9491780246036684E-3</v>
      </c>
    </row>
    <row r="483" spans="5:6" x14ac:dyDescent="0.25">
      <c r="E483">
        <v>482</v>
      </c>
      <c r="F483" s="3">
        <v>-7.9486151682450182E-4</v>
      </c>
    </row>
    <row r="484" spans="5:6" x14ac:dyDescent="0.25">
      <c r="E484">
        <v>483</v>
      </c>
      <c r="F484" s="3">
        <v>3.1433357169585452E-3</v>
      </c>
    </row>
    <row r="485" spans="5:6" x14ac:dyDescent="0.25">
      <c r="E485">
        <v>484</v>
      </c>
      <c r="F485" s="3">
        <v>2.5564260226989485E-2</v>
      </c>
    </row>
    <row r="486" spans="5:6" x14ac:dyDescent="0.25">
      <c r="E486">
        <v>485</v>
      </c>
      <c r="F486" s="3">
        <v>-8.3014158668063831E-3</v>
      </c>
    </row>
    <row r="487" spans="5:6" x14ac:dyDescent="0.25">
      <c r="E487">
        <v>486</v>
      </c>
      <c r="F487" s="3">
        <v>-1.1307947000903497E-2</v>
      </c>
    </row>
    <row r="488" spans="5:6" x14ac:dyDescent="0.25">
      <c r="E488">
        <v>487</v>
      </c>
      <c r="F488" s="3">
        <v>1.7928090685357403E-2</v>
      </c>
    </row>
    <row r="489" spans="5:6" x14ac:dyDescent="0.25">
      <c r="E489">
        <v>488</v>
      </c>
      <c r="F489" s="3">
        <v>-5.9498088960692756E-4</v>
      </c>
    </row>
    <row r="490" spans="5:6" x14ac:dyDescent="0.25">
      <c r="E490">
        <v>489</v>
      </c>
      <c r="F490" s="3">
        <v>8.8759506662223055E-4</v>
      </c>
    </row>
    <row r="491" spans="5:6" x14ac:dyDescent="0.25">
      <c r="E491">
        <v>490</v>
      </c>
      <c r="F491" s="3">
        <v>-3.2726266584785866E-3</v>
      </c>
    </row>
    <row r="492" spans="5:6" x14ac:dyDescent="0.25">
      <c r="E492">
        <v>491</v>
      </c>
      <c r="F492" s="3">
        <v>-1.6556091674457311E-2</v>
      </c>
    </row>
    <row r="493" spans="5:6" x14ac:dyDescent="0.25">
      <c r="E493">
        <v>492</v>
      </c>
      <c r="F493" s="3">
        <v>5.2646549384619936E-3</v>
      </c>
    </row>
    <row r="494" spans="5:6" x14ac:dyDescent="0.25">
      <c r="E494">
        <v>493</v>
      </c>
      <c r="F494" s="3">
        <v>6.557265249027713E-3</v>
      </c>
    </row>
    <row r="495" spans="5:6" x14ac:dyDescent="0.25">
      <c r="E495">
        <v>494</v>
      </c>
      <c r="F495" s="3">
        <v>-1.4530295418154872E-2</v>
      </c>
    </row>
    <row r="496" spans="5:6" x14ac:dyDescent="0.25">
      <c r="E496">
        <v>495</v>
      </c>
      <c r="F496" s="3">
        <v>3.8914996490140132E-3</v>
      </c>
    </row>
    <row r="497" spans="5:6" x14ac:dyDescent="0.25">
      <c r="E497">
        <v>496</v>
      </c>
      <c r="F497" s="3">
        <v>-1.0343135724273691E-2</v>
      </c>
    </row>
    <row r="498" spans="5:6" x14ac:dyDescent="0.25">
      <c r="E498">
        <v>497</v>
      </c>
      <c r="F498" s="3">
        <v>-6.6133113204519846E-3</v>
      </c>
    </row>
    <row r="499" spans="5:6" x14ac:dyDescent="0.25">
      <c r="E499">
        <v>498</v>
      </c>
      <c r="F499" s="3">
        <v>-2.5710562047028918E-2</v>
      </c>
    </row>
    <row r="500" spans="5:6" x14ac:dyDescent="0.25">
      <c r="E500">
        <v>499</v>
      </c>
      <c r="F500" s="3">
        <v>-2.5551804257263463E-3</v>
      </c>
    </row>
    <row r="501" spans="5:6" x14ac:dyDescent="0.25">
      <c r="E501">
        <v>500</v>
      </c>
      <c r="F501" s="3">
        <v>2.2695281258020448E-3</v>
      </c>
    </row>
    <row r="502" spans="5:6" x14ac:dyDescent="0.25">
      <c r="E502">
        <v>501</v>
      </c>
      <c r="F502" s="3">
        <v>1.9906846431527212E-2</v>
      </c>
    </row>
    <row r="503" spans="5:6" x14ac:dyDescent="0.25">
      <c r="E503">
        <v>502</v>
      </c>
      <c r="F503" s="3">
        <v>1.373918549782787E-2</v>
      </c>
    </row>
    <row r="504" spans="5:6" x14ac:dyDescent="0.25">
      <c r="E504">
        <v>503</v>
      </c>
      <c r="F504" s="3">
        <v>4.3272762161548949E-3</v>
      </c>
    </row>
    <row r="505" spans="5:6" x14ac:dyDescent="0.25">
      <c r="E505">
        <v>504</v>
      </c>
      <c r="F505" s="3">
        <v>-6.1501321554180899E-3</v>
      </c>
    </row>
    <row r="506" spans="5:6" x14ac:dyDescent="0.25">
      <c r="E506">
        <v>505</v>
      </c>
      <c r="F506" s="3">
        <v>5.5274556339151735E-3</v>
      </c>
    </row>
    <row r="507" spans="5:6" x14ac:dyDescent="0.25">
      <c r="E507">
        <v>506</v>
      </c>
      <c r="F507" s="3">
        <v>-8.5732139192645838E-4</v>
      </c>
    </row>
    <row r="508" spans="5:6" x14ac:dyDescent="0.25">
      <c r="E508">
        <v>507</v>
      </c>
      <c r="F508" s="3">
        <v>2.4924644587172699E-2</v>
      </c>
    </row>
    <row r="509" spans="5:6" x14ac:dyDescent="0.25">
      <c r="E509">
        <v>508</v>
      </c>
      <c r="F509" s="3">
        <v>-2.0363098358960399E-3</v>
      </c>
    </row>
    <row r="510" spans="5:6" x14ac:dyDescent="0.25">
      <c r="E510">
        <v>509</v>
      </c>
      <c r="F510" s="3">
        <v>1.9842711973632771E-2</v>
      </c>
    </row>
    <row r="511" spans="5:6" x14ac:dyDescent="0.25">
      <c r="E511">
        <v>510</v>
      </c>
      <c r="F511" s="3">
        <v>-7.6519274685500193E-5</v>
      </c>
    </row>
    <row r="512" spans="5:6" x14ac:dyDescent="0.25">
      <c r="E512">
        <v>511</v>
      </c>
      <c r="F512" s="3">
        <v>2.8132577103793304E-3</v>
      </c>
    </row>
    <row r="513" spans="5:6" x14ac:dyDescent="0.25">
      <c r="E513">
        <v>512</v>
      </c>
      <c r="F513" s="3">
        <v>-3.8584672054661302E-3</v>
      </c>
    </row>
    <row r="514" spans="5:6" x14ac:dyDescent="0.25">
      <c r="E514">
        <v>513</v>
      </c>
      <c r="F514" s="3">
        <v>2.4137925286432859E-3</v>
      </c>
    </row>
    <row r="515" spans="5:6" x14ac:dyDescent="0.25">
      <c r="E515">
        <v>514</v>
      </c>
      <c r="F515" s="3">
        <v>-3.623113767274562E-2</v>
      </c>
    </row>
    <row r="516" spans="5:6" x14ac:dyDescent="0.25">
      <c r="E516">
        <v>515</v>
      </c>
      <c r="F516" s="3">
        <v>4.75479564927453E-3</v>
      </c>
    </row>
    <row r="517" spans="5:6" x14ac:dyDescent="0.25">
      <c r="E517">
        <v>516</v>
      </c>
      <c r="F517" s="3">
        <v>-5.7226764215924006E-4</v>
      </c>
    </row>
    <row r="518" spans="5:6" x14ac:dyDescent="0.25">
      <c r="E518">
        <v>517</v>
      </c>
      <c r="F518" s="3">
        <v>-1.4319824275103572E-2</v>
      </c>
    </row>
    <row r="519" spans="5:6" x14ac:dyDescent="0.25">
      <c r="E519">
        <v>518</v>
      </c>
      <c r="F519" s="3">
        <v>-1.5689901448061587E-2</v>
      </c>
    </row>
    <row r="520" spans="5:6" x14ac:dyDescent="0.25">
      <c r="E520">
        <v>519</v>
      </c>
      <c r="F520" s="3">
        <v>5.912708369443952E-3</v>
      </c>
    </row>
    <row r="521" spans="5:6" x14ac:dyDescent="0.25">
      <c r="E521">
        <v>520</v>
      </c>
      <c r="F521" s="3">
        <v>-7.7480845473691558E-3</v>
      </c>
    </row>
    <row r="522" spans="5:6" x14ac:dyDescent="0.25">
      <c r="E522">
        <v>521</v>
      </c>
      <c r="F522" s="3">
        <v>-8.9863003948814548E-3</v>
      </c>
    </row>
    <row r="523" spans="5:6" x14ac:dyDescent="0.25">
      <c r="E523">
        <v>522</v>
      </c>
      <c r="F523" s="3">
        <v>6.1585973870532038E-3</v>
      </c>
    </row>
    <row r="524" spans="5:6" x14ac:dyDescent="0.25">
      <c r="E524">
        <v>523</v>
      </c>
      <c r="F524" s="3">
        <v>-2.1874702677161812E-2</v>
      </c>
    </row>
    <row r="525" spans="5:6" x14ac:dyDescent="0.25">
      <c r="E525">
        <v>524</v>
      </c>
      <c r="F525" s="3">
        <v>-9.8438114893803514E-3</v>
      </c>
    </row>
    <row r="526" spans="5:6" x14ac:dyDescent="0.25">
      <c r="E526">
        <v>525</v>
      </c>
      <c r="F526" s="3">
        <v>-1.1812544994314181E-2</v>
      </c>
    </row>
    <row r="527" spans="5:6" x14ac:dyDescent="0.25">
      <c r="E527">
        <v>526</v>
      </c>
      <c r="F527" s="3">
        <v>-4.1624947171339105E-4</v>
      </c>
    </row>
    <row r="528" spans="5:6" x14ac:dyDescent="0.25">
      <c r="E528">
        <v>527</v>
      </c>
      <c r="F528" s="3">
        <v>7.2991095751532929E-3</v>
      </c>
    </row>
    <row r="529" spans="5:6" x14ac:dyDescent="0.25">
      <c r="E529">
        <v>528</v>
      </c>
      <c r="F529" s="3">
        <v>-2.4864870347896979E-2</v>
      </c>
    </row>
    <row r="530" spans="5:6" x14ac:dyDescent="0.25">
      <c r="E530">
        <v>529</v>
      </c>
      <c r="F530" s="3">
        <v>8.651997591259954E-3</v>
      </c>
    </row>
    <row r="531" spans="5:6" x14ac:dyDescent="0.25">
      <c r="E531">
        <v>530</v>
      </c>
      <c r="F531" s="3">
        <v>-1.7573735433679339E-2</v>
      </c>
    </row>
    <row r="532" spans="5:6" x14ac:dyDescent="0.25">
      <c r="E532">
        <v>531</v>
      </c>
      <c r="F532" s="3">
        <v>-1.9154622241775148E-2</v>
      </c>
    </row>
    <row r="533" spans="5:6" x14ac:dyDescent="0.25">
      <c r="E533">
        <v>532</v>
      </c>
      <c r="F533" s="3">
        <v>1.3767885173530333E-3</v>
      </c>
    </row>
    <row r="534" spans="5:6" x14ac:dyDescent="0.25">
      <c r="E534">
        <v>533</v>
      </c>
      <c r="F534" s="3">
        <v>1.6361565558647515E-2</v>
      </c>
    </row>
    <row r="535" spans="5:6" x14ac:dyDescent="0.25">
      <c r="E535">
        <v>534</v>
      </c>
      <c r="F535" s="3">
        <v>1.6550804297438045E-2</v>
      </c>
    </row>
    <row r="536" spans="5:6" x14ac:dyDescent="0.25">
      <c r="E536">
        <v>535</v>
      </c>
      <c r="F536" s="3">
        <v>-9.1618014779492642E-3</v>
      </c>
    </row>
    <row r="537" spans="5:6" x14ac:dyDescent="0.25">
      <c r="E537">
        <v>536</v>
      </c>
      <c r="F537" s="3">
        <v>-7.4484985321384648E-3</v>
      </c>
    </row>
    <row r="538" spans="5:6" x14ac:dyDescent="0.25">
      <c r="E538">
        <v>537</v>
      </c>
      <c r="F538" s="3">
        <v>1.0003541128107991E-2</v>
      </c>
    </row>
    <row r="539" spans="5:6" x14ac:dyDescent="0.25">
      <c r="E539">
        <v>538</v>
      </c>
      <c r="F539" s="3">
        <v>2.9710120188365203E-3</v>
      </c>
    </row>
    <row r="540" spans="5:6" x14ac:dyDescent="0.25">
      <c r="E540">
        <v>539</v>
      </c>
      <c r="F540" s="3">
        <v>-4.1751850619012078E-2</v>
      </c>
    </row>
    <row r="541" spans="5:6" x14ac:dyDescent="0.25">
      <c r="E541">
        <v>540</v>
      </c>
      <c r="F541" s="3">
        <v>9.88980617648017E-3</v>
      </c>
    </row>
    <row r="542" spans="5:6" x14ac:dyDescent="0.25">
      <c r="E542">
        <v>541</v>
      </c>
      <c r="F542" s="3">
        <v>-2.8005235301184874E-3</v>
      </c>
    </row>
    <row r="543" spans="5:6" x14ac:dyDescent="0.25">
      <c r="E543">
        <v>542</v>
      </c>
      <c r="F543" s="3">
        <v>-1.60473998049428E-2</v>
      </c>
    </row>
    <row r="544" spans="5:6" x14ac:dyDescent="0.25">
      <c r="E544">
        <v>543</v>
      </c>
      <c r="F544" s="3">
        <v>-2.619770713825418E-2</v>
      </c>
    </row>
    <row r="545" spans="5:6" x14ac:dyDescent="0.25">
      <c r="E545">
        <v>544</v>
      </c>
      <c r="F545" s="3">
        <v>8.3344080562668867E-3</v>
      </c>
    </row>
    <row r="546" spans="5:6" x14ac:dyDescent="0.25">
      <c r="E546">
        <v>545</v>
      </c>
      <c r="F546" s="3">
        <v>-2.522948024685942E-2</v>
      </c>
    </row>
    <row r="547" spans="5:6" x14ac:dyDescent="0.25">
      <c r="E547">
        <v>546</v>
      </c>
      <c r="F547" s="3">
        <v>-9.6018408436311722E-3</v>
      </c>
    </row>
    <row r="548" spans="5:6" x14ac:dyDescent="0.25">
      <c r="E548">
        <v>547</v>
      </c>
      <c r="F548" s="3">
        <v>-8.6146854453637324E-3</v>
      </c>
    </row>
    <row r="549" spans="5:6" x14ac:dyDescent="0.25">
      <c r="E549">
        <v>548</v>
      </c>
      <c r="F549" s="3">
        <v>9.3909596136619866E-3</v>
      </c>
    </row>
    <row r="550" spans="5:6" x14ac:dyDescent="0.25">
      <c r="E550">
        <v>549</v>
      </c>
      <c r="F550" s="3">
        <v>2.3928958877984505E-2</v>
      </c>
    </row>
    <row r="551" spans="5:6" x14ac:dyDescent="0.25">
      <c r="E551">
        <v>550</v>
      </c>
      <c r="F551" s="3">
        <v>1.3274487631868672E-2</v>
      </c>
    </row>
    <row r="552" spans="5:6" x14ac:dyDescent="0.25">
      <c r="E552">
        <v>551</v>
      </c>
      <c r="F552" s="3">
        <v>-6.8574926497582244E-3</v>
      </c>
    </row>
    <row r="553" spans="5:6" x14ac:dyDescent="0.25">
      <c r="E553">
        <v>552</v>
      </c>
      <c r="F553" s="3">
        <v>1.8453587152212753E-2</v>
      </c>
    </row>
    <row r="554" spans="5:6" x14ac:dyDescent="0.25">
      <c r="E554">
        <v>553</v>
      </c>
      <c r="F554" s="3">
        <v>-1.1404538350200952E-2</v>
      </c>
    </row>
    <row r="555" spans="5:6" x14ac:dyDescent="0.25">
      <c r="E555">
        <v>554</v>
      </c>
      <c r="F555" s="3">
        <v>2.2019574445172756E-2</v>
      </c>
    </row>
    <row r="556" spans="5:6" x14ac:dyDescent="0.25">
      <c r="E556">
        <v>555</v>
      </c>
      <c r="F556" s="3">
        <v>4.0869764017784247E-3</v>
      </c>
    </row>
    <row r="557" spans="5:6" x14ac:dyDescent="0.25">
      <c r="E557">
        <v>556</v>
      </c>
      <c r="F557" s="3">
        <v>-3.9413037489147967E-3</v>
      </c>
    </row>
    <row r="558" spans="5:6" x14ac:dyDescent="0.25">
      <c r="E558">
        <v>557</v>
      </c>
      <c r="F558" s="3">
        <v>9.7463852406313757E-3</v>
      </c>
    </row>
    <row r="559" spans="5:6" x14ac:dyDescent="0.25">
      <c r="E559">
        <v>558</v>
      </c>
      <c r="F559" s="3">
        <v>2.5492666757093389E-3</v>
      </c>
    </row>
    <row r="560" spans="5:6" x14ac:dyDescent="0.25">
      <c r="E560">
        <v>559</v>
      </c>
      <c r="F560" s="3">
        <v>8.5167911383491387E-3</v>
      </c>
    </row>
    <row r="561" spans="5:6" x14ac:dyDescent="0.25">
      <c r="E561">
        <v>560</v>
      </c>
      <c r="F561" s="3">
        <v>7.4055545922463231E-3</v>
      </c>
    </row>
    <row r="562" spans="5:6" x14ac:dyDescent="0.25">
      <c r="E562">
        <v>561</v>
      </c>
      <c r="F562" s="3">
        <v>-7.4037753440702007E-3</v>
      </c>
    </row>
    <row r="563" spans="5:6" x14ac:dyDescent="0.25">
      <c r="E563">
        <v>562</v>
      </c>
      <c r="F563" s="3">
        <v>-6.2385502841263629E-3</v>
      </c>
    </row>
    <row r="564" spans="5:6" x14ac:dyDescent="0.25">
      <c r="E564">
        <v>563</v>
      </c>
      <c r="F564" s="3">
        <v>6.5560922668256999E-3</v>
      </c>
    </row>
    <row r="565" spans="5:6" x14ac:dyDescent="0.25">
      <c r="E565">
        <v>564</v>
      </c>
      <c r="F565" s="3">
        <v>1.2155533755522432E-2</v>
      </c>
    </row>
    <row r="566" spans="5:6" x14ac:dyDescent="0.25">
      <c r="E566">
        <v>565</v>
      </c>
      <c r="F566" s="3">
        <v>1.1524713172079764E-2</v>
      </c>
    </row>
    <row r="567" spans="5:6" x14ac:dyDescent="0.25">
      <c r="E567">
        <v>566</v>
      </c>
      <c r="F567" s="3">
        <v>6.1497164253898418E-3</v>
      </c>
    </row>
    <row r="568" spans="5:6" x14ac:dyDescent="0.25">
      <c r="E568">
        <v>567</v>
      </c>
      <c r="F568" s="3">
        <v>-8.2976325608057934E-3</v>
      </c>
    </row>
    <row r="569" spans="5:6" x14ac:dyDescent="0.25">
      <c r="E569">
        <v>568</v>
      </c>
      <c r="F569" s="3">
        <v>-1.2463316695378035E-2</v>
      </c>
    </row>
    <row r="570" spans="5:6" x14ac:dyDescent="0.25">
      <c r="E570">
        <v>569</v>
      </c>
      <c r="F570" s="3">
        <v>7.9567832020986402E-3</v>
      </c>
    </row>
    <row r="571" spans="5:6" x14ac:dyDescent="0.25">
      <c r="E571">
        <v>570</v>
      </c>
      <c r="F571" s="3">
        <v>1.5586468111188627E-2</v>
      </c>
    </row>
    <row r="572" spans="5:6" x14ac:dyDescent="0.25">
      <c r="E572">
        <v>571</v>
      </c>
      <c r="F572" s="3">
        <v>1.3312452788742161E-2</v>
      </c>
    </row>
    <row r="573" spans="5:6" x14ac:dyDescent="0.25">
      <c r="E573">
        <v>572</v>
      </c>
      <c r="F573" s="3">
        <v>7.3492177907084058E-3</v>
      </c>
    </row>
    <row r="574" spans="5:6" x14ac:dyDescent="0.25">
      <c r="E574">
        <v>573</v>
      </c>
      <c r="F574" s="3">
        <v>-1.5350762912460037E-2</v>
      </c>
    </row>
    <row r="575" spans="5:6" x14ac:dyDescent="0.25">
      <c r="E575">
        <v>574</v>
      </c>
      <c r="F575" s="3">
        <v>-3.4297450636829778E-4</v>
      </c>
    </row>
    <row r="576" spans="5:6" x14ac:dyDescent="0.25">
      <c r="E576">
        <v>575</v>
      </c>
      <c r="F576" s="3">
        <v>7.8558304602687132E-3</v>
      </c>
    </row>
    <row r="577" spans="5:6" x14ac:dyDescent="0.25">
      <c r="E577">
        <v>576</v>
      </c>
      <c r="F577" s="3">
        <v>-1.6196810559943889E-2</v>
      </c>
    </row>
    <row r="578" spans="5:6" x14ac:dyDescent="0.25">
      <c r="E578">
        <v>577</v>
      </c>
      <c r="F578" s="3">
        <v>-2.1605185320179854E-2</v>
      </c>
    </row>
    <row r="579" spans="5:6" x14ac:dyDescent="0.25">
      <c r="E579">
        <v>578</v>
      </c>
      <c r="F579" s="3">
        <v>1.0037691672918708E-2</v>
      </c>
    </row>
    <row r="580" spans="5:6" x14ac:dyDescent="0.25">
      <c r="E580">
        <v>579</v>
      </c>
      <c r="F580" s="3">
        <v>-1.1997279191761856E-2</v>
      </c>
    </row>
    <row r="581" spans="5:6" x14ac:dyDescent="0.25">
      <c r="E581">
        <v>580</v>
      </c>
      <c r="F581" s="3">
        <v>-1.5424855251381269E-2</v>
      </c>
    </row>
    <row r="582" spans="5:6" x14ac:dyDescent="0.25">
      <c r="E582">
        <v>581</v>
      </c>
      <c r="F582" s="3">
        <v>2.3516816656160656E-2</v>
      </c>
    </row>
    <row r="583" spans="5:6" x14ac:dyDescent="0.25">
      <c r="E583">
        <v>582</v>
      </c>
      <c r="F583" s="3">
        <v>1.3516600154798017E-2</v>
      </c>
    </row>
    <row r="584" spans="5:6" x14ac:dyDescent="0.25">
      <c r="E584">
        <v>583</v>
      </c>
      <c r="F584" s="3">
        <v>3.6560159691080884E-3</v>
      </c>
    </row>
    <row r="585" spans="5:6" x14ac:dyDescent="0.25">
      <c r="E585">
        <v>584</v>
      </c>
      <c r="F585" s="3">
        <v>6.2170233959585233E-3</v>
      </c>
    </row>
    <row r="586" spans="5:6" x14ac:dyDescent="0.25">
      <c r="E586">
        <v>585</v>
      </c>
      <c r="F586" s="3">
        <v>3.4591552394178885E-4</v>
      </c>
    </row>
    <row r="587" spans="5:6" x14ac:dyDescent="0.25">
      <c r="E587">
        <v>586</v>
      </c>
      <c r="F587" s="3">
        <v>1.0986455640789554E-2</v>
      </c>
    </row>
    <row r="588" spans="5:6" x14ac:dyDescent="0.25">
      <c r="E588">
        <v>587</v>
      </c>
      <c r="F588" s="3">
        <v>-8.1990125722650933E-3</v>
      </c>
    </row>
    <row r="589" spans="5:6" x14ac:dyDescent="0.25">
      <c r="E589">
        <v>588</v>
      </c>
      <c r="F589" s="3">
        <v>1.5194105264752504E-2</v>
      </c>
    </row>
    <row r="590" spans="5:6" x14ac:dyDescent="0.25">
      <c r="E590">
        <v>589</v>
      </c>
      <c r="F590" s="3">
        <v>-9.5753691209844657E-3</v>
      </c>
    </row>
    <row r="591" spans="5:6" x14ac:dyDescent="0.25">
      <c r="E591">
        <v>590</v>
      </c>
      <c r="F591" s="3">
        <v>-7.7506522567658671E-4</v>
      </c>
    </row>
    <row r="592" spans="5:6" x14ac:dyDescent="0.25">
      <c r="E592">
        <v>591</v>
      </c>
      <c r="F592" s="3">
        <v>-5.779227988071615E-4</v>
      </c>
    </row>
    <row r="593" spans="5:6" x14ac:dyDescent="0.25">
      <c r="E593">
        <v>592</v>
      </c>
      <c r="F593" s="3">
        <v>-2.9922268116520257E-3</v>
      </c>
    </row>
    <row r="594" spans="5:6" x14ac:dyDescent="0.25">
      <c r="E594">
        <v>593</v>
      </c>
      <c r="F594" s="3">
        <v>1.369122364206476E-2</v>
      </c>
    </row>
    <row r="595" spans="5:6" x14ac:dyDescent="0.25">
      <c r="E595">
        <v>594</v>
      </c>
      <c r="F595" s="3">
        <v>1.6052996824714044E-2</v>
      </c>
    </row>
    <row r="596" spans="5:6" x14ac:dyDescent="0.25">
      <c r="E596">
        <v>595</v>
      </c>
      <c r="F596" s="3">
        <v>8.6481550973087455E-3</v>
      </c>
    </row>
    <row r="597" spans="5:6" x14ac:dyDescent="0.25">
      <c r="E597">
        <v>596</v>
      </c>
      <c r="F597" s="3">
        <v>6.656763135087956E-3</v>
      </c>
    </row>
    <row r="598" spans="5:6" x14ac:dyDescent="0.25">
      <c r="E598">
        <v>597</v>
      </c>
      <c r="F598" s="3">
        <v>-1.3439333431703143E-2</v>
      </c>
    </row>
    <row r="599" spans="5:6" x14ac:dyDescent="0.25">
      <c r="E599">
        <v>598</v>
      </c>
      <c r="F599" s="3">
        <v>4.485221503817082E-4</v>
      </c>
    </row>
    <row r="600" spans="5:6" x14ac:dyDescent="0.25">
      <c r="E600">
        <v>599</v>
      </c>
      <c r="F600" s="3">
        <v>-6.960507117276922E-3</v>
      </c>
    </row>
    <row r="601" spans="5:6" x14ac:dyDescent="0.25">
      <c r="E601">
        <v>600</v>
      </c>
      <c r="F601" s="3">
        <v>-2.7677575621046276E-3</v>
      </c>
    </row>
    <row r="602" spans="5:6" x14ac:dyDescent="0.25">
      <c r="E602">
        <v>601</v>
      </c>
      <c r="F602" s="3">
        <v>-3.6868909000971131E-2</v>
      </c>
    </row>
    <row r="603" spans="5:6" x14ac:dyDescent="0.25">
      <c r="E603">
        <v>602</v>
      </c>
      <c r="F603" s="3">
        <v>-1.6496206329215717E-2</v>
      </c>
    </row>
    <row r="604" spans="5:6" x14ac:dyDescent="0.25">
      <c r="E604">
        <v>603</v>
      </c>
      <c r="F604" s="3">
        <v>2.2118835039925417E-2</v>
      </c>
    </row>
    <row r="605" spans="5:6" x14ac:dyDescent="0.25">
      <c r="E605">
        <v>604</v>
      </c>
      <c r="F605" s="3">
        <v>-4.9909429626415888E-3</v>
      </c>
    </row>
    <row r="606" spans="5:6" x14ac:dyDescent="0.25">
      <c r="E606">
        <v>605</v>
      </c>
      <c r="F606" s="3">
        <v>-1.5777308821493922E-2</v>
      </c>
    </row>
    <row r="607" spans="5:6" x14ac:dyDescent="0.25">
      <c r="E607">
        <v>606</v>
      </c>
      <c r="F607" s="3">
        <v>6.105227839174064E-3</v>
      </c>
    </row>
    <row r="608" spans="5:6" x14ac:dyDescent="0.25">
      <c r="E608">
        <v>607</v>
      </c>
      <c r="F608" s="3">
        <v>-1.219626932720401E-2</v>
      </c>
    </row>
    <row r="609" spans="5:6" x14ac:dyDescent="0.25">
      <c r="E609">
        <v>608</v>
      </c>
      <c r="F609" s="3">
        <v>-2.115117359941643E-3</v>
      </c>
    </row>
    <row r="610" spans="5:6" x14ac:dyDescent="0.25">
      <c r="E610">
        <v>609</v>
      </c>
      <c r="F610" s="3">
        <v>-1.7881544942171205E-2</v>
      </c>
    </row>
    <row r="611" spans="5:6" x14ac:dyDescent="0.25">
      <c r="E611">
        <v>610</v>
      </c>
      <c r="F611" s="3">
        <v>8.689095085072353E-4</v>
      </c>
    </row>
    <row r="612" spans="5:6" x14ac:dyDescent="0.25">
      <c r="E612">
        <v>611</v>
      </c>
      <c r="F612" s="3">
        <v>6.2566787629779212E-3</v>
      </c>
    </row>
    <row r="613" spans="5:6" x14ac:dyDescent="0.25">
      <c r="E613">
        <v>612</v>
      </c>
      <c r="F613" s="3">
        <v>1.2731910418124548E-2</v>
      </c>
    </row>
    <row r="614" spans="5:6" x14ac:dyDescent="0.25">
      <c r="E614">
        <v>613</v>
      </c>
      <c r="F614" s="3">
        <v>-4.9531858166748047E-3</v>
      </c>
    </row>
    <row r="615" spans="5:6" x14ac:dyDescent="0.25">
      <c r="E615">
        <v>614</v>
      </c>
      <c r="F615" s="3">
        <v>-7.1924163608425296E-3</v>
      </c>
    </row>
    <row r="616" spans="5:6" x14ac:dyDescent="0.25">
      <c r="E616">
        <v>615</v>
      </c>
      <c r="F616" s="3">
        <v>1.8666822491382146E-2</v>
      </c>
    </row>
    <row r="617" spans="5:6" x14ac:dyDescent="0.25">
      <c r="E617">
        <v>616</v>
      </c>
      <c r="F617" s="3">
        <v>8.1267855925435829E-3</v>
      </c>
    </row>
    <row r="618" spans="5:6" x14ac:dyDescent="0.25">
      <c r="E618">
        <v>617</v>
      </c>
      <c r="F618" s="3">
        <v>-7.32318779486822E-3</v>
      </c>
    </row>
    <row r="619" spans="5:6" x14ac:dyDescent="0.25">
      <c r="E619">
        <v>618</v>
      </c>
      <c r="F619" s="3">
        <v>8.9718969297647045E-3</v>
      </c>
    </row>
    <row r="620" spans="5:6" x14ac:dyDescent="0.25">
      <c r="E620">
        <v>619</v>
      </c>
      <c r="F620" s="3">
        <v>1.1176325454666614E-2</v>
      </c>
    </row>
    <row r="621" spans="5:6" x14ac:dyDescent="0.25">
      <c r="E621">
        <v>620</v>
      </c>
      <c r="F621" s="3">
        <v>3.6080249576861539E-3</v>
      </c>
    </row>
    <row r="622" spans="5:6" x14ac:dyDescent="0.25">
      <c r="E622">
        <v>621</v>
      </c>
      <c r="F622" s="3">
        <v>2.3448819993395258E-2</v>
      </c>
    </row>
    <row r="623" spans="5:6" x14ac:dyDescent="0.25">
      <c r="E623">
        <v>622</v>
      </c>
      <c r="F623" s="3">
        <v>-7.9197600917168143E-3</v>
      </c>
    </row>
    <row r="624" spans="5:6" x14ac:dyDescent="0.25">
      <c r="E624">
        <v>623</v>
      </c>
      <c r="F624" s="3">
        <v>-2.2492421871813731E-3</v>
      </c>
    </row>
    <row r="625" spans="5:6" x14ac:dyDescent="0.25">
      <c r="E625">
        <v>624</v>
      </c>
      <c r="F625" s="3">
        <v>2.3469250103388552E-2</v>
      </c>
    </row>
    <row r="626" spans="5:6" x14ac:dyDescent="0.25">
      <c r="E626">
        <v>625</v>
      </c>
      <c r="F626" s="3">
        <v>-1.2777352870317945E-2</v>
      </c>
    </row>
    <row r="627" spans="5:6" x14ac:dyDescent="0.25">
      <c r="E627">
        <v>626</v>
      </c>
      <c r="F627" s="3">
        <v>1.3324852741366161E-2</v>
      </c>
    </row>
    <row r="628" spans="5:6" x14ac:dyDescent="0.25">
      <c r="E628">
        <v>627</v>
      </c>
      <c r="F628" s="3">
        <v>-6.3616976498946458E-4</v>
      </c>
    </row>
    <row r="629" spans="5:6" x14ac:dyDescent="0.25">
      <c r="E629">
        <v>628</v>
      </c>
      <c r="F629" s="3">
        <v>7.7528182313867291E-3</v>
      </c>
    </row>
    <row r="630" spans="5:6" x14ac:dyDescent="0.25">
      <c r="E630">
        <v>629</v>
      </c>
      <c r="F630" s="3">
        <v>1.1803179271949868E-2</v>
      </c>
    </row>
    <row r="631" spans="5:6" x14ac:dyDescent="0.25">
      <c r="E631">
        <v>630</v>
      </c>
      <c r="F631" s="3">
        <v>2.5520642072691106E-2</v>
      </c>
    </row>
    <row r="632" spans="5:6" x14ac:dyDescent="0.25">
      <c r="E632">
        <v>631</v>
      </c>
      <c r="F632" s="3">
        <v>1.0183683170366348E-2</v>
      </c>
    </row>
    <row r="633" spans="5:6" x14ac:dyDescent="0.25">
      <c r="E633">
        <v>632</v>
      </c>
      <c r="F633" s="3">
        <v>1.5934882049461627E-2</v>
      </c>
    </row>
    <row r="634" spans="5:6" x14ac:dyDescent="0.25">
      <c r="E634">
        <v>633</v>
      </c>
      <c r="F634" s="3">
        <v>-2.0668094979150092E-2</v>
      </c>
    </row>
    <row r="635" spans="5:6" x14ac:dyDescent="0.25">
      <c r="E635">
        <v>634</v>
      </c>
      <c r="F635" s="3">
        <v>-9.2209253844582513E-3</v>
      </c>
    </row>
    <row r="636" spans="5:6" x14ac:dyDescent="0.25">
      <c r="E636">
        <v>635</v>
      </c>
      <c r="F636" s="3">
        <v>-1.5135017532145437E-4</v>
      </c>
    </row>
    <row r="637" spans="5:6" x14ac:dyDescent="0.25">
      <c r="E637">
        <v>636</v>
      </c>
      <c r="F637" s="3">
        <v>-3.022319414549144E-3</v>
      </c>
    </row>
    <row r="638" spans="5:6" x14ac:dyDescent="0.25">
      <c r="E638">
        <v>637</v>
      </c>
      <c r="F638" s="3">
        <v>-1.6681711564083764E-2</v>
      </c>
    </row>
    <row r="639" spans="5:6" x14ac:dyDescent="0.25">
      <c r="E639">
        <v>638</v>
      </c>
      <c r="F639" s="3">
        <v>-5.6685837766726026E-3</v>
      </c>
    </row>
    <row r="640" spans="5:6" x14ac:dyDescent="0.25">
      <c r="E640">
        <v>639</v>
      </c>
      <c r="F640" s="3">
        <v>-2.3128946769083746E-2</v>
      </c>
    </row>
    <row r="641" spans="5:6" x14ac:dyDescent="0.25">
      <c r="E641">
        <v>640</v>
      </c>
      <c r="F641" s="3">
        <v>3.2279859941988377E-2</v>
      </c>
    </row>
    <row r="642" spans="5:6" x14ac:dyDescent="0.25">
      <c r="E642">
        <v>641</v>
      </c>
      <c r="F642" s="3">
        <v>-1.42201281542182E-3</v>
      </c>
    </row>
    <row r="643" spans="5:6" x14ac:dyDescent="0.25">
      <c r="E643">
        <v>642</v>
      </c>
      <c r="F643" s="3">
        <v>1.4278755998047388E-2</v>
      </c>
    </row>
    <row r="644" spans="5:6" x14ac:dyDescent="0.25">
      <c r="E644">
        <v>643</v>
      </c>
      <c r="F644" s="3">
        <v>2.9469930891223396E-2</v>
      </c>
    </row>
    <row r="645" spans="5:6" x14ac:dyDescent="0.25">
      <c r="E645">
        <v>644</v>
      </c>
      <c r="F645" s="3">
        <v>-1.308576073649767E-2</v>
      </c>
    </row>
    <row r="646" spans="5:6" x14ac:dyDescent="0.25">
      <c r="E646">
        <v>645</v>
      </c>
      <c r="F646" s="3">
        <v>-7.4317978290243582E-3</v>
      </c>
    </row>
    <row r="647" spans="5:6" x14ac:dyDescent="0.25">
      <c r="E647">
        <v>646</v>
      </c>
      <c r="F647" s="3">
        <v>1.938789958229241E-4</v>
      </c>
    </row>
    <row r="648" spans="5:6" x14ac:dyDescent="0.25">
      <c r="E648">
        <v>647</v>
      </c>
      <c r="F648" s="3">
        <v>4.6771999759162694E-4</v>
      </c>
    </row>
    <row r="649" spans="5:6" x14ac:dyDescent="0.25">
      <c r="E649">
        <v>648</v>
      </c>
      <c r="F649" s="3">
        <v>2.4437995983857329E-2</v>
      </c>
    </row>
    <row r="650" spans="5:6" x14ac:dyDescent="0.25">
      <c r="E650">
        <v>649</v>
      </c>
      <c r="F650" s="3">
        <v>-2.5285196420971913E-2</v>
      </c>
    </row>
    <row r="651" spans="5:6" x14ac:dyDescent="0.25">
      <c r="E651">
        <v>650</v>
      </c>
      <c r="F651" s="3">
        <v>9.193500286215078E-3</v>
      </c>
    </row>
    <row r="652" spans="5:6" x14ac:dyDescent="0.25">
      <c r="E652">
        <v>651</v>
      </c>
      <c r="F652" s="3">
        <v>-1.1269670988771342E-2</v>
      </c>
    </row>
    <row r="653" spans="5:6" x14ac:dyDescent="0.25">
      <c r="E653">
        <v>652</v>
      </c>
      <c r="F653" s="3">
        <v>2.6003931724650032E-2</v>
      </c>
    </row>
    <row r="654" spans="5:6" x14ac:dyDescent="0.25">
      <c r="E654">
        <v>653</v>
      </c>
      <c r="F654" s="3">
        <v>-1.5922915628972478E-2</v>
      </c>
    </row>
    <row r="655" spans="5:6" x14ac:dyDescent="0.25">
      <c r="E655">
        <v>654</v>
      </c>
      <c r="F655" s="3">
        <v>4.8807062347255821E-3</v>
      </c>
    </row>
    <row r="656" spans="5:6" x14ac:dyDescent="0.25">
      <c r="E656">
        <v>655</v>
      </c>
      <c r="F656" s="3">
        <v>7.3969806963299009E-3</v>
      </c>
    </row>
    <row r="657" spans="5:6" x14ac:dyDescent="0.25">
      <c r="E657">
        <v>656</v>
      </c>
      <c r="F657" s="3">
        <v>-6.892204745420405E-3</v>
      </c>
    </row>
    <row r="658" spans="5:6" x14ac:dyDescent="0.25">
      <c r="E658">
        <v>657</v>
      </c>
      <c r="F658" s="3">
        <v>-1.3068039792181218E-3</v>
      </c>
    </row>
    <row r="659" spans="5:6" x14ac:dyDescent="0.25">
      <c r="E659">
        <v>658</v>
      </c>
      <c r="F659" s="3">
        <v>2.2195994039382973E-2</v>
      </c>
    </row>
    <row r="660" spans="5:6" x14ac:dyDescent="0.25">
      <c r="E660">
        <v>659</v>
      </c>
      <c r="F660" s="3">
        <v>3.0385595280429983E-2</v>
      </c>
    </row>
    <row r="661" spans="5:6" x14ac:dyDescent="0.25">
      <c r="E661">
        <v>660</v>
      </c>
      <c r="F661" s="3">
        <v>2.4267208748843128E-2</v>
      </c>
    </row>
    <row r="662" spans="5:6" x14ac:dyDescent="0.25">
      <c r="E662">
        <v>661</v>
      </c>
      <c r="F662" s="3">
        <v>2.7330444622029478E-3</v>
      </c>
    </row>
    <row r="663" spans="5:6" x14ac:dyDescent="0.25">
      <c r="E663">
        <v>662</v>
      </c>
      <c r="F663" s="3">
        <v>2.6223012841228212E-2</v>
      </c>
    </row>
    <row r="664" spans="5:6" x14ac:dyDescent="0.25">
      <c r="E664">
        <v>663</v>
      </c>
      <c r="F664" s="3">
        <v>-5.5573603013303304E-3</v>
      </c>
    </row>
    <row r="665" spans="5:6" x14ac:dyDescent="0.25">
      <c r="E665">
        <v>664</v>
      </c>
      <c r="F665" s="3">
        <v>3.1776003169055396E-3</v>
      </c>
    </row>
    <row r="666" spans="5:6" x14ac:dyDescent="0.25">
      <c r="E666">
        <v>665</v>
      </c>
      <c r="F666" s="3">
        <v>8.7603024447757017E-3</v>
      </c>
    </row>
    <row r="667" spans="5:6" x14ac:dyDescent="0.25">
      <c r="E667">
        <v>666</v>
      </c>
      <c r="F667" s="3">
        <v>-7.1895664965723836E-3</v>
      </c>
    </row>
    <row r="668" spans="5:6" x14ac:dyDescent="0.25">
      <c r="E668">
        <v>667</v>
      </c>
      <c r="F668" s="3">
        <v>-2.47301012518683E-3</v>
      </c>
    </row>
    <row r="669" spans="5:6" x14ac:dyDescent="0.25">
      <c r="E669">
        <v>668</v>
      </c>
      <c r="F669" s="3">
        <v>-1.8802001553446877E-2</v>
      </c>
    </row>
    <row r="670" spans="5:6" x14ac:dyDescent="0.25">
      <c r="E670">
        <v>669</v>
      </c>
      <c r="F670" s="3">
        <v>-1.4545475203444269E-2</v>
      </c>
    </row>
    <row r="671" spans="5:6" x14ac:dyDescent="0.25">
      <c r="E671">
        <v>670</v>
      </c>
      <c r="F671" s="3">
        <v>7.5683896667929264E-3</v>
      </c>
    </row>
    <row r="672" spans="5:6" x14ac:dyDescent="0.25">
      <c r="E672">
        <v>671</v>
      </c>
      <c r="F672" s="3">
        <v>1.0482944256084755E-2</v>
      </c>
    </row>
    <row r="673" spans="5:6" x14ac:dyDescent="0.25">
      <c r="E673">
        <v>672</v>
      </c>
      <c r="F673" s="3">
        <v>-1.0588637648855471E-2</v>
      </c>
    </row>
    <row r="674" spans="5:6" x14ac:dyDescent="0.25">
      <c r="E674">
        <v>673</v>
      </c>
      <c r="F674" s="3">
        <v>-2.246925301031209E-3</v>
      </c>
    </row>
    <row r="675" spans="5:6" x14ac:dyDescent="0.25">
      <c r="E675">
        <v>674</v>
      </c>
      <c r="F675" s="3">
        <v>1.9289308658705009E-3</v>
      </c>
    </row>
    <row r="676" spans="5:6" x14ac:dyDescent="0.25">
      <c r="E676">
        <v>675</v>
      </c>
      <c r="F676" s="3">
        <v>1.3260181866393782E-2</v>
      </c>
    </row>
    <row r="677" spans="5:6" x14ac:dyDescent="0.25">
      <c r="E677">
        <v>676</v>
      </c>
      <c r="F677" s="3">
        <v>-7.8290065544785372E-3</v>
      </c>
    </row>
    <row r="678" spans="5:6" x14ac:dyDescent="0.25">
      <c r="E678">
        <v>677</v>
      </c>
      <c r="F678" s="3">
        <v>1.0309275971420038E-2</v>
      </c>
    </row>
    <row r="679" spans="5:6" x14ac:dyDescent="0.25">
      <c r="E679">
        <v>678</v>
      </c>
      <c r="F679" s="3">
        <v>1.3704329107948599E-2</v>
      </c>
    </row>
    <row r="680" spans="5:6" x14ac:dyDescent="0.25">
      <c r="E680">
        <v>679</v>
      </c>
      <c r="F680" s="3">
        <v>4.1802865019643616E-3</v>
      </c>
    </row>
    <row r="681" spans="5:6" x14ac:dyDescent="0.25">
      <c r="E681">
        <v>680</v>
      </c>
      <c r="F681" s="3">
        <v>1.5666562026233278E-2</v>
      </c>
    </row>
    <row r="682" spans="5:6" x14ac:dyDescent="0.25">
      <c r="E682">
        <v>681</v>
      </c>
      <c r="F682" s="3">
        <v>-1.0708828614927111E-2</v>
      </c>
    </row>
    <row r="683" spans="5:6" x14ac:dyDescent="0.25">
      <c r="E683">
        <v>682</v>
      </c>
      <c r="F683" s="3">
        <v>3.4131777205414514E-2</v>
      </c>
    </row>
    <row r="684" spans="5:6" x14ac:dyDescent="0.25">
      <c r="E684">
        <v>683</v>
      </c>
      <c r="F684" s="3">
        <v>6.4729408148482643E-3</v>
      </c>
    </row>
    <row r="685" spans="5:6" x14ac:dyDescent="0.25">
      <c r="E685">
        <v>684</v>
      </c>
      <c r="F685" s="3">
        <v>-6.0052737090682288E-3</v>
      </c>
    </row>
    <row r="686" spans="5:6" x14ac:dyDescent="0.25">
      <c r="E686">
        <v>685</v>
      </c>
      <c r="F686" s="3">
        <v>-3.4643242253044656E-3</v>
      </c>
    </row>
    <row r="687" spans="5:6" x14ac:dyDescent="0.25">
      <c r="E687">
        <v>686</v>
      </c>
      <c r="F687" s="3">
        <v>-1.4524126579026809E-2</v>
      </c>
    </row>
    <row r="688" spans="5:6" x14ac:dyDescent="0.25">
      <c r="E688">
        <v>687</v>
      </c>
      <c r="F688" s="3">
        <v>2.1969460143037873E-3</v>
      </c>
    </row>
    <row r="689" spans="5:6" x14ac:dyDescent="0.25">
      <c r="E689">
        <v>688</v>
      </c>
      <c r="F689" s="3">
        <v>-9.4148969247262113E-3</v>
      </c>
    </row>
    <row r="690" spans="5:6" x14ac:dyDescent="0.25">
      <c r="E690">
        <v>689</v>
      </c>
      <c r="F690" s="3">
        <v>-2.2226216733145357E-2</v>
      </c>
    </row>
    <row r="691" spans="5:6" x14ac:dyDescent="0.25">
      <c r="E691">
        <v>690</v>
      </c>
      <c r="F691" s="3">
        <v>-5.5265980328099637E-3</v>
      </c>
    </row>
    <row r="692" spans="5:6" x14ac:dyDescent="0.25">
      <c r="E692">
        <v>691</v>
      </c>
      <c r="F692" s="3">
        <v>-2.3036410022000915E-2</v>
      </c>
    </row>
    <row r="693" spans="5:6" x14ac:dyDescent="0.25">
      <c r="E693">
        <v>692</v>
      </c>
      <c r="F693" s="3">
        <v>1.4422325879001127E-2</v>
      </c>
    </row>
    <row r="694" spans="5:6" x14ac:dyDescent="0.25">
      <c r="E694">
        <v>693</v>
      </c>
      <c r="F694" s="3">
        <v>-6.8874719010184938E-4</v>
      </c>
    </row>
    <row r="695" spans="5:6" x14ac:dyDescent="0.25">
      <c r="E695">
        <v>694</v>
      </c>
      <c r="F695" s="3">
        <v>2.2576619817839217E-3</v>
      </c>
    </row>
    <row r="696" spans="5:6" x14ac:dyDescent="0.25">
      <c r="E696">
        <v>695</v>
      </c>
      <c r="F696" s="3">
        <v>1.4914592182293284E-2</v>
      </c>
    </row>
    <row r="697" spans="5:6" x14ac:dyDescent="0.25">
      <c r="E697">
        <v>696</v>
      </c>
      <c r="F697" s="3">
        <v>9.2389169927029682E-3</v>
      </c>
    </row>
    <row r="698" spans="5:6" x14ac:dyDescent="0.25">
      <c r="E698">
        <v>697</v>
      </c>
      <c r="F698" s="3">
        <v>-3.3047508390653211E-3</v>
      </c>
    </row>
    <row r="699" spans="5:6" x14ac:dyDescent="0.25">
      <c r="E699">
        <v>698</v>
      </c>
      <c r="F699" s="3">
        <v>3.9056068561173787E-2</v>
      </c>
    </row>
    <row r="700" spans="5:6" x14ac:dyDescent="0.25">
      <c r="E700">
        <v>699</v>
      </c>
      <c r="F700" s="3">
        <v>-2.4594416003187392E-2</v>
      </c>
    </row>
    <row r="701" spans="5:6" x14ac:dyDescent="0.25">
      <c r="E701">
        <v>700</v>
      </c>
      <c r="F701" s="3">
        <v>1.3081194981754968E-2</v>
      </c>
    </row>
    <row r="702" spans="5:6" x14ac:dyDescent="0.25">
      <c r="E702">
        <v>701</v>
      </c>
      <c r="F702" s="3">
        <v>4.7987008610648673E-3</v>
      </c>
    </row>
    <row r="703" spans="5:6" x14ac:dyDescent="0.25">
      <c r="E703">
        <v>702</v>
      </c>
      <c r="F703" s="3">
        <v>-1.5405471651391974E-2</v>
      </c>
    </row>
    <row r="704" spans="5:6" x14ac:dyDescent="0.25">
      <c r="E704">
        <v>703</v>
      </c>
      <c r="F704" s="3">
        <v>4.537714126539665E-3</v>
      </c>
    </row>
    <row r="705" spans="5:6" x14ac:dyDescent="0.25">
      <c r="E705">
        <v>704</v>
      </c>
      <c r="F705" s="3">
        <v>-5.3129882628523218E-3</v>
      </c>
    </row>
    <row r="706" spans="5:6" x14ac:dyDescent="0.25">
      <c r="E706">
        <v>705</v>
      </c>
      <c r="F706" s="3">
        <v>-1.8201101972220218E-2</v>
      </c>
    </row>
    <row r="707" spans="5:6" x14ac:dyDescent="0.25">
      <c r="E707">
        <v>706</v>
      </c>
      <c r="F707" s="3">
        <v>-1.8520332806796675E-2</v>
      </c>
    </row>
    <row r="708" spans="5:6" x14ac:dyDescent="0.25">
      <c r="E708">
        <v>707</v>
      </c>
      <c r="F708" s="3">
        <v>2.097284022223421E-2</v>
      </c>
    </row>
    <row r="709" spans="5:6" x14ac:dyDescent="0.25">
      <c r="E709">
        <v>708</v>
      </c>
      <c r="F709" s="3">
        <v>1.7348435198230081E-2</v>
      </c>
    </row>
    <row r="710" spans="5:6" x14ac:dyDescent="0.25">
      <c r="E710">
        <v>709</v>
      </c>
      <c r="F710" s="3">
        <v>-5.3582929126596559E-3</v>
      </c>
    </row>
    <row r="711" spans="5:6" x14ac:dyDescent="0.25">
      <c r="E711">
        <v>710</v>
      </c>
      <c r="F711" s="3">
        <v>-7.3303001979030166E-3</v>
      </c>
    </row>
    <row r="712" spans="5:6" x14ac:dyDescent="0.25">
      <c r="E712">
        <v>711</v>
      </c>
      <c r="F712" s="3">
        <v>9.0451549202027678E-3</v>
      </c>
    </row>
    <row r="713" spans="5:6" x14ac:dyDescent="0.25">
      <c r="E713">
        <v>712</v>
      </c>
      <c r="F713" s="3">
        <v>-1.2501678161727607E-2</v>
      </c>
    </row>
    <row r="714" spans="5:6" x14ac:dyDescent="0.25">
      <c r="E714">
        <v>713</v>
      </c>
      <c r="F714" s="3">
        <v>-1.028235053637531E-2</v>
      </c>
    </row>
    <row r="715" spans="5:6" x14ac:dyDescent="0.25">
      <c r="E715">
        <v>714</v>
      </c>
      <c r="F715" s="3">
        <v>3.5492588470392022E-5</v>
      </c>
    </row>
    <row r="716" spans="5:6" x14ac:dyDescent="0.25">
      <c r="E716">
        <v>715</v>
      </c>
      <c r="F716" s="3">
        <v>-1.2639619252446989E-3</v>
      </c>
    </row>
    <row r="717" spans="5:6" x14ac:dyDescent="0.25">
      <c r="E717">
        <v>716</v>
      </c>
      <c r="F717" s="3">
        <v>2.168959603807781E-2</v>
      </c>
    </row>
    <row r="718" spans="5:6" x14ac:dyDescent="0.25">
      <c r="E718">
        <v>717</v>
      </c>
      <c r="F718" s="3">
        <v>1.1663313478929764E-2</v>
      </c>
    </row>
    <row r="719" spans="5:6" x14ac:dyDescent="0.25">
      <c r="E719">
        <v>718</v>
      </c>
      <c r="F719" s="3">
        <v>-9.7617189016604086E-3</v>
      </c>
    </row>
    <row r="720" spans="5:6" x14ac:dyDescent="0.25">
      <c r="E720">
        <v>719</v>
      </c>
      <c r="F720" s="3">
        <v>-8.4787986970862594E-3</v>
      </c>
    </row>
    <row r="721" spans="5:6" x14ac:dyDescent="0.25">
      <c r="E721">
        <v>720</v>
      </c>
      <c r="F721" s="3">
        <v>-1.6012816949827795E-2</v>
      </c>
    </row>
    <row r="722" spans="5:6" x14ac:dyDescent="0.25">
      <c r="E722">
        <v>721</v>
      </c>
      <c r="F722" s="3">
        <v>5.4130740850281992E-3</v>
      </c>
    </row>
    <row r="723" spans="5:6" x14ac:dyDescent="0.25">
      <c r="E723">
        <v>722</v>
      </c>
      <c r="F723" s="3">
        <v>4.343937968959254E-3</v>
      </c>
    </row>
    <row r="724" spans="5:6" x14ac:dyDescent="0.25">
      <c r="E724">
        <v>723</v>
      </c>
      <c r="F724" s="3">
        <v>1.4924452114580088E-2</v>
      </c>
    </row>
    <row r="725" spans="5:6" x14ac:dyDescent="0.25">
      <c r="E725">
        <v>724</v>
      </c>
      <c r="F725" s="3">
        <v>-4.6161159577098404E-2</v>
      </c>
    </row>
    <row r="726" spans="5:6" x14ac:dyDescent="0.25">
      <c r="E726">
        <v>725</v>
      </c>
      <c r="F726" s="3">
        <v>3.3169843089643487E-3</v>
      </c>
    </row>
    <row r="727" spans="5:6" x14ac:dyDescent="0.25">
      <c r="E727">
        <v>726</v>
      </c>
      <c r="F727" s="3">
        <v>-3.5561979762533877E-4</v>
      </c>
    </row>
    <row r="728" spans="5:6" x14ac:dyDescent="0.25">
      <c r="E728">
        <v>727</v>
      </c>
      <c r="F728" s="3">
        <v>2.1298752170615349E-2</v>
      </c>
    </row>
    <row r="729" spans="5:6" x14ac:dyDescent="0.25">
      <c r="E729">
        <v>728</v>
      </c>
      <c r="F729" s="3">
        <v>3.4312898408647922E-2</v>
      </c>
    </row>
    <row r="730" spans="5:6" x14ac:dyDescent="0.25">
      <c r="E730">
        <v>729</v>
      </c>
      <c r="F730" s="3">
        <v>-8.6462069661780178E-3</v>
      </c>
    </row>
    <row r="731" spans="5:6" x14ac:dyDescent="0.25">
      <c r="E731">
        <v>730</v>
      </c>
      <c r="F731" s="3">
        <v>-2.2481513280655637E-3</v>
      </c>
    </row>
    <row r="732" spans="5:6" x14ac:dyDescent="0.25">
      <c r="E732">
        <v>731</v>
      </c>
      <c r="F732" s="3">
        <v>-1.5198574638676717E-2</v>
      </c>
    </row>
    <row r="733" spans="5:6" x14ac:dyDescent="0.25">
      <c r="E733">
        <v>732</v>
      </c>
      <c r="F733" s="3">
        <v>7.0993014833116118E-3</v>
      </c>
    </row>
    <row r="734" spans="5:6" x14ac:dyDescent="0.25">
      <c r="E734">
        <v>733</v>
      </c>
      <c r="F734" s="3">
        <v>-2.1579144842054209E-2</v>
      </c>
    </row>
    <row r="735" spans="5:6" x14ac:dyDescent="0.25">
      <c r="E735">
        <v>734</v>
      </c>
      <c r="F735" s="3">
        <v>8.8925979588025256E-3</v>
      </c>
    </row>
    <row r="736" spans="5:6" x14ac:dyDescent="0.25">
      <c r="E736">
        <v>735</v>
      </c>
      <c r="F736" s="3">
        <v>1.018583187010501E-2</v>
      </c>
    </row>
    <row r="737" spans="5:6" x14ac:dyDescent="0.25">
      <c r="E737">
        <v>736</v>
      </c>
      <c r="F737" s="3">
        <v>-1.6255779750517046E-2</v>
      </c>
    </row>
    <row r="738" spans="5:6" x14ac:dyDescent="0.25">
      <c r="E738">
        <v>737</v>
      </c>
      <c r="F738" s="3">
        <v>-1.8640834124978363E-2</v>
      </c>
    </row>
    <row r="739" spans="5:6" x14ac:dyDescent="0.25">
      <c r="E739">
        <v>738</v>
      </c>
      <c r="F739" s="3">
        <v>-4.851463300480351E-3</v>
      </c>
    </row>
    <row r="740" spans="5:6" x14ac:dyDescent="0.25">
      <c r="E740">
        <v>739</v>
      </c>
      <c r="F740" s="3">
        <v>2.5429488159683863E-3</v>
      </c>
    </row>
    <row r="741" spans="5:6" x14ac:dyDescent="0.25">
      <c r="E741">
        <v>740</v>
      </c>
      <c r="F741" s="3">
        <v>5.3781694301100417E-3</v>
      </c>
    </row>
    <row r="742" spans="5:6" x14ac:dyDescent="0.25">
      <c r="E742">
        <v>741</v>
      </c>
      <c r="F742" s="3">
        <v>7.9039170037161419E-3</v>
      </c>
    </row>
    <row r="743" spans="5:6" x14ac:dyDescent="0.25">
      <c r="E743">
        <v>742</v>
      </c>
      <c r="F743" s="3">
        <v>-1.9461730112813391E-2</v>
      </c>
    </row>
    <row r="744" spans="5:6" x14ac:dyDescent="0.25">
      <c r="E744">
        <v>743</v>
      </c>
      <c r="F744" s="3">
        <v>-1.2319492043482172E-2</v>
      </c>
    </row>
    <row r="745" spans="5:6" x14ac:dyDescent="0.25">
      <c r="E745">
        <v>744</v>
      </c>
      <c r="F745" s="3">
        <v>1.8490611813100296E-2</v>
      </c>
    </row>
    <row r="746" spans="5:6" x14ac:dyDescent="0.25">
      <c r="E746">
        <v>745</v>
      </c>
      <c r="F746" s="3">
        <v>-6.7071081400838332E-3</v>
      </c>
    </row>
    <row r="747" spans="5:6" x14ac:dyDescent="0.25">
      <c r="E747">
        <v>746</v>
      </c>
      <c r="F747" s="3">
        <v>7.1770751932858931E-3</v>
      </c>
    </row>
    <row r="748" spans="5:6" x14ac:dyDescent="0.25">
      <c r="E748">
        <v>747</v>
      </c>
      <c r="F748" s="3">
        <v>1.3060452784826838E-3</v>
      </c>
    </row>
    <row r="749" spans="5:6" x14ac:dyDescent="0.25">
      <c r="E749">
        <v>748</v>
      </c>
      <c r="F749" s="3">
        <v>-1.8191264050502896E-2</v>
      </c>
    </row>
    <row r="750" spans="5:6" x14ac:dyDescent="0.25">
      <c r="E750">
        <v>749</v>
      </c>
      <c r="F750" s="3">
        <v>-6.039788238810385E-4</v>
      </c>
    </row>
    <row r="751" spans="5:6" x14ac:dyDescent="0.25">
      <c r="E751">
        <v>750</v>
      </c>
      <c r="F751" s="3">
        <v>-4.8237744444337843E-3</v>
      </c>
    </row>
    <row r="752" spans="5:6" x14ac:dyDescent="0.25">
      <c r="E752">
        <v>751</v>
      </c>
      <c r="F752" s="3">
        <v>5.4709054785976761E-3</v>
      </c>
    </row>
    <row r="753" spans="5:6" x14ac:dyDescent="0.25">
      <c r="E753">
        <v>752</v>
      </c>
      <c r="F753" s="3">
        <v>-1.5864901552394322E-2</v>
      </c>
    </row>
    <row r="754" spans="5:6" x14ac:dyDescent="0.25">
      <c r="E754">
        <v>753</v>
      </c>
      <c r="F754" s="3">
        <v>1.9659254463169316E-2</v>
      </c>
    </row>
    <row r="755" spans="5:6" x14ac:dyDescent="0.25">
      <c r="E755">
        <v>754</v>
      </c>
      <c r="F755" s="3">
        <v>-1.3624957092726228E-2</v>
      </c>
    </row>
    <row r="756" spans="5:6" x14ac:dyDescent="0.25">
      <c r="E756">
        <v>755</v>
      </c>
      <c r="F756" s="3">
        <v>1.3943809059895334E-3</v>
      </c>
    </row>
    <row r="757" spans="5:6" x14ac:dyDescent="0.25">
      <c r="E757">
        <v>756</v>
      </c>
      <c r="F757" s="3">
        <v>2.0674576366253819E-2</v>
      </c>
    </row>
    <row r="758" spans="5:6" x14ac:dyDescent="0.25">
      <c r="E758">
        <v>757</v>
      </c>
      <c r="F758" s="3">
        <v>1.3973342470078738E-2</v>
      </c>
    </row>
    <row r="759" spans="5:6" x14ac:dyDescent="0.25">
      <c r="E759">
        <v>758</v>
      </c>
      <c r="F759" s="3">
        <v>-1.5810915686936471E-2</v>
      </c>
    </row>
    <row r="760" spans="5:6" x14ac:dyDescent="0.25">
      <c r="E760">
        <v>759</v>
      </c>
      <c r="F760" s="3">
        <v>-3.0250226849730258E-4</v>
      </c>
    </row>
    <row r="761" spans="5:6" x14ac:dyDescent="0.25">
      <c r="E761">
        <v>760</v>
      </c>
      <c r="F761" s="3">
        <v>2.1104605032875971E-3</v>
      </c>
    </row>
    <row r="762" spans="5:6" x14ac:dyDescent="0.25">
      <c r="E762">
        <v>761</v>
      </c>
      <c r="F762" s="3">
        <v>2.8099180196893607E-2</v>
      </c>
    </row>
    <row r="763" spans="5:6" x14ac:dyDescent="0.25">
      <c r="E763">
        <v>762</v>
      </c>
      <c r="F763" s="3">
        <v>-5.0932990604069597E-3</v>
      </c>
    </row>
    <row r="764" spans="5:6" x14ac:dyDescent="0.25">
      <c r="E764">
        <v>763</v>
      </c>
      <c r="F764" s="3">
        <v>-8.1273084233788304E-4</v>
      </c>
    </row>
    <row r="765" spans="5:6" x14ac:dyDescent="0.25">
      <c r="E765">
        <v>764</v>
      </c>
      <c r="F765" s="3">
        <v>6.1626751183125033E-3</v>
      </c>
    </row>
    <row r="766" spans="5:6" x14ac:dyDescent="0.25">
      <c r="E766">
        <v>765</v>
      </c>
      <c r="F766" s="3">
        <v>-4.4678171944415156E-3</v>
      </c>
    </row>
    <row r="767" spans="5:6" x14ac:dyDescent="0.25">
      <c r="E767">
        <v>766</v>
      </c>
      <c r="F767" s="3">
        <v>8.3708538976167129E-4</v>
      </c>
    </row>
    <row r="768" spans="5:6" x14ac:dyDescent="0.25">
      <c r="E768">
        <v>767</v>
      </c>
      <c r="F768" s="3">
        <v>-1.5863295653156317E-2</v>
      </c>
    </row>
    <row r="769" spans="5:6" x14ac:dyDescent="0.25">
      <c r="E769">
        <v>768</v>
      </c>
      <c r="F769" s="3">
        <v>-1.369440518279325E-3</v>
      </c>
    </row>
    <row r="770" spans="5:6" x14ac:dyDescent="0.25">
      <c r="E770">
        <v>769</v>
      </c>
      <c r="F770" s="3">
        <v>1.6863445593019669E-3</v>
      </c>
    </row>
    <row r="771" spans="5:6" x14ac:dyDescent="0.25">
      <c r="E771">
        <v>770</v>
      </c>
      <c r="F771" s="3">
        <v>1.0902999020438087E-2</v>
      </c>
    </row>
    <row r="772" spans="5:6" x14ac:dyDescent="0.25">
      <c r="E772">
        <v>771</v>
      </c>
      <c r="F772" s="3">
        <v>-1.1904530727402891E-2</v>
      </c>
    </row>
    <row r="773" spans="5:6" x14ac:dyDescent="0.25">
      <c r="E773">
        <v>772</v>
      </c>
      <c r="F773" s="3">
        <v>-1.6577748732964116E-2</v>
      </c>
    </row>
    <row r="774" spans="5:6" x14ac:dyDescent="0.25">
      <c r="E774">
        <v>773</v>
      </c>
      <c r="F774" s="3">
        <v>-1.8994267312115183E-3</v>
      </c>
    </row>
    <row r="775" spans="5:6" x14ac:dyDescent="0.25">
      <c r="E775">
        <v>774</v>
      </c>
      <c r="F775" s="3">
        <v>-3.0264895690479007E-2</v>
      </c>
    </row>
    <row r="776" spans="5:6" x14ac:dyDescent="0.25">
      <c r="E776">
        <v>775</v>
      </c>
      <c r="F776" s="3">
        <v>-8.2818370672573579E-3</v>
      </c>
    </row>
    <row r="777" spans="5:6" x14ac:dyDescent="0.25">
      <c r="E777">
        <v>776</v>
      </c>
      <c r="F777" s="3">
        <v>-1.9809680077518987E-2</v>
      </c>
    </row>
    <row r="778" spans="5:6" x14ac:dyDescent="0.25">
      <c r="E778">
        <v>777</v>
      </c>
      <c r="F778" s="3">
        <v>2.4254695529486003E-2</v>
      </c>
    </row>
    <row r="779" spans="5:6" x14ac:dyDescent="0.25">
      <c r="E779">
        <v>778</v>
      </c>
      <c r="F779" s="3">
        <v>-2.4292151674174429E-3</v>
      </c>
    </row>
    <row r="780" spans="5:6" x14ac:dyDescent="0.25">
      <c r="E780">
        <v>779</v>
      </c>
      <c r="F780" s="3">
        <v>5.3187217960402825E-3</v>
      </c>
    </row>
    <row r="781" spans="5:6" x14ac:dyDescent="0.25">
      <c r="E781">
        <v>780</v>
      </c>
      <c r="F781" s="3">
        <v>1.1027228546164307E-2</v>
      </c>
    </row>
    <row r="782" spans="5:6" x14ac:dyDescent="0.25">
      <c r="E782">
        <v>781</v>
      </c>
      <c r="F782" s="3">
        <v>-1.6473889734613934E-2</v>
      </c>
    </row>
    <row r="783" spans="5:6" x14ac:dyDescent="0.25">
      <c r="E783">
        <v>782</v>
      </c>
      <c r="F783" s="3">
        <v>-9.5240534977277004E-3</v>
      </c>
    </row>
    <row r="784" spans="5:6" x14ac:dyDescent="0.25">
      <c r="E784">
        <v>783</v>
      </c>
      <c r="F784" s="3">
        <v>1.4085297065479733E-2</v>
      </c>
    </row>
    <row r="785" spans="5:6" x14ac:dyDescent="0.25">
      <c r="E785">
        <v>784</v>
      </c>
      <c r="F785" s="3">
        <v>1.6749675635369258E-3</v>
      </c>
    </row>
    <row r="786" spans="5:6" x14ac:dyDescent="0.25">
      <c r="E786">
        <v>785</v>
      </c>
      <c r="F786" s="3">
        <v>1.1967216975889291E-2</v>
      </c>
    </row>
    <row r="787" spans="5:6" x14ac:dyDescent="0.25">
      <c r="E787">
        <v>786</v>
      </c>
      <c r="F787" s="3">
        <v>7.3635221218517708E-3</v>
      </c>
    </row>
    <row r="788" spans="5:6" x14ac:dyDescent="0.25">
      <c r="E788">
        <v>787</v>
      </c>
      <c r="F788" s="3">
        <v>2.1128128138396523E-2</v>
      </c>
    </row>
    <row r="789" spans="5:6" x14ac:dyDescent="0.25">
      <c r="E789">
        <v>788</v>
      </c>
      <c r="F789" s="3">
        <v>-1.9900432206601979E-3</v>
      </c>
    </row>
    <row r="790" spans="5:6" x14ac:dyDescent="0.25">
      <c r="E790">
        <v>789</v>
      </c>
      <c r="F790" s="3">
        <v>1.3098218777765234E-2</v>
      </c>
    </row>
    <row r="791" spans="5:6" x14ac:dyDescent="0.25">
      <c r="E791">
        <v>790</v>
      </c>
      <c r="F791" s="3">
        <v>3.1639826493591225E-3</v>
      </c>
    </row>
    <row r="792" spans="5:6" x14ac:dyDescent="0.25">
      <c r="E792">
        <v>791</v>
      </c>
      <c r="F792" s="3">
        <v>-3.7913567056368919E-3</v>
      </c>
    </row>
    <row r="793" spans="5:6" x14ac:dyDescent="0.25">
      <c r="E793">
        <v>792</v>
      </c>
      <c r="F793" s="3">
        <v>3.1835646785027989E-2</v>
      </c>
    </row>
    <row r="794" spans="5:6" x14ac:dyDescent="0.25">
      <c r="E794">
        <v>793</v>
      </c>
      <c r="F794" s="3">
        <v>3.1259290685909748E-2</v>
      </c>
    </row>
    <row r="795" spans="5:6" x14ac:dyDescent="0.25">
      <c r="E795">
        <v>794</v>
      </c>
      <c r="F795" s="3">
        <v>-4.7267706608427936E-3</v>
      </c>
    </row>
    <row r="796" spans="5:6" x14ac:dyDescent="0.25">
      <c r="E796">
        <v>795</v>
      </c>
      <c r="F796" s="3">
        <v>-9.0825204531577958E-4</v>
      </c>
    </row>
    <row r="797" spans="5:6" x14ac:dyDescent="0.25">
      <c r="E797">
        <v>796</v>
      </c>
      <c r="F797" s="3">
        <v>4.1562998645668049E-3</v>
      </c>
    </row>
    <row r="798" spans="5:6" x14ac:dyDescent="0.25">
      <c r="E798">
        <v>797</v>
      </c>
      <c r="F798" s="3">
        <v>5.4313597668207746E-3</v>
      </c>
    </row>
    <row r="799" spans="5:6" x14ac:dyDescent="0.25">
      <c r="E799">
        <v>798</v>
      </c>
      <c r="F799" s="3">
        <v>1.4659805217458471E-2</v>
      </c>
    </row>
    <row r="800" spans="5:6" x14ac:dyDescent="0.25">
      <c r="E800">
        <v>799</v>
      </c>
      <c r="F800" s="3">
        <v>7.4270688839746073E-5</v>
      </c>
    </row>
    <row r="801" spans="5:6" x14ac:dyDescent="0.25">
      <c r="E801">
        <v>800</v>
      </c>
      <c r="F801" s="3">
        <v>7.0510473806720923E-3</v>
      </c>
    </row>
    <row r="802" spans="5:6" x14ac:dyDescent="0.25">
      <c r="E802">
        <v>801</v>
      </c>
      <c r="F802" s="3">
        <v>1.3978231370184579E-3</v>
      </c>
    </row>
    <row r="803" spans="5:6" x14ac:dyDescent="0.25">
      <c r="E803">
        <v>802</v>
      </c>
      <c r="F803" s="3">
        <v>-2.456715476216632E-2</v>
      </c>
    </row>
    <row r="804" spans="5:6" x14ac:dyDescent="0.25">
      <c r="E804">
        <v>803</v>
      </c>
      <c r="F804" s="3">
        <v>1.4132568062417585E-2</v>
      </c>
    </row>
    <row r="805" spans="5:6" x14ac:dyDescent="0.25">
      <c r="E805">
        <v>804</v>
      </c>
      <c r="F805" s="3">
        <v>-9.8697147017156994E-3</v>
      </c>
    </row>
    <row r="806" spans="5:6" x14ac:dyDescent="0.25">
      <c r="E806">
        <v>805</v>
      </c>
      <c r="F806" s="3">
        <v>-1.999424318478785E-2</v>
      </c>
    </row>
    <row r="807" spans="5:6" x14ac:dyDescent="0.25">
      <c r="E807">
        <v>806</v>
      </c>
      <c r="F807" s="3">
        <v>1.5626852198469401E-2</v>
      </c>
    </row>
    <row r="808" spans="5:6" x14ac:dyDescent="0.25">
      <c r="E808">
        <v>807</v>
      </c>
      <c r="F808" s="3">
        <v>-1.2000562069870533E-3</v>
      </c>
    </row>
    <row r="809" spans="5:6" x14ac:dyDescent="0.25">
      <c r="E809">
        <v>808</v>
      </c>
      <c r="F809" s="3">
        <v>7.371831021804936E-3</v>
      </c>
    </row>
    <row r="810" spans="5:6" x14ac:dyDescent="0.25">
      <c r="E810">
        <v>809</v>
      </c>
      <c r="F810" s="3">
        <v>4.0289627100737269E-3</v>
      </c>
    </row>
    <row r="811" spans="5:6" x14ac:dyDescent="0.25">
      <c r="E811">
        <v>810</v>
      </c>
      <c r="F811" s="3">
        <v>2.1682944837375989E-3</v>
      </c>
    </row>
    <row r="812" spans="5:6" x14ac:dyDescent="0.25">
      <c r="E812">
        <v>811</v>
      </c>
      <c r="F812" s="3">
        <v>-1.0926091550075752E-3</v>
      </c>
    </row>
    <row r="813" spans="5:6" x14ac:dyDescent="0.25">
      <c r="E813">
        <v>812</v>
      </c>
      <c r="F813" s="3">
        <v>3.9184930836760213E-3</v>
      </c>
    </row>
    <row r="814" spans="5:6" x14ac:dyDescent="0.25">
      <c r="E814">
        <v>813</v>
      </c>
      <c r="F814" s="3">
        <v>1.6937622877915608E-2</v>
      </c>
    </row>
    <row r="815" spans="5:6" x14ac:dyDescent="0.25">
      <c r="E815">
        <v>814</v>
      </c>
      <c r="F815" s="3">
        <v>-1.2670534733845223E-2</v>
      </c>
    </row>
    <row r="816" spans="5:6" x14ac:dyDescent="0.25">
      <c r="E816">
        <v>815</v>
      </c>
      <c r="F816" s="3">
        <v>-2.1634386861089403E-2</v>
      </c>
    </row>
    <row r="817" spans="5:6" x14ac:dyDescent="0.25">
      <c r="E817">
        <v>816</v>
      </c>
      <c r="F817" s="3">
        <v>-5.2594105078475903E-4</v>
      </c>
    </row>
    <row r="818" spans="5:6" x14ac:dyDescent="0.25">
      <c r="E818">
        <v>817</v>
      </c>
      <c r="F818" s="3">
        <v>-1.4534361955824003E-4</v>
      </c>
    </row>
    <row r="819" spans="5:6" x14ac:dyDescent="0.25">
      <c r="E819">
        <v>818</v>
      </c>
      <c r="F819" s="3">
        <v>1.5893702875908106E-2</v>
      </c>
    </row>
    <row r="820" spans="5:6" x14ac:dyDescent="0.25">
      <c r="E820">
        <v>819</v>
      </c>
      <c r="F820" s="3">
        <v>1.3252117486636244E-2</v>
      </c>
    </row>
    <row r="821" spans="5:6" x14ac:dyDescent="0.25">
      <c r="E821">
        <v>820</v>
      </c>
      <c r="F821" s="3">
        <v>3.1261017045054636E-2</v>
      </c>
    </row>
    <row r="822" spans="5:6" x14ac:dyDescent="0.25">
      <c r="E822">
        <v>821</v>
      </c>
      <c r="F822" s="3">
        <v>-4.1968866389991066E-3</v>
      </c>
    </row>
    <row r="823" spans="5:6" x14ac:dyDescent="0.25">
      <c r="E823">
        <v>822</v>
      </c>
      <c r="F823" s="3">
        <v>7.3236489100280818E-3</v>
      </c>
    </row>
    <row r="824" spans="5:6" x14ac:dyDescent="0.25">
      <c r="E824">
        <v>823</v>
      </c>
      <c r="F824" s="3">
        <v>6.6802809312991943E-3</v>
      </c>
    </row>
    <row r="825" spans="5:6" x14ac:dyDescent="0.25">
      <c r="E825">
        <v>824</v>
      </c>
      <c r="F825" s="3">
        <v>1.0412011806108557E-2</v>
      </c>
    </row>
    <row r="826" spans="5:6" x14ac:dyDescent="0.25">
      <c r="E826">
        <v>825</v>
      </c>
      <c r="F826" s="3">
        <v>1.0798900387407367E-2</v>
      </c>
    </row>
    <row r="827" spans="5:6" x14ac:dyDescent="0.25">
      <c r="E827">
        <v>826</v>
      </c>
      <c r="F827" s="3">
        <v>-2.399078982453513E-2</v>
      </c>
    </row>
    <row r="828" spans="5:6" x14ac:dyDescent="0.25">
      <c r="E828">
        <v>827</v>
      </c>
      <c r="F828" s="3">
        <v>3.0464625705742712E-3</v>
      </c>
    </row>
    <row r="829" spans="5:6" x14ac:dyDescent="0.25">
      <c r="E829">
        <v>828</v>
      </c>
      <c r="F829" s="3">
        <v>-5.1264429766874463E-3</v>
      </c>
    </row>
    <row r="830" spans="5:6" x14ac:dyDescent="0.25">
      <c r="E830">
        <v>829</v>
      </c>
      <c r="F830" s="3">
        <v>1.0297146581374188E-2</v>
      </c>
    </row>
    <row r="831" spans="5:6" x14ac:dyDescent="0.25">
      <c r="E831">
        <v>830</v>
      </c>
      <c r="F831" s="3">
        <v>-1.5784220732434802E-2</v>
      </c>
    </row>
    <row r="832" spans="5:6" x14ac:dyDescent="0.25">
      <c r="E832">
        <v>831</v>
      </c>
      <c r="F832" s="3">
        <v>-4.3250721503378968E-3</v>
      </c>
    </row>
    <row r="833" spans="5:6" x14ac:dyDescent="0.25">
      <c r="E833">
        <v>832</v>
      </c>
      <c r="F833" s="3">
        <v>1.9853028224327877E-2</v>
      </c>
    </row>
    <row r="834" spans="5:6" x14ac:dyDescent="0.25">
      <c r="E834">
        <v>833</v>
      </c>
      <c r="F834" s="3">
        <v>4.6076121556646674E-3</v>
      </c>
    </row>
    <row r="835" spans="5:6" x14ac:dyDescent="0.25">
      <c r="E835">
        <v>834</v>
      </c>
      <c r="F835" s="3">
        <v>4.0720633133544334E-3</v>
      </c>
    </row>
    <row r="836" spans="5:6" x14ac:dyDescent="0.25">
      <c r="E836">
        <v>835</v>
      </c>
      <c r="F836" s="3">
        <v>5.8108363990515954E-3</v>
      </c>
    </row>
    <row r="837" spans="5:6" x14ac:dyDescent="0.25">
      <c r="E837">
        <v>836</v>
      </c>
      <c r="F837" s="3">
        <v>-9.0194938331789806E-3</v>
      </c>
    </row>
    <row r="838" spans="5:6" x14ac:dyDescent="0.25">
      <c r="E838">
        <v>837</v>
      </c>
      <c r="F838" s="3">
        <v>1.8246007146745281E-3</v>
      </c>
    </row>
    <row r="839" spans="5:6" x14ac:dyDescent="0.25">
      <c r="E839">
        <v>838</v>
      </c>
      <c r="F839" s="3">
        <v>3.4715994642088063E-2</v>
      </c>
    </row>
    <row r="840" spans="5:6" x14ac:dyDescent="0.25">
      <c r="E840">
        <v>839</v>
      </c>
      <c r="F840" s="3">
        <v>2.634660104791443E-2</v>
      </c>
    </row>
    <row r="841" spans="5:6" x14ac:dyDescent="0.25">
      <c r="E841">
        <v>840</v>
      </c>
      <c r="F841" s="3">
        <v>-1.9001313437060279E-2</v>
      </c>
    </row>
    <row r="842" spans="5:6" x14ac:dyDescent="0.25">
      <c r="E842">
        <v>841</v>
      </c>
      <c r="F842" s="3">
        <v>-1.9756530808381849E-2</v>
      </c>
    </row>
    <row r="843" spans="5:6" x14ac:dyDescent="0.25">
      <c r="E843">
        <v>842</v>
      </c>
      <c r="F843" s="3">
        <v>-1.06979357721682E-2</v>
      </c>
    </row>
    <row r="844" spans="5:6" x14ac:dyDescent="0.25">
      <c r="E844">
        <v>843</v>
      </c>
      <c r="F844" s="3">
        <v>-9.3068238369405833E-3</v>
      </c>
    </row>
    <row r="845" spans="5:6" x14ac:dyDescent="0.25">
      <c r="E845">
        <v>844</v>
      </c>
      <c r="F845" s="3">
        <v>1.8474490941823202E-2</v>
      </c>
    </row>
    <row r="846" spans="5:6" x14ac:dyDescent="0.25">
      <c r="E846">
        <v>845</v>
      </c>
      <c r="F846" s="3">
        <v>-6.3152900792578064E-3</v>
      </c>
    </row>
    <row r="847" spans="5:6" x14ac:dyDescent="0.25">
      <c r="E847">
        <v>846</v>
      </c>
      <c r="F847" s="3">
        <v>-9.9816995955657808E-3</v>
      </c>
    </row>
    <row r="848" spans="5:6" x14ac:dyDescent="0.25">
      <c r="E848">
        <v>847</v>
      </c>
      <c r="F848" s="3">
        <v>-5.5321071241378112E-4</v>
      </c>
    </row>
    <row r="849" spans="5:6" x14ac:dyDescent="0.25">
      <c r="E849">
        <v>848</v>
      </c>
      <c r="F849" s="3">
        <v>7.212782850788111E-3</v>
      </c>
    </row>
    <row r="850" spans="5:6" x14ac:dyDescent="0.25">
      <c r="E850">
        <v>849</v>
      </c>
      <c r="F850" s="3">
        <v>-1.5576571374256441E-2</v>
      </c>
    </row>
    <row r="851" spans="5:6" x14ac:dyDescent="0.25">
      <c r="E851">
        <v>850</v>
      </c>
      <c r="F851" s="3">
        <v>5.9576325364507137E-3</v>
      </c>
    </row>
    <row r="852" spans="5:6" x14ac:dyDescent="0.25">
      <c r="E852">
        <v>851</v>
      </c>
      <c r="F852" s="3">
        <v>6.993163014733449E-3</v>
      </c>
    </row>
    <row r="853" spans="5:6" x14ac:dyDescent="0.25">
      <c r="E853">
        <v>852</v>
      </c>
      <c r="F853" s="3">
        <v>-8.5845487433408862E-3</v>
      </c>
    </row>
    <row r="854" spans="5:6" x14ac:dyDescent="0.25">
      <c r="E854">
        <v>853</v>
      </c>
      <c r="F854" s="3">
        <v>1.2747380811684351E-2</v>
      </c>
    </row>
    <row r="855" spans="5:6" x14ac:dyDescent="0.25">
      <c r="E855">
        <v>854</v>
      </c>
      <c r="F855" s="3">
        <v>-5.5714154871709907E-3</v>
      </c>
    </row>
    <row r="856" spans="5:6" x14ac:dyDescent="0.25">
      <c r="E856">
        <v>855</v>
      </c>
      <c r="F856" s="3">
        <v>-9.3823884994348721E-3</v>
      </c>
    </row>
    <row r="857" spans="5:6" x14ac:dyDescent="0.25">
      <c r="E857">
        <v>856</v>
      </c>
      <c r="F857" s="3">
        <v>-1.941439786891802E-3</v>
      </c>
    </row>
    <row r="858" spans="5:6" x14ac:dyDescent="0.25">
      <c r="E858">
        <v>857</v>
      </c>
      <c r="F858" s="3">
        <v>-9.6489626598075563E-3</v>
      </c>
    </row>
    <row r="859" spans="5:6" x14ac:dyDescent="0.25">
      <c r="E859">
        <v>858</v>
      </c>
      <c r="F859" s="3">
        <v>3.0508763211693782E-2</v>
      </c>
    </row>
    <row r="860" spans="5:6" x14ac:dyDescent="0.25">
      <c r="E860">
        <v>859</v>
      </c>
      <c r="F860" s="3">
        <v>-2.3253264301778223E-2</v>
      </c>
    </row>
    <row r="861" spans="5:6" x14ac:dyDescent="0.25">
      <c r="E861">
        <v>860</v>
      </c>
      <c r="F861" s="3">
        <v>6.4465774480098187E-3</v>
      </c>
    </row>
    <row r="862" spans="5:6" x14ac:dyDescent="0.25">
      <c r="E862">
        <v>861</v>
      </c>
      <c r="F862" s="3">
        <v>-1.4874008533134317E-3</v>
      </c>
    </row>
    <row r="863" spans="5:6" x14ac:dyDescent="0.25">
      <c r="E863">
        <v>862</v>
      </c>
      <c r="F863" s="3">
        <v>-1.4698934280572314E-2</v>
      </c>
    </row>
    <row r="864" spans="5:6" x14ac:dyDescent="0.25">
      <c r="E864">
        <v>863</v>
      </c>
      <c r="F864" s="3">
        <v>5.5748762955617516E-3</v>
      </c>
    </row>
    <row r="865" spans="5:6" x14ac:dyDescent="0.25">
      <c r="E865">
        <v>864</v>
      </c>
      <c r="F865" s="3">
        <v>-9.2485355132292755E-3</v>
      </c>
    </row>
    <row r="866" spans="5:6" x14ac:dyDescent="0.25">
      <c r="E866">
        <v>865</v>
      </c>
      <c r="F866" s="3">
        <v>-1.531392441717431E-2</v>
      </c>
    </row>
    <row r="867" spans="5:6" x14ac:dyDescent="0.25">
      <c r="E867">
        <v>866</v>
      </c>
      <c r="F867" s="3">
        <v>-1.1155092250247144E-2</v>
      </c>
    </row>
    <row r="868" spans="5:6" x14ac:dyDescent="0.25">
      <c r="E868">
        <v>867</v>
      </c>
      <c r="F868" s="3">
        <v>2.7411058211440745E-2</v>
      </c>
    </row>
    <row r="869" spans="5:6" x14ac:dyDescent="0.25">
      <c r="E869">
        <v>868</v>
      </c>
      <c r="F869" s="3">
        <v>-7.4614935429505539E-3</v>
      </c>
    </row>
    <row r="870" spans="5:6" x14ac:dyDescent="0.25">
      <c r="E870">
        <v>869</v>
      </c>
      <c r="F870" s="3">
        <v>4.8432551584526064E-3</v>
      </c>
    </row>
    <row r="871" spans="5:6" x14ac:dyDescent="0.25">
      <c r="E871">
        <v>870</v>
      </c>
      <c r="F871" s="3">
        <v>-1.0785719355867611E-2</v>
      </c>
    </row>
    <row r="872" spans="5:6" x14ac:dyDescent="0.25">
      <c r="E872">
        <v>871</v>
      </c>
      <c r="F872" s="3">
        <v>-3.6244488964223779E-3</v>
      </c>
    </row>
    <row r="873" spans="5:6" x14ac:dyDescent="0.25">
      <c r="E873">
        <v>872</v>
      </c>
      <c r="F873" s="3">
        <v>-2.4099892709744559E-3</v>
      </c>
    </row>
    <row r="874" spans="5:6" x14ac:dyDescent="0.25">
      <c r="E874">
        <v>873</v>
      </c>
      <c r="F874" s="3">
        <v>-2.176162191769688E-4</v>
      </c>
    </row>
    <row r="875" spans="5:6" x14ac:dyDescent="0.25">
      <c r="E875">
        <v>874</v>
      </c>
      <c r="F875" s="3">
        <v>-9.1404625306157911E-3</v>
      </c>
    </row>
    <row r="876" spans="5:6" x14ac:dyDescent="0.25">
      <c r="E876">
        <v>875</v>
      </c>
      <c r="F876" s="3">
        <v>1.882186548086354E-2</v>
      </c>
    </row>
    <row r="877" spans="5:6" x14ac:dyDescent="0.25">
      <c r="E877">
        <v>876</v>
      </c>
      <c r="F877" s="3">
        <v>-1.5759123666125804E-3</v>
      </c>
    </row>
    <row r="878" spans="5:6" x14ac:dyDescent="0.25">
      <c r="E878">
        <v>877</v>
      </c>
      <c r="F878" s="3">
        <v>1.4515700728883299E-2</v>
      </c>
    </row>
    <row r="879" spans="5:6" x14ac:dyDescent="0.25">
      <c r="E879">
        <v>878</v>
      </c>
      <c r="F879" s="3">
        <v>-5.090797490096664E-3</v>
      </c>
    </row>
    <row r="880" spans="5:6" x14ac:dyDescent="0.25">
      <c r="E880">
        <v>879</v>
      </c>
      <c r="F880" s="3">
        <v>8.3218671420091754E-3</v>
      </c>
    </row>
    <row r="881" spans="5:6" x14ac:dyDescent="0.25">
      <c r="E881">
        <v>880</v>
      </c>
      <c r="F881" s="3">
        <v>5.3658811254239051E-3</v>
      </c>
    </row>
    <row r="882" spans="5:6" x14ac:dyDescent="0.25">
      <c r="E882">
        <v>881</v>
      </c>
      <c r="F882" s="3">
        <v>-1.0873741796023212E-2</v>
      </c>
    </row>
    <row r="883" spans="5:6" x14ac:dyDescent="0.25">
      <c r="E883">
        <v>882</v>
      </c>
      <c r="F883" s="3">
        <v>1.1047027685176963E-2</v>
      </c>
    </row>
    <row r="884" spans="5:6" x14ac:dyDescent="0.25">
      <c r="E884">
        <v>883</v>
      </c>
      <c r="F884" s="3">
        <v>-6.3421702345174682E-3</v>
      </c>
    </row>
    <row r="885" spans="5:6" x14ac:dyDescent="0.25">
      <c r="E885">
        <v>884</v>
      </c>
      <c r="F885" s="3">
        <v>1.5487080882952343E-2</v>
      </c>
    </row>
    <row r="886" spans="5:6" x14ac:dyDescent="0.25">
      <c r="E886">
        <v>885</v>
      </c>
      <c r="F886" s="3">
        <v>8.3613694774494467E-3</v>
      </c>
    </row>
    <row r="887" spans="5:6" x14ac:dyDescent="0.25">
      <c r="E887">
        <v>886</v>
      </c>
      <c r="F887" s="3">
        <v>-8.2642520060946141E-3</v>
      </c>
    </row>
    <row r="888" spans="5:6" x14ac:dyDescent="0.25">
      <c r="E888">
        <v>887</v>
      </c>
      <c r="F888" s="3">
        <v>1.1698948559664534E-2</v>
      </c>
    </row>
    <row r="889" spans="5:6" x14ac:dyDescent="0.25">
      <c r="E889">
        <v>888</v>
      </c>
      <c r="F889" s="3">
        <v>1.1490330950497715E-2</v>
      </c>
    </row>
    <row r="890" spans="5:6" x14ac:dyDescent="0.25">
      <c r="E890">
        <v>889</v>
      </c>
      <c r="F890" s="3">
        <v>2.204811706925127E-2</v>
      </c>
    </row>
    <row r="891" spans="5:6" x14ac:dyDescent="0.25">
      <c r="E891">
        <v>890</v>
      </c>
      <c r="F891" s="3">
        <v>3.4422255107420642E-3</v>
      </c>
    </row>
    <row r="892" spans="5:6" x14ac:dyDescent="0.25">
      <c r="E892">
        <v>891</v>
      </c>
      <c r="F892" s="3">
        <v>5.2702723587878392E-3</v>
      </c>
    </row>
    <row r="893" spans="5:6" x14ac:dyDescent="0.25">
      <c r="E893">
        <v>892</v>
      </c>
      <c r="F893" s="3">
        <v>2.8508555701093518E-2</v>
      </c>
    </row>
    <row r="894" spans="5:6" x14ac:dyDescent="0.25">
      <c r="E894">
        <v>893</v>
      </c>
      <c r="F894" s="3">
        <v>1.5336608671000459E-3</v>
      </c>
    </row>
    <row r="895" spans="5:6" x14ac:dyDescent="0.25">
      <c r="E895">
        <v>894</v>
      </c>
      <c r="F895" s="3">
        <v>-2.4863919327073724E-2</v>
      </c>
    </row>
    <row r="896" spans="5:6" x14ac:dyDescent="0.25">
      <c r="E896">
        <v>895</v>
      </c>
      <c r="F896" s="3">
        <v>-4.0651016380979571E-3</v>
      </c>
    </row>
    <row r="897" spans="5:6" x14ac:dyDescent="0.25">
      <c r="E897">
        <v>896</v>
      </c>
      <c r="F897" s="3">
        <v>-3.1967908844808712E-2</v>
      </c>
    </row>
    <row r="898" spans="5:6" x14ac:dyDescent="0.25">
      <c r="E898">
        <v>897</v>
      </c>
      <c r="F898" s="3">
        <v>2.0350551191385971E-2</v>
      </c>
    </row>
    <row r="899" spans="5:6" x14ac:dyDescent="0.25">
      <c r="E899">
        <v>898</v>
      </c>
      <c r="F899" s="3">
        <v>-1.3825485703677879E-3</v>
      </c>
    </row>
    <row r="900" spans="5:6" x14ac:dyDescent="0.25">
      <c r="E900">
        <v>899</v>
      </c>
      <c r="F900" s="3">
        <v>-1.2654491500778672E-2</v>
      </c>
    </row>
    <row r="901" spans="5:6" x14ac:dyDescent="0.25">
      <c r="E901">
        <v>900</v>
      </c>
      <c r="F901" s="3">
        <v>-1.7430666632486404E-3</v>
      </c>
    </row>
    <row r="902" spans="5:6" x14ac:dyDescent="0.25">
      <c r="E902">
        <v>901</v>
      </c>
      <c r="F902" s="3">
        <v>5.4872055140789411E-3</v>
      </c>
    </row>
    <row r="903" spans="5:6" x14ac:dyDescent="0.25">
      <c r="E903">
        <v>902</v>
      </c>
      <c r="F903" s="3">
        <v>-1.1247595511111158E-2</v>
      </c>
    </row>
    <row r="904" spans="5:6" x14ac:dyDescent="0.25">
      <c r="E904">
        <v>903</v>
      </c>
      <c r="F904" s="3">
        <v>-1.875349722618181E-2</v>
      </c>
    </row>
    <row r="905" spans="5:6" x14ac:dyDescent="0.25">
      <c r="E905">
        <v>904</v>
      </c>
      <c r="F905" s="3">
        <v>1.6552903050577796E-2</v>
      </c>
    </row>
    <row r="906" spans="5:6" x14ac:dyDescent="0.25">
      <c r="E906">
        <v>905</v>
      </c>
      <c r="F906" s="3">
        <v>-1.1797071797799031E-2</v>
      </c>
    </row>
    <row r="907" spans="5:6" x14ac:dyDescent="0.25">
      <c r="E907">
        <v>906</v>
      </c>
      <c r="F907" s="3">
        <v>1.5866794363875829E-3</v>
      </c>
    </row>
    <row r="908" spans="5:6" x14ac:dyDescent="0.25">
      <c r="E908">
        <v>907</v>
      </c>
      <c r="F908" s="3">
        <v>1.7950338487349313E-2</v>
      </c>
    </row>
    <row r="909" spans="5:6" x14ac:dyDescent="0.25">
      <c r="E909">
        <v>908</v>
      </c>
      <c r="F909" s="3">
        <v>-2.6178237384365394E-3</v>
      </c>
    </row>
    <row r="910" spans="5:6" x14ac:dyDescent="0.25">
      <c r="E910">
        <v>909</v>
      </c>
      <c r="F910" s="3">
        <v>8.1826816983384953E-3</v>
      </c>
    </row>
    <row r="911" spans="5:6" x14ac:dyDescent="0.25">
      <c r="E911">
        <v>910</v>
      </c>
      <c r="F911" s="3">
        <v>-2.5393077566141758E-2</v>
      </c>
    </row>
    <row r="912" spans="5:6" x14ac:dyDescent="0.25">
      <c r="E912">
        <v>911</v>
      </c>
      <c r="F912" s="3">
        <v>3.3420420864359833E-3</v>
      </c>
    </row>
    <row r="913" spans="5:6" x14ac:dyDescent="0.25">
      <c r="E913">
        <v>912</v>
      </c>
      <c r="F913" s="3">
        <v>-1.6871339256191803E-2</v>
      </c>
    </row>
    <row r="914" spans="5:6" x14ac:dyDescent="0.25">
      <c r="E914">
        <v>913</v>
      </c>
      <c r="F914" s="3">
        <v>-6.6689632989506299E-3</v>
      </c>
    </row>
    <row r="915" spans="5:6" x14ac:dyDescent="0.25">
      <c r="E915">
        <v>914</v>
      </c>
      <c r="F915" s="3">
        <v>-2.0266936353618051E-2</v>
      </c>
    </row>
    <row r="916" spans="5:6" x14ac:dyDescent="0.25">
      <c r="E916">
        <v>915</v>
      </c>
      <c r="F916" s="3">
        <v>-4.3266718214137051E-3</v>
      </c>
    </row>
    <row r="917" spans="5:6" x14ac:dyDescent="0.25">
      <c r="E917">
        <v>916</v>
      </c>
      <c r="F917" s="3">
        <v>-3.3735080103389978E-2</v>
      </c>
    </row>
    <row r="918" spans="5:6" x14ac:dyDescent="0.25">
      <c r="E918">
        <v>917</v>
      </c>
      <c r="F918" s="3">
        <v>-3.2969329903731852E-3</v>
      </c>
    </row>
    <row r="919" spans="5:6" x14ac:dyDescent="0.25">
      <c r="E919">
        <v>918</v>
      </c>
      <c r="F919" s="3">
        <v>-1.2454697208754221E-2</v>
      </c>
    </row>
    <row r="920" spans="5:6" x14ac:dyDescent="0.25">
      <c r="E920">
        <v>919</v>
      </c>
      <c r="F920" s="3">
        <v>5.8117808039482664E-3</v>
      </c>
    </row>
    <row r="921" spans="5:6" x14ac:dyDescent="0.25">
      <c r="E921">
        <v>920</v>
      </c>
      <c r="F921" s="3">
        <v>-2.0244778315057547E-2</v>
      </c>
    </row>
    <row r="922" spans="5:6" x14ac:dyDescent="0.25">
      <c r="E922">
        <v>921</v>
      </c>
      <c r="F922" s="3">
        <v>8.8791630525297E-3</v>
      </c>
    </row>
    <row r="923" spans="5:6" x14ac:dyDescent="0.25">
      <c r="E923">
        <v>922</v>
      </c>
      <c r="F923" s="3">
        <v>-3.7316726463641715E-3</v>
      </c>
    </row>
    <row r="924" spans="5:6" x14ac:dyDescent="0.25">
      <c r="E924">
        <v>923</v>
      </c>
      <c r="F924" s="3">
        <v>4.7612435470807722E-3</v>
      </c>
    </row>
    <row r="925" spans="5:6" x14ac:dyDescent="0.25">
      <c r="E925">
        <v>924</v>
      </c>
      <c r="F925" s="3">
        <v>5.5646726321775049E-4</v>
      </c>
    </row>
    <row r="926" spans="5:6" x14ac:dyDescent="0.25">
      <c r="E926">
        <v>925</v>
      </c>
      <c r="F926" s="3">
        <v>-4.3368547543197484E-3</v>
      </c>
    </row>
    <row r="927" spans="5:6" x14ac:dyDescent="0.25">
      <c r="E927">
        <v>926</v>
      </c>
      <c r="F927" s="3">
        <v>4.7219671803795686E-3</v>
      </c>
    </row>
    <row r="928" spans="5:6" x14ac:dyDescent="0.25">
      <c r="E928">
        <v>927</v>
      </c>
      <c r="F928" s="3">
        <v>-2.4705978781250386E-3</v>
      </c>
    </row>
    <row r="929" spans="5:6" x14ac:dyDescent="0.25">
      <c r="E929">
        <v>928</v>
      </c>
      <c r="F929" s="3">
        <v>1.0064342895738871E-2</v>
      </c>
    </row>
    <row r="930" spans="5:6" x14ac:dyDescent="0.25">
      <c r="E930">
        <v>929</v>
      </c>
      <c r="F930" s="3">
        <v>-4.1392583119546152E-4</v>
      </c>
    </row>
    <row r="931" spans="5:6" x14ac:dyDescent="0.25">
      <c r="E931">
        <v>930</v>
      </c>
      <c r="F931" s="3">
        <v>1.6521093908903387E-2</v>
      </c>
    </row>
    <row r="932" spans="5:6" x14ac:dyDescent="0.25">
      <c r="E932">
        <v>931</v>
      </c>
      <c r="F932" s="3">
        <v>8.3265871828472403E-4</v>
      </c>
    </row>
    <row r="933" spans="5:6" x14ac:dyDescent="0.25">
      <c r="E933">
        <v>932</v>
      </c>
      <c r="F933" s="3">
        <v>4.1403918982171346E-3</v>
      </c>
    </row>
    <row r="934" spans="5:6" x14ac:dyDescent="0.25">
      <c r="E934">
        <v>933</v>
      </c>
      <c r="F934" s="3">
        <v>-8.9717063511264745E-3</v>
      </c>
    </row>
    <row r="935" spans="5:6" x14ac:dyDescent="0.25">
      <c r="E935">
        <v>934</v>
      </c>
      <c r="F935" s="3">
        <v>1.6924075482484889E-2</v>
      </c>
    </row>
    <row r="936" spans="5:6" x14ac:dyDescent="0.25">
      <c r="E936">
        <v>935</v>
      </c>
      <c r="F936" s="3">
        <v>-2.5811003466073611E-3</v>
      </c>
    </row>
    <row r="937" spans="5:6" x14ac:dyDescent="0.25">
      <c r="E937">
        <v>936</v>
      </c>
      <c r="F937" s="3">
        <v>-1.1457034317203954E-2</v>
      </c>
    </row>
    <row r="938" spans="5:6" x14ac:dyDescent="0.25">
      <c r="E938">
        <v>937</v>
      </c>
      <c r="F938" s="3">
        <v>1.8926664023324529E-2</v>
      </c>
    </row>
    <row r="939" spans="5:6" x14ac:dyDescent="0.25">
      <c r="E939">
        <v>938</v>
      </c>
      <c r="F939" s="3">
        <v>-1.642460363893955E-2</v>
      </c>
    </row>
    <row r="940" spans="5:6" x14ac:dyDescent="0.25">
      <c r="E940">
        <v>939</v>
      </c>
      <c r="F940" s="3">
        <v>-8.4186178872710789E-4</v>
      </c>
    </row>
    <row r="941" spans="5:6" x14ac:dyDescent="0.25">
      <c r="E941">
        <v>940</v>
      </c>
      <c r="F941" s="3">
        <v>1.3432820635348917E-3</v>
      </c>
    </row>
    <row r="942" spans="5:6" x14ac:dyDescent="0.25">
      <c r="E942">
        <v>941</v>
      </c>
      <c r="F942" s="3">
        <v>2.2456927810951519E-2</v>
      </c>
    </row>
    <row r="943" spans="5:6" x14ac:dyDescent="0.25">
      <c r="E943">
        <v>942</v>
      </c>
      <c r="F943" s="3">
        <v>3.7846783101649429E-4</v>
      </c>
    </row>
    <row r="944" spans="5:6" x14ac:dyDescent="0.25">
      <c r="E944">
        <v>943</v>
      </c>
      <c r="F944" s="3">
        <v>1.6924738259860555E-5</v>
      </c>
    </row>
    <row r="945" spans="5:6" x14ac:dyDescent="0.25">
      <c r="E945">
        <v>944</v>
      </c>
      <c r="F945" s="3">
        <v>4.5392200062927303E-3</v>
      </c>
    </row>
    <row r="946" spans="5:6" x14ac:dyDescent="0.25">
      <c r="E946">
        <v>945</v>
      </c>
      <c r="F946" s="3">
        <v>4.487261608898143E-3</v>
      </c>
    </row>
    <row r="947" spans="5:6" x14ac:dyDescent="0.25">
      <c r="E947">
        <v>946</v>
      </c>
      <c r="F947" s="3">
        <v>-1.0766848086518056E-2</v>
      </c>
    </row>
    <row r="948" spans="5:6" x14ac:dyDescent="0.25">
      <c r="E948">
        <v>947</v>
      </c>
      <c r="F948" s="3">
        <v>1.6286926780242104E-2</v>
      </c>
    </row>
    <row r="949" spans="5:6" x14ac:dyDescent="0.25">
      <c r="E949">
        <v>948</v>
      </c>
      <c r="F949" s="3">
        <v>1.9094678724590825E-2</v>
      </c>
    </row>
    <row r="950" spans="5:6" x14ac:dyDescent="0.25">
      <c r="E950">
        <v>949</v>
      </c>
      <c r="F950" s="3">
        <v>2.2242825080695635E-2</v>
      </c>
    </row>
    <row r="951" spans="5:6" x14ac:dyDescent="0.25">
      <c r="E951">
        <v>950</v>
      </c>
      <c r="F951" s="3">
        <v>1.8249364962288699E-3</v>
      </c>
    </row>
    <row r="952" spans="5:6" x14ac:dyDescent="0.25">
      <c r="E952">
        <v>951</v>
      </c>
      <c r="F952" s="3">
        <v>-9.24998352962976E-3</v>
      </c>
    </row>
    <row r="953" spans="5:6" x14ac:dyDescent="0.25">
      <c r="E953">
        <v>952</v>
      </c>
      <c r="F953" s="3">
        <v>9.4822111811729143E-3</v>
      </c>
    </row>
    <row r="954" spans="5:6" x14ac:dyDescent="0.25">
      <c r="E954">
        <v>953</v>
      </c>
      <c r="F954" s="3">
        <v>3.3666301248751109E-5</v>
      </c>
    </row>
    <row r="955" spans="5:6" x14ac:dyDescent="0.25">
      <c r="E955">
        <v>954</v>
      </c>
      <c r="F955" s="3">
        <v>-4.1950171297723965E-3</v>
      </c>
    </row>
    <row r="956" spans="5:6" x14ac:dyDescent="0.25">
      <c r="E956">
        <v>955</v>
      </c>
      <c r="F956" s="3">
        <v>9.0946544694042834E-3</v>
      </c>
    </row>
    <row r="957" spans="5:6" x14ac:dyDescent="0.25">
      <c r="E957">
        <v>956</v>
      </c>
      <c r="F957" s="3">
        <v>-2.2084464224129765E-2</v>
      </c>
    </row>
    <row r="958" spans="5:6" x14ac:dyDescent="0.25">
      <c r="E958">
        <v>957</v>
      </c>
      <c r="F958" s="3">
        <v>1.0648569126412545E-3</v>
      </c>
    </row>
    <row r="959" spans="5:6" x14ac:dyDescent="0.25">
      <c r="E959">
        <v>958</v>
      </c>
      <c r="F959" s="3">
        <v>-9.0953927163886488E-3</v>
      </c>
    </row>
    <row r="960" spans="5:6" x14ac:dyDescent="0.25">
      <c r="E960">
        <v>959</v>
      </c>
      <c r="F960" s="3">
        <v>-2.9108860729577479E-2</v>
      </c>
    </row>
    <row r="961" spans="5:6" x14ac:dyDescent="0.25">
      <c r="E961">
        <v>960</v>
      </c>
      <c r="F961" s="3">
        <v>-1.5244367995250899E-2</v>
      </c>
    </row>
    <row r="962" spans="5:6" x14ac:dyDescent="0.25">
      <c r="E962">
        <v>961</v>
      </c>
      <c r="F962" s="3">
        <v>1.1893443687579866E-2</v>
      </c>
    </row>
    <row r="963" spans="5:6" x14ac:dyDescent="0.25">
      <c r="E963">
        <v>962</v>
      </c>
      <c r="F963" s="3">
        <v>4.4170879638854785E-3</v>
      </c>
    </row>
    <row r="964" spans="5:6" x14ac:dyDescent="0.25">
      <c r="E964">
        <v>963</v>
      </c>
      <c r="F964" s="3">
        <v>-6.6284160044185309E-4</v>
      </c>
    </row>
    <row r="965" spans="5:6" x14ac:dyDescent="0.25">
      <c r="E965">
        <v>964</v>
      </c>
      <c r="F965" s="3">
        <v>-2.1306229917829366E-3</v>
      </c>
    </row>
    <row r="966" spans="5:6" x14ac:dyDescent="0.25">
      <c r="E966">
        <v>965</v>
      </c>
      <c r="F966" s="3">
        <v>-1.3417702264551905E-2</v>
      </c>
    </row>
    <row r="967" spans="5:6" x14ac:dyDescent="0.25">
      <c r="E967">
        <v>966</v>
      </c>
      <c r="F967" s="3">
        <v>1.2183295337028482E-3</v>
      </c>
    </row>
    <row r="968" spans="5:6" x14ac:dyDescent="0.25">
      <c r="E968">
        <v>967</v>
      </c>
      <c r="F968" s="3">
        <v>7.7785862319888011E-3</v>
      </c>
    </row>
    <row r="969" spans="5:6" x14ac:dyDescent="0.25">
      <c r="E969">
        <v>968</v>
      </c>
      <c r="F969" s="3">
        <v>-4.0995998415368313E-4</v>
      </c>
    </row>
    <row r="970" spans="5:6" x14ac:dyDescent="0.25">
      <c r="E970">
        <v>969</v>
      </c>
      <c r="F970" s="3">
        <v>1.9455142162667687E-2</v>
      </c>
    </row>
    <row r="971" spans="5:6" x14ac:dyDescent="0.25">
      <c r="E971">
        <v>970</v>
      </c>
      <c r="F971" s="3">
        <v>9.4295711114272523E-3</v>
      </c>
    </row>
    <row r="972" spans="5:6" x14ac:dyDescent="0.25">
      <c r="E972">
        <v>971</v>
      </c>
      <c r="F972" s="3">
        <v>1.3463348621165128E-2</v>
      </c>
    </row>
    <row r="973" spans="5:6" x14ac:dyDescent="0.25">
      <c r="E973">
        <v>972</v>
      </c>
      <c r="F973" s="3">
        <v>8.8094622541430787E-3</v>
      </c>
    </row>
    <row r="974" spans="5:6" x14ac:dyDescent="0.25">
      <c r="E974">
        <v>973</v>
      </c>
      <c r="F974" s="3">
        <v>-3.545771828020316E-3</v>
      </c>
    </row>
    <row r="975" spans="5:6" x14ac:dyDescent="0.25">
      <c r="E975">
        <v>974</v>
      </c>
      <c r="F975" s="3">
        <v>3.5820202012860746E-3</v>
      </c>
    </row>
    <row r="976" spans="5:6" x14ac:dyDescent="0.25">
      <c r="E976">
        <v>975</v>
      </c>
      <c r="F976" s="3">
        <v>9.0579781241158612E-3</v>
      </c>
    </row>
    <row r="977" spans="5:6" x14ac:dyDescent="0.25">
      <c r="E977">
        <v>976</v>
      </c>
      <c r="F977" s="3">
        <v>1.1903576597252561E-2</v>
      </c>
    </row>
    <row r="978" spans="5:6" x14ac:dyDescent="0.25">
      <c r="E978">
        <v>977</v>
      </c>
      <c r="F978" s="3">
        <v>-4.7796868935488226E-3</v>
      </c>
    </row>
    <row r="979" spans="5:6" x14ac:dyDescent="0.25">
      <c r="E979">
        <v>978</v>
      </c>
      <c r="F979" s="3">
        <v>3.9630182642728185E-3</v>
      </c>
    </row>
    <row r="980" spans="5:6" x14ac:dyDescent="0.25">
      <c r="E980">
        <v>979</v>
      </c>
      <c r="F980" s="3">
        <v>7.8910729229356349E-3</v>
      </c>
    </row>
    <row r="981" spans="5:6" x14ac:dyDescent="0.25">
      <c r="E981">
        <v>980</v>
      </c>
      <c r="F981" s="3">
        <v>-1.856130664986011E-2</v>
      </c>
    </row>
    <row r="982" spans="5:6" x14ac:dyDescent="0.25">
      <c r="E982">
        <v>981</v>
      </c>
      <c r="F982" s="3">
        <v>1.2469789222780218E-2</v>
      </c>
    </row>
    <row r="983" spans="5:6" x14ac:dyDescent="0.25">
      <c r="E983">
        <v>982</v>
      </c>
      <c r="F983" s="3">
        <v>-5.4609379657638958E-3</v>
      </c>
    </row>
    <row r="984" spans="5:6" x14ac:dyDescent="0.25">
      <c r="E984">
        <v>983</v>
      </c>
      <c r="F984" s="3">
        <v>-1.7467252261416301E-3</v>
      </c>
    </row>
    <row r="985" spans="5:6" x14ac:dyDescent="0.25">
      <c r="E985">
        <v>984</v>
      </c>
      <c r="F985" s="3">
        <v>-1.5437820129007485E-2</v>
      </c>
    </row>
    <row r="986" spans="5:6" x14ac:dyDescent="0.25">
      <c r="E986">
        <v>985</v>
      </c>
      <c r="F986" s="3">
        <v>-5.7014591351917622E-3</v>
      </c>
    </row>
    <row r="987" spans="5:6" x14ac:dyDescent="0.25">
      <c r="E987">
        <v>986</v>
      </c>
      <c r="F987" s="3">
        <v>1.2333879275406242E-2</v>
      </c>
    </row>
    <row r="988" spans="5:6" x14ac:dyDescent="0.25">
      <c r="E988">
        <v>987</v>
      </c>
      <c r="F988" s="3">
        <v>-8.1716754898213586E-3</v>
      </c>
    </row>
    <row r="989" spans="5:6" x14ac:dyDescent="0.25">
      <c r="E989">
        <v>988</v>
      </c>
      <c r="F989" s="3">
        <v>-1.7393989404418123E-2</v>
      </c>
    </row>
    <row r="990" spans="5:6" x14ac:dyDescent="0.25">
      <c r="E990">
        <v>989</v>
      </c>
      <c r="F990" s="3">
        <v>8.4177661608703484E-3</v>
      </c>
    </row>
    <row r="991" spans="5:6" x14ac:dyDescent="0.25">
      <c r="E991">
        <v>990</v>
      </c>
      <c r="F991" s="3">
        <v>-4.8609110615998683E-3</v>
      </c>
    </row>
    <row r="992" spans="5:6" x14ac:dyDescent="0.25">
      <c r="E992">
        <v>991</v>
      </c>
      <c r="F992" s="3">
        <v>1.2361533355457612E-2</v>
      </c>
    </row>
    <row r="993" spans="5:6" x14ac:dyDescent="0.25">
      <c r="E993">
        <v>992</v>
      </c>
      <c r="F993" s="3">
        <v>-1.9199238662831273E-2</v>
      </c>
    </row>
    <row r="994" spans="5:6" x14ac:dyDescent="0.25">
      <c r="E994">
        <v>993</v>
      </c>
      <c r="F994" s="3">
        <v>7.9146356029265326E-4</v>
      </c>
    </row>
    <row r="995" spans="5:6" x14ac:dyDescent="0.25">
      <c r="E995">
        <v>994</v>
      </c>
      <c r="F995" s="3">
        <v>1.5875167052448683E-2</v>
      </c>
    </row>
    <row r="996" spans="5:6" x14ac:dyDescent="0.25">
      <c r="E996">
        <v>995</v>
      </c>
      <c r="F996" s="3">
        <v>7.8064772390885892E-3</v>
      </c>
    </row>
    <row r="997" spans="5:6" x14ac:dyDescent="0.25">
      <c r="E997">
        <v>996</v>
      </c>
      <c r="F997" s="3">
        <v>1.8702453944372962E-3</v>
      </c>
    </row>
    <row r="998" spans="5:6" x14ac:dyDescent="0.25">
      <c r="E998">
        <v>997</v>
      </c>
      <c r="F998" s="3">
        <v>-1.2857867457313418E-2</v>
      </c>
    </row>
    <row r="999" spans="5:6" x14ac:dyDescent="0.25">
      <c r="E999">
        <v>998</v>
      </c>
      <c r="F999" s="3">
        <v>-1.9599966314533486E-2</v>
      </c>
    </row>
    <row r="1000" spans="5:6" x14ac:dyDescent="0.25">
      <c r="E1000">
        <v>999</v>
      </c>
      <c r="F1000" s="3">
        <v>7.2664443998463248E-3</v>
      </c>
    </row>
    <row r="1001" spans="5:6" x14ac:dyDescent="0.25">
      <c r="E1001">
        <v>1000</v>
      </c>
      <c r="F1001" s="3">
        <v>1.8356514049470619E-2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Histórico</vt:lpstr>
      <vt:lpstr>EWMA Paramétrico</vt:lpstr>
      <vt:lpstr>Simulação Monte 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2026-01-02T03:59:28Z</dcterms:created>
  <dcterms:modified xsi:type="dcterms:W3CDTF">2026-06-13T12:38:52Z</dcterms:modified>
</cp:coreProperties>
</file>