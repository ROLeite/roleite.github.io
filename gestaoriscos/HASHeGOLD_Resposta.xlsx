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centect\Downloads\"/>
    </mc:Choice>
  </mc:AlternateContent>
  <bookViews>
    <workbookView xWindow="0" yWindow="0" windowWidth="23040" windowHeight="9072"/>
  </bookViews>
  <sheets>
    <sheet name="Sheet1" sheetId="1" r:id="rId1"/>
  </sheets>
  <definedNames>
    <definedName name="solver_adj" localSheetId="0" hidden="1">Sheet1!$J$5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Sheet1!$J$10</definedName>
    <definedName name="solver_lhs2" localSheetId="0" hidden="1">Sheet1!$J$6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Sheet1!$J$16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)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hs1" localSheetId="0" hidden="1">Sheet1!$J$11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O5" i="1"/>
  <c r="J2" i="1" l="1"/>
  <c r="E2" i="1"/>
  <c r="O6" i="1" l="1"/>
  <c r="N6" i="1"/>
  <c r="M6" i="1"/>
  <c r="F2" i="1"/>
  <c r="J6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J3" i="1"/>
  <c r="J8" i="1" l="1"/>
  <c r="J14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116" i="1"/>
  <c r="G120" i="1"/>
  <c r="G124" i="1"/>
  <c r="G127" i="1"/>
  <c r="G145" i="1"/>
  <c r="G163" i="1"/>
  <c r="G166" i="1"/>
  <c r="G170" i="1"/>
  <c r="G179" i="1"/>
  <c r="G182" i="1"/>
  <c r="G190" i="1"/>
  <c r="G218" i="1"/>
  <c r="G233" i="1"/>
  <c r="G242" i="1"/>
  <c r="G277" i="1"/>
  <c r="G335" i="1"/>
  <c r="G348" i="1"/>
  <c r="G359" i="1"/>
  <c r="G387" i="1"/>
  <c r="G396" i="1"/>
  <c r="G417" i="1"/>
  <c r="G425" i="1"/>
  <c r="G436" i="1"/>
  <c r="G447" i="1"/>
  <c r="G451" i="1"/>
  <c r="G485" i="1"/>
  <c r="G104" i="1"/>
  <c r="G266" i="1"/>
  <c r="G271" i="1"/>
  <c r="G278" i="1"/>
  <c r="G282" i="1"/>
  <c r="G292" i="1"/>
  <c r="G301" i="1"/>
  <c r="G338" i="1"/>
  <c r="G343" i="1"/>
  <c r="G367" i="1"/>
  <c r="G372" i="1"/>
  <c r="G377" i="1"/>
  <c r="G380" i="1"/>
  <c r="G399" i="1"/>
  <c r="G418" i="1"/>
  <c r="G421" i="1"/>
  <c r="G428" i="1"/>
  <c r="G430" i="1"/>
  <c r="G434" i="1"/>
  <c r="G455" i="1"/>
  <c r="G464" i="1"/>
  <c r="G468" i="1"/>
  <c r="G474" i="1"/>
  <c r="G95" i="1"/>
  <c r="G130" i="1"/>
  <c r="G146" i="1"/>
  <c r="G150" i="1"/>
  <c r="G153" i="1"/>
  <c r="G186" i="1"/>
  <c r="G205" i="1"/>
  <c r="G209" i="1"/>
  <c r="G226" i="1"/>
  <c r="G234" i="1"/>
  <c r="G246" i="1"/>
  <c r="G249" i="1"/>
  <c r="G261" i="1"/>
  <c r="G274" i="1"/>
  <c r="G290" i="1"/>
  <c r="G309" i="1"/>
  <c r="G315" i="1"/>
  <c r="G321" i="1"/>
  <c r="G341" i="1"/>
  <c r="G345" i="1"/>
  <c r="G365" i="1"/>
  <c r="G381" i="1"/>
  <c r="G386" i="1"/>
  <c r="G394" i="1"/>
  <c r="G406" i="1"/>
  <c r="G411" i="1"/>
  <c r="G423" i="1"/>
  <c r="G450" i="1"/>
  <c r="G454" i="1"/>
  <c r="G462" i="1"/>
  <c r="G472" i="1"/>
  <c r="G101" i="1"/>
  <c r="G298" i="1"/>
  <c r="G329" i="1"/>
  <c r="G331" i="1"/>
  <c r="G390" i="1"/>
  <c r="G437" i="1"/>
  <c r="G471" i="1"/>
  <c r="G106" i="1"/>
  <c r="G155" i="1"/>
  <c r="G161" i="1"/>
  <c r="G201" i="1"/>
  <c r="G213" i="1"/>
  <c r="G222" i="1"/>
  <c r="G229" i="1"/>
  <c r="G276" i="1"/>
  <c r="G296" i="1"/>
  <c r="G307" i="1"/>
  <c r="G317" i="1"/>
  <c r="G326" i="1"/>
  <c r="G355" i="1"/>
  <c r="G373" i="1"/>
  <c r="G382" i="1"/>
  <c r="G395" i="1"/>
  <c r="G402" i="1"/>
  <c r="G408" i="1"/>
  <c r="G441" i="1"/>
  <c r="G476" i="1"/>
  <c r="G484" i="1"/>
  <c r="G117" i="1"/>
  <c r="G288" i="1"/>
  <c r="G297" i="1"/>
  <c r="G302" i="1"/>
  <c r="G324" i="1"/>
  <c r="G385" i="1"/>
  <c r="G389" i="1"/>
  <c r="G392" i="1"/>
  <c r="G409" i="1"/>
  <c r="G432" i="1"/>
  <c r="G443" i="1"/>
  <c r="G460" i="1"/>
  <c r="G467" i="1"/>
  <c r="G96" i="1"/>
  <c r="G132" i="1"/>
  <c r="G136" i="1"/>
  <c r="G139" i="1"/>
  <c r="G142" i="1"/>
  <c r="G160" i="1"/>
  <c r="G167" i="1"/>
  <c r="G173" i="1"/>
  <c r="G178" i="1"/>
  <c r="G181" i="1"/>
  <c r="G185" i="1"/>
  <c r="G193" i="1"/>
  <c r="G197" i="1"/>
  <c r="G223" i="1"/>
  <c r="G227" i="1"/>
  <c r="G244" i="1"/>
  <c r="G253" i="1"/>
  <c r="G257" i="1"/>
  <c r="G264" i="1"/>
  <c r="G287" i="1"/>
  <c r="G303" i="1"/>
  <c r="G322" i="1"/>
  <c r="G333" i="1"/>
  <c r="G353" i="1"/>
  <c r="G413" i="1"/>
  <c r="G416" i="1"/>
  <c r="G424" i="1"/>
  <c r="G435" i="1"/>
  <c r="G438" i="1"/>
  <c r="G444" i="1"/>
  <c r="G459" i="1"/>
  <c r="G94" i="1"/>
  <c r="G140" i="1"/>
  <c r="G147" i="1"/>
  <c r="G151" i="1"/>
  <c r="G154" i="1"/>
  <c r="G175" i="1"/>
  <c r="G199" i="1"/>
  <c r="G206" i="1"/>
  <c r="G237" i="1"/>
  <c r="G243" i="1"/>
  <c r="G247" i="1"/>
  <c r="G251" i="1"/>
  <c r="G254" i="1"/>
  <c r="G259" i="1"/>
  <c r="G269" i="1"/>
  <c r="G314" i="1"/>
  <c r="G318" i="1"/>
  <c r="G323" i="1"/>
  <c r="G342" i="1"/>
  <c r="G352" i="1"/>
  <c r="G360" i="1"/>
  <c r="G376" i="1"/>
  <c r="G393" i="1"/>
  <c r="G398" i="1"/>
  <c r="G419" i="1"/>
  <c r="G440" i="1"/>
  <c r="G449" i="1"/>
  <c r="G453" i="1"/>
  <c r="G457" i="1"/>
  <c r="G466" i="1"/>
  <c r="G470" i="1"/>
  <c r="G478" i="1"/>
  <c r="G482" i="1"/>
  <c r="G113" i="1"/>
  <c r="G128" i="1"/>
  <c r="G138" i="1"/>
  <c r="G143" i="1"/>
  <c r="G149" i="1"/>
  <c r="G157" i="1"/>
  <c r="G169" i="1"/>
  <c r="G172" i="1"/>
  <c r="G183" i="1"/>
  <c r="G211" i="1"/>
  <c r="G215" i="1"/>
  <c r="G219" i="1"/>
  <c r="G255" i="1"/>
  <c r="G263" i="1"/>
  <c r="G272" i="1"/>
  <c r="G293" i="1"/>
  <c r="G299" i="1"/>
  <c r="G310" i="1"/>
  <c r="G316" i="1"/>
  <c r="G346" i="1"/>
  <c r="G351" i="1"/>
  <c r="G357" i="1"/>
  <c r="G404" i="1"/>
  <c r="G433" i="1"/>
  <c r="G445" i="1"/>
  <c r="G448" i="1"/>
  <c r="G473" i="1"/>
  <c r="G479" i="1"/>
  <c r="G88" i="1"/>
  <c r="G97" i="1"/>
  <c r="G99" i="1"/>
  <c r="G102" i="1"/>
  <c r="G105" i="1"/>
  <c r="G108" i="1"/>
  <c r="G110" i="1"/>
  <c r="G112" i="1"/>
  <c r="G114" i="1"/>
  <c r="G118" i="1"/>
  <c r="G122" i="1"/>
  <c r="G125" i="1"/>
  <c r="G129" i="1"/>
  <c r="G131" i="1"/>
  <c r="G135" i="1"/>
  <c r="G148" i="1"/>
  <c r="G152" i="1"/>
  <c r="G159" i="1"/>
  <c r="G162" i="1"/>
  <c r="G177" i="1"/>
  <c r="G187" i="1"/>
  <c r="G191" i="1"/>
  <c r="G195" i="1"/>
  <c r="G200" i="1"/>
  <c r="G204" i="1"/>
  <c r="G210" i="1"/>
  <c r="G220" i="1"/>
  <c r="G232" i="1"/>
  <c r="G236" i="1"/>
  <c r="G239" i="1"/>
  <c r="G250" i="1"/>
  <c r="G256" i="1"/>
  <c r="G260" i="1"/>
  <c r="G270" i="1"/>
  <c r="G273" i="1"/>
  <c r="G286" i="1"/>
  <c r="G291" i="1"/>
  <c r="G304" i="1"/>
  <c r="G313" i="1"/>
  <c r="G319" i="1"/>
  <c r="G337" i="1"/>
  <c r="G340" i="1"/>
  <c r="G347" i="1"/>
  <c r="G350" i="1"/>
  <c r="G356" i="1"/>
  <c r="G361" i="1"/>
  <c r="G364" i="1"/>
  <c r="G374" i="1"/>
  <c r="G383" i="1"/>
  <c r="G391" i="1"/>
  <c r="G401" i="1"/>
  <c r="G407" i="1"/>
  <c r="G420" i="1"/>
  <c r="G427" i="1"/>
  <c r="G429" i="1"/>
  <c r="G461" i="1"/>
  <c r="G477" i="1"/>
  <c r="G93" i="1"/>
  <c r="G164" i="1"/>
  <c r="G174" i="1"/>
  <c r="G180" i="1"/>
  <c r="G188" i="1"/>
  <c r="G194" i="1"/>
  <c r="G202" i="1"/>
  <c r="G208" i="1"/>
  <c r="G231" i="1"/>
  <c r="G240" i="1"/>
  <c r="G245" i="1"/>
  <c r="G258" i="1"/>
  <c r="G265" i="1"/>
  <c r="G281" i="1"/>
  <c r="G300" i="1"/>
  <c r="G336" i="1"/>
  <c r="G339" i="1"/>
  <c r="G369" i="1"/>
  <c r="G400" i="1"/>
  <c r="G412" i="1"/>
  <c r="G415" i="1"/>
  <c r="G422" i="1"/>
  <c r="G456" i="1"/>
  <c r="G463" i="1"/>
  <c r="G475" i="1"/>
  <c r="G483" i="1"/>
  <c r="G487" i="1"/>
  <c r="G91" i="1"/>
  <c r="G119" i="1"/>
  <c r="G133" i="1"/>
  <c r="G137" i="1"/>
  <c r="G141" i="1"/>
  <c r="G144" i="1"/>
  <c r="G156" i="1"/>
  <c r="G165" i="1"/>
  <c r="G171" i="1"/>
  <c r="G176" i="1"/>
  <c r="G192" i="1"/>
  <c r="G198" i="1"/>
  <c r="G203" i="1"/>
  <c r="G207" i="1"/>
  <c r="G214" i="1"/>
  <c r="G217" i="1"/>
  <c r="G224" i="1"/>
  <c r="G230" i="1"/>
  <c r="G235" i="1"/>
  <c r="G248" i="1"/>
  <c r="G262" i="1"/>
  <c r="G268" i="1"/>
  <c r="G285" i="1"/>
  <c r="G308" i="1"/>
  <c r="G328" i="1"/>
  <c r="G332" i="1"/>
  <c r="G354" i="1"/>
  <c r="G371" i="1"/>
  <c r="G378" i="1"/>
  <c r="G414" i="1"/>
  <c r="G446" i="1"/>
  <c r="G469" i="1"/>
  <c r="G480" i="1"/>
  <c r="G486" i="1"/>
  <c r="G90" i="1"/>
  <c r="G158" i="1"/>
  <c r="G189" i="1"/>
  <c r="G196" i="1"/>
  <c r="G212" i="1"/>
  <c r="G221" i="1"/>
  <c r="G228" i="1"/>
  <c r="G238" i="1"/>
  <c r="G267" i="1"/>
  <c r="G275" i="1"/>
  <c r="G279" i="1"/>
  <c r="G295" i="1"/>
  <c r="G305" i="1"/>
  <c r="G312" i="1"/>
  <c r="G320" i="1"/>
  <c r="G327" i="1"/>
  <c r="G362" i="1"/>
  <c r="G366" i="1"/>
  <c r="G370" i="1"/>
  <c r="G375" i="1"/>
  <c r="G384" i="1"/>
  <c r="G405" i="1"/>
  <c r="G410" i="1"/>
  <c r="G442" i="1"/>
  <c r="G488" i="1"/>
  <c r="G92" i="1"/>
  <c r="G98" i="1"/>
  <c r="G100" i="1"/>
  <c r="G103" i="1"/>
  <c r="G107" i="1"/>
  <c r="G109" i="1"/>
  <c r="G111" i="1"/>
  <c r="G115" i="1"/>
  <c r="G121" i="1"/>
  <c r="G123" i="1"/>
  <c r="G126" i="1"/>
  <c r="G134" i="1"/>
  <c r="G168" i="1"/>
  <c r="G184" i="1"/>
  <c r="G216" i="1"/>
  <c r="G225" i="1"/>
  <c r="G241" i="1"/>
  <c r="G252" i="1"/>
  <c r="G284" i="1"/>
  <c r="G289" i="1"/>
  <c r="G294" i="1"/>
  <c r="G306" i="1"/>
  <c r="G311" i="1"/>
  <c r="G334" i="1"/>
  <c r="G358" i="1"/>
  <c r="G379" i="1"/>
  <c r="G439" i="1"/>
  <c r="G452" i="1"/>
  <c r="G465" i="1"/>
  <c r="G72" i="1"/>
  <c r="G87" i="1"/>
  <c r="G89" i="1"/>
  <c r="G280" i="1"/>
  <c r="G283" i="1"/>
  <c r="G325" i="1"/>
  <c r="G330" i="1"/>
  <c r="G344" i="1"/>
  <c r="G349" i="1"/>
  <c r="G363" i="1"/>
  <c r="G368" i="1"/>
  <c r="G388" i="1"/>
  <c r="G397" i="1"/>
  <c r="G403" i="1"/>
  <c r="G426" i="1"/>
  <c r="G431" i="1"/>
  <c r="G458" i="1"/>
  <c r="G481" i="1"/>
  <c r="J16" i="1" l="1"/>
  <c r="J10" i="1"/>
  <c r="J11" i="1"/>
</calcChain>
</file>

<file path=xl/sharedStrings.xml><?xml version="1.0" encoding="utf-8"?>
<sst xmlns="http://schemas.openxmlformats.org/spreadsheetml/2006/main" count="23" uniqueCount="19">
  <si>
    <t>Data</t>
  </si>
  <si>
    <t>HASH11</t>
  </si>
  <si>
    <t>GOLD11</t>
  </si>
  <si>
    <t>HASH</t>
  </si>
  <si>
    <t>GOLD</t>
  </si>
  <si>
    <t>DP Hash</t>
  </si>
  <si>
    <t>DP Gold</t>
  </si>
  <si>
    <t>w Hash</t>
  </si>
  <si>
    <t>w Gold</t>
  </si>
  <si>
    <t>DP Port</t>
  </si>
  <si>
    <t>RC Hash</t>
  </si>
  <si>
    <t>RC Gold</t>
  </si>
  <si>
    <t>Portfolio</t>
  </si>
  <si>
    <t>E[R]</t>
  </si>
  <si>
    <t>E[SD]</t>
  </si>
  <si>
    <t>Sharpe</t>
  </si>
  <si>
    <t>RP</t>
  </si>
  <si>
    <t>M</t>
  </si>
  <si>
    <t>MVRP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</si>
</sst>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2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9"/>
  <sheetViews>
    <sheetView tabSelected="1" zoomScale="190" zoomScaleNormal="190" workbookViewId="0">
      <selection activeCell="J14" sqref="J14"/>
    </sheetView>
  </sheetViews>
  <sheetFormatPr defaultRowHeight="13.8"/>
  <cols>
    <col min="1" max="1" width="16.59765625" bestFit="1" customWidth="1"/>
    <col min="2" max="3" width="9.09765625" style="2"/>
    <col min="10" max="10" width="12" bestFit="1" customWidth="1"/>
    <col min="13" max="15" width="9.09765625" style="2"/>
  </cols>
  <sheetData>
    <row r="1" spans="1:1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12</v>
      </c>
    </row>
    <row r="2" spans="1:15">
      <c r="A2" s="1">
        <v>45306.705555555556</v>
      </c>
      <c r="B2" s="2">
        <v>34.61</v>
      </c>
      <c r="C2" s="2">
        <v>10.64</v>
      </c>
      <c r="E2">
        <f>(B3/B2)-1</f>
        <v>8.3790811904074225E-3</v>
      </c>
      <c r="F2">
        <f>(C3/C2)-1</f>
        <v>-1.0338345864661758E-2</v>
      </c>
      <c r="G2">
        <f>$J$5*E2+$J$6*F2</f>
        <v>-6.7511509695577492E-3</v>
      </c>
      <c r="I2" t="s">
        <v>5</v>
      </c>
      <c r="J2">
        <f>_xlfn.STDEV.S(E2:E488)</f>
        <v>3.1079866420203543E-2</v>
      </c>
    </row>
    <row r="3" spans="1:15">
      <c r="A3" s="1">
        <v>45307.705555555556</v>
      </c>
      <c r="B3" s="2">
        <v>34.9</v>
      </c>
      <c r="C3" s="2">
        <v>10.53</v>
      </c>
      <c r="E3">
        <f t="shared" ref="E3:E66" si="0">(B4/B3)-1</f>
        <v>-1.0028653295129031E-2</v>
      </c>
      <c r="F3">
        <f t="shared" ref="F3:F66" si="1">(C4/C3)-1</f>
        <v>-8.5470085470085166E-3</v>
      </c>
      <c r="G3">
        <f t="shared" ref="G3:G66" si="2">$J$5*E3+$J$6*F3</f>
        <v>-8.8309657629858131E-3</v>
      </c>
      <c r="I3" t="s">
        <v>6</v>
      </c>
      <c r="J3">
        <f>_xlfn.STDEV.S(F2:F488)</f>
        <v>1.1591722751550945E-2</v>
      </c>
    </row>
    <row r="4" spans="1:15">
      <c r="A4" s="1">
        <v>45308.705555555556</v>
      </c>
      <c r="B4" s="2">
        <v>34.549999999999997</v>
      </c>
      <c r="C4" s="2">
        <v>10.44</v>
      </c>
      <c r="E4">
        <f t="shared" si="0"/>
        <v>-2.6049204052098318E-2</v>
      </c>
      <c r="F4">
        <f t="shared" si="1"/>
        <v>6.7049808429118229E-3</v>
      </c>
      <c r="G4">
        <f t="shared" si="2"/>
        <v>4.2764130778313002E-4</v>
      </c>
      <c r="M4" s="2" t="s">
        <v>16</v>
      </c>
      <c r="N4" s="2" t="s">
        <v>17</v>
      </c>
      <c r="O4" s="2" t="s">
        <v>18</v>
      </c>
    </row>
    <row r="5" spans="1:15">
      <c r="A5" s="1">
        <v>45309.705555555556</v>
      </c>
      <c r="B5" s="2">
        <v>33.65</v>
      </c>
      <c r="C5" s="2">
        <v>10.51</v>
      </c>
      <c r="E5">
        <f t="shared" si="0"/>
        <v>-5.3491827637444089E-3</v>
      </c>
      <c r="F5">
        <f t="shared" si="1"/>
        <v>2.8544243577544037E-3</v>
      </c>
      <c r="G5">
        <f t="shared" si="2"/>
        <v>1.2822030529191562E-3</v>
      </c>
      <c r="I5" t="s">
        <v>7</v>
      </c>
      <c r="J5" s="3">
        <v>0.19164999999999999</v>
      </c>
      <c r="L5" t="s">
        <v>3</v>
      </c>
      <c r="M5" s="5">
        <v>0.27160000000000001</v>
      </c>
      <c r="N5" s="5">
        <v>0.11169999999999999</v>
      </c>
      <c r="O5" s="6">
        <f>(M5+N5)/2</f>
        <v>0.19164999999999999</v>
      </c>
    </row>
    <row r="6" spans="1:15">
      <c r="A6" s="1">
        <v>45310.705555555556</v>
      </c>
      <c r="B6" s="2">
        <v>33.47</v>
      </c>
      <c r="C6" s="2">
        <v>10.54</v>
      </c>
      <c r="E6">
        <f t="shared" si="0"/>
        <v>-2.8981177173588279E-2</v>
      </c>
      <c r="F6">
        <f t="shared" si="1"/>
        <v>6.6413662239088733E-3</v>
      </c>
      <c r="G6">
        <f t="shared" si="2"/>
        <v>-1.8569421822145493E-4</v>
      </c>
      <c r="I6" t="s">
        <v>8</v>
      </c>
      <c r="J6" s="3">
        <f>1-J5</f>
        <v>0.80835000000000001</v>
      </c>
      <c r="L6" t="s">
        <v>4</v>
      </c>
      <c r="M6" s="5">
        <f>1-M5</f>
        <v>0.72839999999999994</v>
      </c>
      <c r="N6" s="5">
        <f>1-N5</f>
        <v>0.88829999999999998</v>
      </c>
      <c r="O6" s="5">
        <f>1-O5</f>
        <v>0.80835000000000001</v>
      </c>
    </row>
    <row r="7" spans="1:15">
      <c r="A7" s="1">
        <v>45313.705555555556</v>
      </c>
      <c r="B7" s="2">
        <v>32.5</v>
      </c>
      <c r="C7" s="2">
        <v>10.61</v>
      </c>
      <c r="E7">
        <f t="shared" si="0"/>
        <v>-4.6153846153846101E-2</v>
      </c>
      <c r="F7">
        <f t="shared" si="1"/>
        <v>-2.827521206408945E-3</v>
      </c>
      <c r="G7">
        <f t="shared" si="2"/>
        <v>-1.1131011382585276E-2</v>
      </c>
      <c r="L7" t="s">
        <v>13</v>
      </c>
      <c r="M7" s="6">
        <v>0.45437782109294178</v>
      </c>
      <c r="N7" s="6">
        <v>0.4544704577726929</v>
      </c>
      <c r="O7" s="6">
        <v>0.45442415381375761</v>
      </c>
    </row>
    <row r="8" spans="1:15">
      <c r="A8" s="1">
        <v>45314.705555555556</v>
      </c>
      <c r="B8" s="2">
        <v>31</v>
      </c>
      <c r="C8" s="2">
        <v>10.58</v>
      </c>
      <c r="E8">
        <f t="shared" si="0"/>
        <v>1.7741935483871041E-2</v>
      </c>
      <c r="F8">
        <f t="shared" si="1"/>
        <v>-1.1342155009451682E-2</v>
      </c>
      <c r="G8">
        <f t="shared" si="2"/>
        <v>-5.7681890664063821E-3</v>
      </c>
      <c r="I8" t="s">
        <v>9</v>
      </c>
      <c r="J8" s="3">
        <f>SQRT((J5^2*J2^2)+(J6^2*J3^2)+2*(J5*J6*_xlfn.COVARIANCE.S(E2:E488,F2:F488)))</f>
        <v>1.1305354478678349E-2</v>
      </c>
      <c r="L8" t="s">
        <v>14</v>
      </c>
      <c r="M8" s="6">
        <v>0.19335023755432285</v>
      </c>
      <c r="N8" s="6">
        <v>0.17460606132623122</v>
      </c>
      <c r="O8" s="6">
        <v>0.17946693860407911</v>
      </c>
    </row>
    <row r="9" spans="1:15">
      <c r="A9" s="1">
        <v>45315.705555555556</v>
      </c>
      <c r="B9" s="2">
        <v>31.55</v>
      </c>
      <c r="C9" s="2">
        <v>10.46</v>
      </c>
      <c r="E9">
        <f t="shared" si="0"/>
        <v>-4.7543581616482644E-3</v>
      </c>
      <c r="F9">
        <f t="shared" si="1"/>
        <v>9.5602294455066072E-4</v>
      </c>
      <c r="G9">
        <f t="shared" si="2"/>
        <v>-1.3837159445236318E-4</v>
      </c>
    </row>
    <row r="10" spans="1:15">
      <c r="A10" s="1">
        <v>45316.705555555556</v>
      </c>
      <c r="B10" s="2">
        <v>31.4</v>
      </c>
      <c r="C10" s="2">
        <v>10.47</v>
      </c>
      <c r="E10">
        <f t="shared" si="0"/>
        <v>3.0254777070063854E-2</v>
      </c>
      <c r="F10">
        <f t="shared" si="1"/>
        <v>-1.9102196752628364E-3</v>
      </c>
      <c r="G10">
        <f t="shared" si="2"/>
        <v>4.2542019509790238E-3</v>
      </c>
      <c r="I10" t="s">
        <v>10</v>
      </c>
      <c r="J10" s="3">
        <f>J5*(_xlfn.COVARIANCE.S(E2:E488,G2:G488)/_xlfn.VAR.S(G2:G488))*J8</f>
        <v>3.3386986743758657E-3</v>
      </c>
    </row>
    <row r="11" spans="1:15">
      <c r="A11" s="1">
        <v>45317.705555555556</v>
      </c>
      <c r="B11" s="2">
        <v>32.35</v>
      </c>
      <c r="C11" s="2">
        <v>10.45</v>
      </c>
      <c r="E11">
        <f t="shared" si="0"/>
        <v>3.0911901081916549E-2</v>
      </c>
      <c r="F11">
        <f t="shared" si="1"/>
        <v>1.4354066985645897E-2</v>
      </c>
      <c r="G11">
        <f t="shared" si="2"/>
        <v>1.7527375890196168E-2</v>
      </c>
      <c r="I11" t="s">
        <v>11</v>
      </c>
      <c r="J11" s="3">
        <f>J6*(_xlfn.COVARIANCE.S(F2:F488,G2:G488)/_xlfn.VAR.S(G2:G488))*J8</f>
        <v>7.9666558043024818E-3</v>
      </c>
    </row>
    <row r="12" spans="1:15">
      <c r="A12" s="1">
        <v>45320.705555555556</v>
      </c>
      <c r="B12" s="2">
        <v>33.35</v>
      </c>
      <c r="C12" s="2">
        <v>10.6</v>
      </c>
      <c r="E12">
        <f t="shared" si="0"/>
        <v>2.2788605697151354E-2</v>
      </c>
      <c r="F12">
        <f t="shared" si="1"/>
        <v>1.8867924528300772E-3</v>
      </c>
      <c r="G12">
        <f t="shared" si="2"/>
        <v>5.8926249611042491E-3</v>
      </c>
    </row>
    <row r="13" spans="1:15">
      <c r="A13" s="1">
        <v>45321.705555555556</v>
      </c>
      <c r="B13" s="2">
        <v>34.11</v>
      </c>
      <c r="C13" s="2">
        <v>10.62</v>
      </c>
      <c r="E13">
        <f t="shared" si="0"/>
        <v>-2.3746701846965812E-2</v>
      </c>
      <c r="F13">
        <f t="shared" si="1"/>
        <v>1.8832391713747842E-3</v>
      </c>
      <c r="G13">
        <f t="shared" si="2"/>
        <v>-3.0287390247901906E-3</v>
      </c>
      <c r="I13" t="s">
        <v>13</v>
      </c>
      <c r="J13" s="3">
        <f>AVERAGE(G2:G488)*252</f>
        <v>0.45442415381375761</v>
      </c>
    </row>
    <row r="14" spans="1:15">
      <c r="A14" s="1">
        <v>45322.705555555556</v>
      </c>
      <c r="B14" s="2">
        <v>33.299999999999997</v>
      </c>
      <c r="C14" s="2">
        <v>10.64</v>
      </c>
      <c r="E14">
        <f t="shared" si="0"/>
        <v>-3.0030030030026023E-4</v>
      </c>
      <c r="F14">
        <f t="shared" si="1"/>
        <v>0</v>
      </c>
      <c r="G14">
        <f t="shared" si="2"/>
        <v>-5.7552552552544871E-5</v>
      </c>
      <c r="I14" t="s">
        <v>14</v>
      </c>
      <c r="J14" s="3">
        <f>J8*SQRT(252)</f>
        <v>0.17946693860407911</v>
      </c>
    </row>
    <row r="15" spans="1:15">
      <c r="A15" s="1">
        <v>45323.705555555556</v>
      </c>
      <c r="B15" s="2">
        <v>33.29</v>
      </c>
      <c r="C15" s="2">
        <v>10.64</v>
      </c>
      <c r="E15">
        <f t="shared" si="0"/>
        <v>6.3082006608592422E-3</v>
      </c>
      <c r="F15">
        <f t="shared" si="1"/>
        <v>9.3984962406024053E-4</v>
      </c>
      <c r="G15">
        <f t="shared" si="2"/>
        <v>1.968694100262769E-3</v>
      </c>
    </row>
    <row r="16" spans="1:15">
      <c r="A16" s="1">
        <v>45324.705555555556</v>
      </c>
      <c r="B16" s="2">
        <v>33.5</v>
      </c>
      <c r="C16" s="2">
        <v>10.65</v>
      </c>
      <c r="E16">
        <f t="shared" si="0"/>
        <v>-8.9552238805978845E-4</v>
      </c>
      <c r="F16">
        <f t="shared" si="1"/>
        <v>-1.87793427230043E-3</v>
      </c>
      <c r="G16">
        <f t="shared" si="2"/>
        <v>-1.6896550346857111E-3</v>
      </c>
      <c r="I16" t="s">
        <v>15</v>
      </c>
      <c r="J16" s="4">
        <f>J13/J14</f>
        <v>2.5320772580640041</v>
      </c>
    </row>
    <row r="17" spans="1:7">
      <c r="A17" s="1">
        <v>45327.705555555556</v>
      </c>
      <c r="B17" s="2">
        <v>33.47</v>
      </c>
      <c r="C17" s="2">
        <v>10.63</v>
      </c>
      <c r="E17">
        <f t="shared" si="0"/>
        <v>1.1353450851508962E-2</v>
      </c>
      <c r="F17">
        <f t="shared" si="1"/>
        <v>9.4073377234238365E-4</v>
      </c>
      <c r="G17">
        <f t="shared" si="2"/>
        <v>2.9363310005646581E-3</v>
      </c>
    </row>
    <row r="18" spans="1:7">
      <c r="A18" s="1">
        <v>45328.705555555556</v>
      </c>
      <c r="B18" s="2">
        <v>33.85</v>
      </c>
      <c r="C18" s="2">
        <v>10.64</v>
      </c>
      <c r="E18">
        <f t="shared" si="0"/>
        <v>2.3929098966026352E-2</v>
      </c>
      <c r="F18">
        <f t="shared" si="1"/>
        <v>1.879699248120259E-3</v>
      </c>
      <c r="G18">
        <f t="shared" si="2"/>
        <v>6.1054667040569615E-3</v>
      </c>
    </row>
    <row r="19" spans="1:7">
      <c r="A19" s="1">
        <v>45329.705555555556</v>
      </c>
      <c r="B19" s="2">
        <v>34.659999999999997</v>
      </c>
      <c r="C19" s="2">
        <v>10.66</v>
      </c>
      <c r="E19">
        <f t="shared" si="0"/>
        <v>2.3658395845354896E-2</v>
      </c>
      <c r="F19">
        <f t="shared" si="1"/>
        <v>3.7523452157597337E-3</v>
      </c>
      <c r="G19">
        <f t="shared" si="2"/>
        <v>7.5673398189216468E-3</v>
      </c>
    </row>
    <row r="20" spans="1:7">
      <c r="A20" s="1">
        <v>45330.705555555556</v>
      </c>
      <c r="B20" s="2">
        <v>35.479999999999997</v>
      </c>
      <c r="C20" s="2">
        <v>10.7</v>
      </c>
      <c r="E20">
        <f t="shared" si="0"/>
        <v>2.6493799323562772E-2</v>
      </c>
      <c r="F20">
        <f t="shared" si="1"/>
        <v>-1.121495327102795E-2</v>
      </c>
      <c r="G20">
        <f t="shared" si="2"/>
        <v>-3.9880708362746379E-3</v>
      </c>
    </row>
    <row r="21" spans="1:7">
      <c r="A21" s="1">
        <v>45331.705555555556</v>
      </c>
      <c r="B21" s="2">
        <v>36.42</v>
      </c>
      <c r="C21" s="2">
        <v>10.58</v>
      </c>
      <c r="E21">
        <f t="shared" si="0"/>
        <v>9.8297638660076903E-2</v>
      </c>
      <c r="F21">
        <f t="shared" si="1"/>
        <v>-1.3232514177693777E-2</v>
      </c>
      <c r="G21">
        <f t="shared" si="2"/>
        <v>8.1422396136649738E-3</v>
      </c>
    </row>
    <row r="22" spans="1:7">
      <c r="A22" s="1">
        <v>45336.705555555556</v>
      </c>
      <c r="B22" s="2">
        <v>40</v>
      </c>
      <c r="C22" s="2">
        <v>10.44</v>
      </c>
      <c r="E22">
        <f t="shared" si="0"/>
        <v>1.5499999999999847E-2</v>
      </c>
      <c r="F22">
        <f t="shared" si="1"/>
        <v>6.7049808429118229E-3</v>
      </c>
      <c r="G22">
        <f t="shared" si="2"/>
        <v>8.3905462643677434E-3</v>
      </c>
    </row>
    <row r="23" spans="1:7">
      <c r="A23" s="1">
        <v>45337.705555555556</v>
      </c>
      <c r="B23" s="2">
        <v>40.619999999999997</v>
      </c>
      <c r="C23" s="2">
        <v>10.51</v>
      </c>
      <c r="E23">
        <f t="shared" si="0"/>
        <v>-3.2003938946331134E-3</v>
      </c>
      <c r="F23">
        <f t="shared" si="1"/>
        <v>2.8544243577544037E-3</v>
      </c>
      <c r="G23">
        <f t="shared" si="2"/>
        <v>1.6940184396843361E-3</v>
      </c>
    </row>
    <row r="24" spans="1:7">
      <c r="A24" s="1">
        <v>45338.705555555556</v>
      </c>
      <c r="B24" s="2">
        <v>40.49</v>
      </c>
      <c r="C24" s="2">
        <v>10.54</v>
      </c>
      <c r="E24">
        <f t="shared" si="0"/>
        <v>1.1360829834527131E-2</v>
      </c>
      <c r="F24">
        <f t="shared" si="1"/>
        <v>3.7950664136623402E-3</v>
      </c>
      <c r="G24">
        <f t="shared" si="2"/>
        <v>5.2450449732710774E-3</v>
      </c>
    </row>
    <row r="25" spans="1:7">
      <c r="A25" s="1">
        <v>45341.705555555556</v>
      </c>
      <c r="B25" s="2">
        <v>40.950000000000003</v>
      </c>
      <c r="C25" s="2">
        <v>10.58</v>
      </c>
      <c r="E25">
        <f t="shared" si="0"/>
        <v>-2.197802197802301E-3</v>
      </c>
      <c r="F25">
        <f t="shared" si="1"/>
        <v>-6.6162570888469441E-3</v>
      </c>
      <c r="G25">
        <f t="shared" si="2"/>
        <v>-5.7694602089782389E-3</v>
      </c>
    </row>
    <row r="26" spans="1:7">
      <c r="A26" s="1">
        <v>45342.705555555556</v>
      </c>
      <c r="B26" s="2">
        <v>40.86</v>
      </c>
      <c r="C26" s="2">
        <v>10.51</v>
      </c>
      <c r="E26">
        <f t="shared" si="0"/>
        <v>-6.3631913852177924E-3</v>
      </c>
      <c r="F26">
        <f t="shared" si="1"/>
        <v>9.5147478591806056E-4</v>
      </c>
      <c r="G26">
        <f t="shared" si="2"/>
        <v>-4.5038098578012561E-4</v>
      </c>
    </row>
    <row r="27" spans="1:7">
      <c r="A27" s="1">
        <v>45343.705555555556</v>
      </c>
      <c r="B27" s="2">
        <v>40.6</v>
      </c>
      <c r="C27" s="2">
        <v>10.52</v>
      </c>
      <c r="E27">
        <f t="shared" si="0"/>
        <v>1.3546798029556495E-2</v>
      </c>
      <c r="F27">
        <f t="shared" si="1"/>
        <v>7.6045627376426506E-3</v>
      </c>
      <c r="G27">
        <f t="shared" si="2"/>
        <v>8.7433921313379397E-3</v>
      </c>
    </row>
    <row r="28" spans="1:7">
      <c r="A28" s="1">
        <v>45344.705555555556</v>
      </c>
      <c r="B28" s="2">
        <v>41.15</v>
      </c>
      <c r="C28" s="2">
        <v>10.6</v>
      </c>
      <c r="E28">
        <f t="shared" si="0"/>
        <v>9.72053462940492E-4</v>
      </c>
      <c r="F28">
        <f t="shared" si="1"/>
        <v>1.132075471698113E-2</v>
      </c>
      <c r="G28">
        <f t="shared" si="2"/>
        <v>9.3374261216442409E-3</v>
      </c>
    </row>
    <row r="29" spans="1:7">
      <c r="A29" s="1">
        <v>45345.705555555556</v>
      </c>
      <c r="B29" s="2">
        <v>41.19</v>
      </c>
      <c r="C29" s="2">
        <v>10.72</v>
      </c>
      <c r="E29">
        <f t="shared" si="0"/>
        <v>5.7295460063122139E-2</v>
      </c>
      <c r="F29">
        <f t="shared" si="1"/>
        <v>-6.5298507462686617E-3</v>
      </c>
      <c r="G29">
        <f t="shared" si="2"/>
        <v>5.7022700703510849E-3</v>
      </c>
    </row>
    <row r="30" spans="1:7">
      <c r="A30" s="1">
        <v>45348.705555555556</v>
      </c>
      <c r="B30" s="2">
        <v>43.55</v>
      </c>
      <c r="C30" s="2">
        <v>10.65</v>
      </c>
      <c r="E30">
        <f t="shared" si="0"/>
        <v>2.112514351320316E-2</v>
      </c>
      <c r="F30">
        <f t="shared" si="1"/>
        <v>-9.3896713615022609E-3</v>
      </c>
      <c r="G30">
        <f t="shared" si="2"/>
        <v>-3.5415070907649678E-3</v>
      </c>
    </row>
    <row r="31" spans="1:7">
      <c r="A31" s="1">
        <v>45349.705555555556</v>
      </c>
      <c r="B31" s="2">
        <v>44.47</v>
      </c>
      <c r="C31" s="2">
        <v>10.55</v>
      </c>
      <c r="E31">
        <f t="shared" si="0"/>
        <v>5.4418709242185725E-2</v>
      </c>
      <c r="F31">
        <f t="shared" si="1"/>
        <v>8.5308056872037685E-3</v>
      </c>
      <c r="G31">
        <f t="shared" si="2"/>
        <v>1.7325222403516062E-2</v>
      </c>
    </row>
    <row r="32" spans="1:7">
      <c r="A32" s="1">
        <v>45350.705555555556</v>
      </c>
      <c r="B32" s="2">
        <v>46.89</v>
      </c>
      <c r="C32" s="2">
        <v>10.64</v>
      </c>
      <c r="E32">
        <f t="shared" si="0"/>
        <v>2.3672424824056293E-2</v>
      </c>
      <c r="F32">
        <f t="shared" si="1"/>
        <v>5.639097744360777E-3</v>
      </c>
      <c r="G32">
        <f t="shared" si="2"/>
        <v>9.0951848791844224E-3</v>
      </c>
    </row>
    <row r="33" spans="1:7">
      <c r="A33" s="1">
        <v>45351.705555555556</v>
      </c>
      <c r="B33" s="2">
        <v>48</v>
      </c>
      <c r="C33" s="2">
        <v>10.7</v>
      </c>
      <c r="E33">
        <f t="shared" si="0"/>
        <v>2.2499999999999964E-2</v>
      </c>
      <c r="F33">
        <f t="shared" si="1"/>
        <v>1.5887850467289688E-2</v>
      </c>
      <c r="G33">
        <f t="shared" si="2"/>
        <v>1.7155068925233614E-2</v>
      </c>
    </row>
    <row r="34" spans="1:7">
      <c r="A34" s="1">
        <v>45352.705555555556</v>
      </c>
      <c r="B34" s="2">
        <v>49.08</v>
      </c>
      <c r="C34" s="2">
        <v>10.87</v>
      </c>
      <c r="E34">
        <f t="shared" si="0"/>
        <v>6.5607171964140232E-2</v>
      </c>
      <c r="F34">
        <f t="shared" si="1"/>
        <v>1.5639374425022945E-2</v>
      </c>
      <c r="G34">
        <f t="shared" si="2"/>
        <v>2.5215702823394772E-2</v>
      </c>
    </row>
    <row r="35" spans="1:7">
      <c r="A35" s="1">
        <v>45355.705555555556</v>
      </c>
      <c r="B35" s="2">
        <v>52.3</v>
      </c>
      <c r="C35" s="2">
        <v>11.04</v>
      </c>
      <c r="E35">
        <f t="shared" si="0"/>
        <v>-5.8317399617590748E-2</v>
      </c>
      <c r="F35">
        <f t="shared" si="1"/>
        <v>9.0579710144929049E-3</v>
      </c>
      <c r="G35">
        <f t="shared" si="2"/>
        <v>-3.8545187671459261E-3</v>
      </c>
    </row>
    <row r="36" spans="1:7">
      <c r="A36" s="1">
        <v>45356.705555555556</v>
      </c>
      <c r="B36" s="2">
        <v>49.25</v>
      </c>
      <c r="C36" s="2">
        <v>11.14</v>
      </c>
      <c r="E36">
        <f t="shared" si="0"/>
        <v>7.5532994923857899E-2</v>
      </c>
      <c r="F36">
        <f t="shared" si="1"/>
        <v>4.488330341112956E-3</v>
      </c>
      <c r="G36">
        <f t="shared" si="2"/>
        <v>1.8104040308396022E-2</v>
      </c>
    </row>
    <row r="37" spans="1:7">
      <c r="A37" s="1">
        <v>45357.705555555556</v>
      </c>
      <c r="B37" s="2">
        <v>52.97</v>
      </c>
      <c r="C37" s="2">
        <v>11.19</v>
      </c>
      <c r="E37">
        <f t="shared" si="0"/>
        <v>1.7557107796866145E-2</v>
      </c>
      <c r="F37">
        <f t="shared" si="1"/>
        <v>3.5746201966042612E-3</v>
      </c>
      <c r="G37">
        <f t="shared" si="2"/>
        <v>6.2543639451944511E-3</v>
      </c>
    </row>
    <row r="38" spans="1:7">
      <c r="A38" s="1">
        <v>45358.705555555556</v>
      </c>
      <c r="B38" s="2">
        <v>53.9</v>
      </c>
      <c r="C38" s="2">
        <v>11.23</v>
      </c>
      <c r="E38">
        <f t="shared" si="0"/>
        <v>2.0408163265306145E-2</v>
      </c>
      <c r="F38">
        <f t="shared" si="1"/>
        <v>1.780943900267129E-2</v>
      </c>
      <c r="G38">
        <f t="shared" si="2"/>
        <v>1.8307484507605262E-2</v>
      </c>
    </row>
    <row r="39" spans="1:7">
      <c r="A39" s="1">
        <v>45359.705555555556</v>
      </c>
      <c r="B39" s="2">
        <v>55</v>
      </c>
      <c r="C39" s="2">
        <v>11.43</v>
      </c>
      <c r="E39">
        <f t="shared" si="0"/>
        <v>3.9090909090909065E-2</v>
      </c>
      <c r="F39">
        <f t="shared" si="1"/>
        <v>8.7489063867018935E-4</v>
      </c>
      <c r="G39">
        <f t="shared" si="2"/>
        <v>8.1989905750417692E-3</v>
      </c>
    </row>
    <row r="40" spans="1:7">
      <c r="A40" s="1">
        <v>45362.705555555556</v>
      </c>
      <c r="B40" s="2">
        <v>57.15</v>
      </c>
      <c r="C40" s="2">
        <v>11.44</v>
      </c>
      <c r="E40">
        <f t="shared" si="0"/>
        <v>-1.3823272090988659E-2</v>
      </c>
      <c r="F40">
        <f t="shared" si="1"/>
        <v>-1.2237762237762184E-2</v>
      </c>
      <c r="G40">
        <f t="shared" si="2"/>
        <v>-1.2541625201133038E-2</v>
      </c>
    </row>
    <row r="41" spans="1:7">
      <c r="A41" s="1">
        <v>45363.705555555556</v>
      </c>
      <c r="B41" s="2">
        <v>56.36</v>
      </c>
      <c r="C41" s="2">
        <v>11.3</v>
      </c>
      <c r="E41">
        <f t="shared" si="0"/>
        <v>1.3484740951029028E-2</v>
      </c>
      <c r="F41">
        <f t="shared" si="1"/>
        <v>7.964601769911539E-3</v>
      </c>
      <c r="G41">
        <f t="shared" si="2"/>
        <v>9.0225364439727052E-3</v>
      </c>
    </row>
    <row r="42" spans="1:7">
      <c r="A42" s="1">
        <v>45364.705555555556</v>
      </c>
      <c r="B42" s="2">
        <v>57.12</v>
      </c>
      <c r="C42" s="2">
        <v>11.39</v>
      </c>
      <c r="E42">
        <f t="shared" si="0"/>
        <v>-3.5539215686274384E-2</v>
      </c>
      <c r="F42">
        <f t="shared" si="1"/>
        <v>-1.7559262510975504E-3</v>
      </c>
      <c r="G42">
        <f t="shared" si="2"/>
        <v>-8.23049367134919E-3</v>
      </c>
    </row>
    <row r="43" spans="1:7">
      <c r="A43" s="1">
        <v>45365.705555555556</v>
      </c>
      <c r="B43" s="2">
        <v>55.09</v>
      </c>
      <c r="C43" s="2">
        <v>11.37</v>
      </c>
      <c r="E43">
        <f t="shared" si="0"/>
        <v>-3.7937919767653039E-2</v>
      </c>
      <c r="F43">
        <f t="shared" si="1"/>
        <v>-1.7590149516270026E-3</v>
      </c>
      <c r="G43">
        <f t="shared" si="2"/>
        <v>-8.6927020596183919E-3</v>
      </c>
    </row>
    <row r="44" spans="1:7">
      <c r="A44" s="1">
        <v>45366.705555555556</v>
      </c>
      <c r="B44" s="2">
        <v>53</v>
      </c>
      <c r="C44" s="2">
        <v>11.35</v>
      </c>
      <c r="E44">
        <f t="shared" si="0"/>
        <v>-2.7358490566037785E-2</v>
      </c>
      <c r="F44">
        <f t="shared" si="1"/>
        <v>6.1674008810572722E-3</v>
      </c>
      <c r="G44">
        <f t="shared" si="2"/>
        <v>-2.5783621477849534E-4</v>
      </c>
    </row>
    <row r="45" spans="1:7">
      <c r="A45" s="1">
        <v>45369.705555555556</v>
      </c>
      <c r="B45" s="2">
        <v>51.55</v>
      </c>
      <c r="C45" s="2">
        <v>11.42</v>
      </c>
      <c r="E45">
        <f t="shared" si="0"/>
        <v>-4.5198836081474236E-2</v>
      </c>
      <c r="F45">
        <f t="shared" si="1"/>
        <v>8.756567425569628E-4</v>
      </c>
      <c r="G45">
        <f t="shared" si="2"/>
        <v>-7.9545198071686168E-3</v>
      </c>
    </row>
    <row r="46" spans="1:7">
      <c r="A46" s="1">
        <v>45370.705555555556</v>
      </c>
      <c r="B46" s="2">
        <v>49.22</v>
      </c>
      <c r="C46" s="2">
        <v>11.43</v>
      </c>
      <c r="E46">
        <f t="shared" si="0"/>
        <v>3.0678585940674408E-2</v>
      </c>
      <c r="F46">
        <f t="shared" si="1"/>
        <v>0</v>
      </c>
      <c r="G46">
        <f t="shared" si="2"/>
        <v>5.8795509955302501E-3</v>
      </c>
    </row>
    <row r="47" spans="1:7">
      <c r="A47" s="1">
        <v>45371.705555555556</v>
      </c>
      <c r="B47" s="2">
        <v>50.73</v>
      </c>
      <c r="C47" s="2">
        <v>11.43</v>
      </c>
      <c r="E47">
        <f t="shared" si="0"/>
        <v>2.1683422038243361E-3</v>
      </c>
      <c r="F47">
        <f t="shared" si="1"/>
        <v>0</v>
      </c>
      <c r="G47">
        <f t="shared" si="2"/>
        <v>4.15562783362934E-4</v>
      </c>
    </row>
    <row r="48" spans="1:7">
      <c r="A48" s="1">
        <v>45372.705555555556</v>
      </c>
      <c r="B48" s="2">
        <v>50.84</v>
      </c>
      <c r="C48" s="2">
        <v>11.43</v>
      </c>
      <c r="E48">
        <f t="shared" si="0"/>
        <v>-2.4980330448465815E-2</v>
      </c>
      <c r="F48">
        <f t="shared" si="1"/>
        <v>-4.3744531933507247E-3</v>
      </c>
      <c r="G48">
        <f t="shared" si="2"/>
        <v>-8.3235695692935319E-3</v>
      </c>
    </row>
    <row r="49" spans="1:7">
      <c r="A49" s="1">
        <v>45373.705555555556</v>
      </c>
      <c r="B49" s="2">
        <v>49.57</v>
      </c>
      <c r="C49" s="2">
        <v>11.38</v>
      </c>
      <c r="E49">
        <f t="shared" si="0"/>
        <v>9.0780714141617924E-2</v>
      </c>
      <c r="F49">
        <f t="shared" si="1"/>
        <v>-8.7873462214427267E-4</v>
      </c>
      <c r="G49">
        <f t="shared" si="2"/>
        <v>1.668779873343075E-2</v>
      </c>
    </row>
    <row r="50" spans="1:7">
      <c r="A50" s="1">
        <v>45376.705555555556</v>
      </c>
      <c r="B50" s="2">
        <v>54.07</v>
      </c>
      <c r="C50" s="2">
        <v>11.37</v>
      </c>
      <c r="E50">
        <f t="shared" si="0"/>
        <v>-1.1466617347882346E-2</v>
      </c>
      <c r="F50">
        <f t="shared" si="1"/>
        <v>4.3975373790678951E-3</v>
      </c>
      <c r="G50">
        <f t="shared" si="2"/>
        <v>1.3571721256478817E-3</v>
      </c>
    </row>
    <row r="51" spans="1:7">
      <c r="A51" s="1">
        <v>45377.705555555556</v>
      </c>
      <c r="B51" s="2">
        <v>53.45</v>
      </c>
      <c r="C51" s="2">
        <v>11.42</v>
      </c>
      <c r="E51">
        <f t="shared" si="0"/>
        <v>-1.8709073900841866E-2</v>
      </c>
      <c r="F51">
        <f t="shared" si="1"/>
        <v>7.8809106830122211E-3</v>
      </c>
      <c r="G51">
        <f t="shared" si="2"/>
        <v>2.7849401375165854E-3</v>
      </c>
    </row>
    <row r="52" spans="1:7">
      <c r="A52" s="1">
        <v>45378.705555555556</v>
      </c>
      <c r="B52" s="2">
        <v>52.45</v>
      </c>
      <c r="C52" s="2">
        <v>11.51</v>
      </c>
      <c r="E52">
        <f t="shared" si="0"/>
        <v>3.4318398474737721E-2</v>
      </c>
      <c r="F52">
        <f t="shared" si="1"/>
        <v>1.8245004344048743E-2</v>
      </c>
      <c r="G52">
        <f t="shared" si="2"/>
        <v>2.1325470329195285E-2</v>
      </c>
    </row>
    <row r="53" spans="1:7">
      <c r="A53" s="1">
        <v>45379.705555555556</v>
      </c>
      <c r="B53" s="2">
        <v>54.25</v>
      </c>
      <c r="C53" s="2">
        <v>11.72</v>
      </c>
      <c r="E53">
        <f t="shared" si="0"/>
        <v>-7.7419354838710319E-3</v>
      </c>
      <c r="F53">
        <f t="shared" si="1"/>
        <v>1.9624573378839383E-2</v>
      </c>
      <c r="G53">
        <f t="shared" si="2"/>
        <v>1.4379781955300932E-2</v>
      </c>
    </row>
    <row r="54" spans="1:7">
      <c r="A54" s="1">
        <v>45383.705555555556</v>
      </c>
      <c r="B54" s="2">
        <v>53.83</v>
      </c>
      <c r="C54" s="2">
        <v>11.95</v>
      </c>
      <c r="E54">
        <f t="shared" si="0"/>
        <v>-5.2572914731562337E-2</v>
      </c>
      <c r="F54">
        <f t="shared" si="1"/>
        <v>1.58995815899583E-2</v>
      </c>
      <c r="G54">
        <f t="shared" si="2"/>
        <v>2.7768276699388708E-3</v>
      </c>
    </row>
    <row r="55" spans="1:7">
      <c r="A55" s="1">
        <v>45384.705555555556</v>
      </c>
      <c r="B55" s="2">
        <v>51</v>
      </c>
      <c r="C55" s="2">
        <v>12.14</v>
      </c>
      <c r="E55">
        <f t="shared" si="0"/>
        <v>-3.1372549019607066E-3</v>
      </c>
      <c r="F55">
        <f t="shared" si="1"/>
        <v>1.6474464579900872E-3</v>
      </c>
      <c r="G55">
        <f t="shared" si="2"/>
        <v>7.3045844235551769E-4</v>
      </c>
    </row>
    <row r="56" spans="1:7">
      <c r="A56" s="1">
        <v>45385.705555555556</v>
      </c>
      <c r="B56" s="2">
        <v>50.84</v>
      </c>
      <c r="C56" s="2">
        <v>12.16</v>
      </c>
      <c r="E56">
        <f t="shared" si="0"/>
        <v>2.2816679779700921E-2</v>
      </c>
      <c r="F56">
        <f t="shared" si="1"/>
        <v>0</v>
      </c>
      <c r="G56">
        <f t="shared" si="2"/>
        <v>4.3728166797796812E-3</v>
      </c>
    </row>
    <row r="57" spans="1:7">
      <c r="A57" s="1">
        <v>45386.705555555556</v>
      </c>
      <c r="B57" s="2">
        <v>52</v>
      </c>
      <c r="C57" s="2">
        <v>12.16</v>
      </c>
      <c r="E57">
        <f t="shared" si="0"/>
        <v>1.5384615384614886E-3</v>
      </c>
      <c r="F57">
        <f t="shared" si="1"/>
        <v>2.2203947368421018E-2</v>
      </c>
      <c r="G57">
        <f t="shared" si="2"/>
        <v>1.8243407009109276E-2</v>
      </c>
    </row>
    <row r="58" spans="1:7">
      <c r="A58" s="1">
        <v>45387.705555555556</v>
      </c>
      <c r="B58" s="2">
        <v>52.08</v>
      </c>
      <c r="C58" s="2">
        <v>12.43</v>
      </c>
      <c r="E58">
        <f t="shared" si="0"/>
        <v>6.1827956989247257E-2</v>
      </c>
      <c r="F58">
        <f t="shared" si="1"/>
        <v>-2.4135156878519748E-3</v>
      </c>
      <c r="G58">
        <f t="shared" si="2"/>
        <v>9.8983625507140915E-3</v>
      </c>
    </row>
    <row r="59" spans="1:7">
      <c r="A59" s="1">
        <v>45390.705555555556</v>
      </c>
      <c r="B59" s="2">
        <v>55.3</v>
      </c>
      <c r="C59" s="2">
        <v>12.4</v>
      </c>
      <c r="E59">
        <f t="shared" si="0"/>
        <v>-4.4303797468354333E-2</v>
      </c>
      <c r="F59">
        <f t="shared" si="1"/>
        <v>8.0645161290315848E-4</v>
      </c>
      <c r="G59">
        <f t="shared" si="2"/>
        <v>-7.8389276235198389E-3</v>
      </c>
    </row>
    <row r="60" spans="1:7">
      <c r="A60" s="1">
        <v>45391.705555555556</v>
      </c>
      <c r="B60" s="2">
        <v>52.85</v>
      </c>
      <c r="C60" s="2">
        <v>12.41</v>
      </c>
      <c r="E60">
        <f t="shared" si="0"/>
        <v>2.2705771050141932E-2</v>
      </c>
      <c r="F60">
        <f t="shared" si="1"/>
        <v>2.4174053182917099E-3</v>
      </c>
      <c r="G60">
        <f t="shared" si="2"/>
        <v>6.3056706108008051E-3</v>
      </c>
    </row>
    <row r="61" spans="1:7">
      <c r="A61" s="1">
        <v>45392.705555555556</v>
      </c>
      <c r="B61" s="2">
        <v>54.05</v>
      </c>
      <c r="C61" s="2">
        <v>12.44</v>
      </c>
      <c r="E61">
        <f t="shared" si="0"/>
        <v>6.4754856614246403E-3</v>
      </c>
      <c r="F61">
        <f t="shared" si="1"/>
        <v>2.1704180064308742E-2</v>
      </c>
      <c r="G61">
        <f t="shared" si="2"/>
        <v>1.8785600781996002E-2</v>
      </c>
    </row>
    <row r="62" spans="1:7">
      <c r="A62" s="1">
        <v>45393.705555555556</v>
      </c>
      <c r="B62" s="2">
        <v>54.4</v>
      </c>
      <c r="C62" s="2">
        <v>12.71</v>
      </c>
      <c r="E62">
        <f t="shared" si="0"/>
        <v>-5.1470588235294046E-2</v>
      </c>
      <c r="F62">
        <f t="shared" si="1"/>
        <v>-5.5074744295829925E-3</v>
      </c>
      <c r="G62">
        <f t="shared" si="2"/>
        <v>-1.4316305190447517E-2</v>
      </c>
    </row>
    <row r="63" spans="1:7">
      <c r="A63" s="1">
        <v>45394.705555555556</v>
      </c>
      <c r="B63" s="2">
        <v>51.6</v>
      </c>
      <c r="C63" s="2">
        <v>12.64</v>
      </c>
      <c r="E63">
        <f t="shared" si="0"/>
        <v>-3.1201550387596866E-2</v>
      </c>
      <c r="F63">
        <f t="shared" si="1"/>
        <v>3.1645569620253111E-2</v>
      </c>
      <c r="G63">
        <f t="shared" si="2"/>
        <v>1.9600919070748665E-2</v>
      </c>
    </row>
    <row r="64" spans="1:7">
      <c r="A64" s="1">
        <v>45397.705555555556</v>
      </c>
      <c r="B64" s="2">
        <v>49.99</v>
      </c>
      <c r="C64" s="2">
        <v>13.04</v>
      </c>
      <c r="E64">
        <f t="shared" si="0"/>
        <v>-9.8019603920784792E-3</v>
      </c>
      <c r="F64">
        <f t="shared" si="1"/>
        <v>1.6871165644171793E-2</v>
      </c>
      <c r="G64">
        <f t="shared" si="2"/>
        <v>1.1759261039324429E-2</v>
      </c>
    </row>
    <row r="65" spans="1:7">
      <c r="A65" s="1">
        <v>45398.705555555556</v>
      </c>
      <c r="B65" s="2">
        <v>49.5</v>
      </c>
      <c r="C65" s="2">
        <v>13.26</v>
      </c>
      <c r="E65">
        <f t="shared" si="0"/>
        <v>-3.1111111111111089E-2</v>
      </c>
      <c r="F65">
        <f t="shared" si="1"/>
        <v>-9.8039215686274161E-3</v>
      </c>
      <c r="G65">
        <f t="shared" si="2"/>
        <v>-1.3887444444444411E-2</v>
      </c>
    </row>
    <row r="66" spans="1:7">
      <c r="A66" s="1">
        <v>45399.705555555556</v>
      </c>
      <c r="B66" s="2">
        <v>47.96</v>
      </c>
      <c r="C66" s="2">
        <v>13.13</v>
      </c>
      <c r="E66">
        <f t="shared" si="0"/>
        <v>4.899916597164311E-2</v>
      </c>
      <c r="F66">
        <f t="shared" si="1"/>
        <v>1.5232292460014563E-3</v>
      </c>
      <c r="G66">
        <f t="shared" si="2"/>
        <v>1.0621992519470679E-2</v>
      </c>
    </row>
    <row r="67" spans="1:7">
      <c r="A67" s="1">
        <v>45400.705555555556</v>
      </c>
      <c r="B67" s="2">
        <v>50.31</v>
      </c>
      <c r="C67" s="2">
        <v>13.15</v>
      </c>
      <c r="E67">
        <f t="shared" ref="E67:E130" si="3">(B68/B67)-1</f>
        <v>-1.5901411250249797E-3</v>
      </c>
      <c r="F67">
        <f t="shared" ref="F67:F130" si="4">(C68/C67)-1</f>
        <v>-6.0836501901140316E-3</v>
      </c>
      <c r="G67">
        <f t="shared" ref="G67:G130" si="5">$J$5*E67+$J$6*F67</f>
        <v>-5.2224691777897148E-3</v>
      </c>
    </row>
    <row r="68" spans="1:7">
      <c r="A68" s="1">
        <v>45401.705555555556</v>
      </c>
      <c r="B68" s="2">
        <v>50.23</v>
      </c>
      <c r="C68" s="2">
        <v>13.07</v>
      </c>
      <c r="E68">
        <f t="shared" si="3"/>
        <v>3.7826000398168524E-2</v>
      </c>
      <c r="F68">
        <f t="shared" si="4"/>
        <v>-3.0604437643458327E-2</v>
      </c>
      <c r="G68">
        <f t="shared" si="5"/>
        <v>-1.7489744192780543E-2</v>
      </c>
    </row>
    <row r="69" spans="1:7">
      <c r="A69" s="1">
        <v>45404.705555555556</v>
      </c>
      <c r="B69" s="2">
        <v>52.13</v>
      </c>
      <c r="C69" s="2">
        <v>12.67</v>
      </c>
      <c r="E69">
        <f t="shared" si="3"/>
        <v>-1.2085171686169294E-2</v>
      </c>
      <c r="F69">
        <f t="shared" si="4"/>
        <v>-1.0260457774269982E-2</v>
      </c>
      <c r="G69">
        <f t="shared" si="5"/>
        <v>-1.0610164195485484E-2</v>
      </c>
    </row>
    <row r="70" spans="1:7">
      <c r="A70" s="1">
        <v>45405.705555555556</v>
      </c>
      <c r="B70" s="2">
        <v>51.5</v>
      </c>
      <c r="C70" s="2">
        <v>12.54</v>
      </c>
      <c r="E70">
        <f t="shared" si="3"/>
        <v>-3.300970873786413E-2</v>
      </c>
      <c r="F70">
        <f t="shared" si="4"/>
        <v>2.3923444976077235E-3</v>
      </c>
      <c r="G70">
        <f t="shared" si="5"/>
        <v>-4.3924590049704568E-3</v>
      </c>
    </row>
    <row r="71" spans="1:7">
      <c r="A71" s="1">
        <v>45406.705555555556</v>
      </c>
      <c r="B71" s="2">
        <v>49.8</v>
      </c>
      <c r="C71" s="2">
        <v>12.57</v>
      </c>
      <c r="E71">
        <f t="shared" si="3"/>
        <v>4.0160642570281624E-3</v>
      </c>
      <c r="F71">
        <f t="shared" si="4"/>
        <v>7.9554494828957267E-3</v>
      </c>
      <c r="G71">
        <f t="shared" si="5"/>
        <v>7.2004663043582079E-3</v>
      </c>
    </row>
    <row r="72" spans="1:7">
      <c r="A72" s="1">
        <v>45407.705555555556</v>
      </c>
      <c r="B72" s="2">
        <v>50</v>
      </c>
      <c r="C72" s="2">
        <v>12.67</v>
      </c>
      <c r="E72">
        <f t="shared" si="3"/>
        <v>-1.1200000000000099E-2</v>
      </c>
      <c r="F72">
        <f t="shared" si="4"/>
        <v>-3.9463299131807794E-3</v>
      </c>
      <c r="G72">
        <f t="shared" si="5"/>
        <v>-5.3364957853197018E-3</v>
      </c>
    </row>
    <row r="73" spans="1:7">
      <c r="A73" s="1">
        <v>45408.705555555556</v>
      </c>
      <c r="B73" s="2">
        <v>49.44</v>
      </c>
      <c r="C73" s="2">
        <v>12.62</v>
      </c>
      <c r="E73">
        <f t="shared" si="3"/>
        <v>-7.8883495145630755E-3</v>
      </c>
      <c r="F73">
        <f t="shared" si="4"/>
        <v>-4.7543581616480424E-3</v>
      </c>
      <c r="G73">
        <f t="shared" si="5"/>
        <v>-5.3549876044342078E-3</v>
      </c>
    </row>
    <row r="74" spans="1:7">
      <c r="A74" s="1">
        <v>45411.705555555556</v>
      </c>
      <c r="B74" s="2">
        <v>49.05</v>
      </c>
      <c r="C74" s="2">
        <v>12.56</v>
      </c>
      <c r="E74">
        <f t="shared" si="3"/>
        <v>-4.6890927624872569E-2</v>
      </c>
      <c r="F74">
        <f t="shared" si="4"/>
        <v>-3.9808917197452498E-3</v>
      </c>
      <c r="G74">
        <f t="shared" si="5"/>
        <v>-1.2204600100962899E-2</v>
      </c>
    </row>
    <row r="75" spans="1:7">
      <c r="A75" s="1">
        <v>45412.705555555556</v>
      </c>
      <c r="B75" s="2">
        <v>46.75</v>
      </c>
      <c r="C75" s="2">
        <v>12.51</v>
      </c>
      <c r="E75">
        <f t="shared" si="3"/>
        <v>-1.0481283422459908E-2</v>
      </c>
      <c r="F75">
        <f t="shared" si="4"/>
        <v>-8.7929656274979839E-3</v>
      </c>
      <c r="G75">
        <f t="shared" si="5"/>
        <v>-9.1165317329024373E-3</v>
      </c>
    </row>
    <row r="76" spans="1:7">
      <c r="A76" s="1">
        <v>45414.705555555556</v>
      </c>
      <c r="B76" s="2">
        <v>46.26</v>
      </c>
      <c r="C76" s="2">
        <v>12.4</v>
      </c>
      <c r="E76">
        <f t="shared" si="3"/>
        <v>3.5019455252918386E-2</v>
      </c>
      <c r="F76">
        <f t="shared" si="4"/>
        <v>-9.6774193548387899E-3</v>
      </c>
      <c r="G76">
        <f t="shared" si="5"/>
        <v>-1.1112633362621279E-3</v>
      </c>
    </row>
    <row r="77" spans="1:7">
      <c r="A77" s="1">
        <v>45415.705555555556</v>
      </c>
      <c r="B77" s="2">
        <v>47.88</v>
      </c>
      <c r="C77" s="2">
        <v>12.28</v>
      </c>
      <c r="E77">
        <f t="shared" si="3"/>
        <v>1.1904761904761862E-2</v>
      </c>
      <c r="F77">
        <f t="shared" si="4"/>
        <v>9.7719869706840434E-3</v>
      </c>
      <c r="G77">
        <f t="shared" si="5"/>
        <v>1.0180733286800057E-2</v>
      </c>
    </row>
    <row r="78" spans="1:7">
      <c r="A78" s="1">
        <v>45418.705555555556</v>
      </c>
      <c r="B78" s="2">
        <v>48.45</v>
      </c>
      <c r="C78" s="2">
        <v>12.4</v>
      </c>
      <c r="E78">
        <f t="shared" si="3"/>
        <v>-7.6367389060888469E-3</v>
      </c>
      <c r="F78">
        <f t="shared" si="4"/>
        <v>-4.8387096774193949E-3</v>
      </c>
      <c r="G78">
        <f t="shared" si="5"/>
        <v>-5.3749519790938956E-3</v>
      </c>
    </row>
    <row r="79" spans="1:7">
      <c r="A79" s="1">
        <v>45419.705555555556</v>
      </c>
      <c r="B79" s="2">
        <v>48.08</v>
      </c>
      <c r="C79" s="2">
        <v>12.34</v>
      </c>
      <c r="E79">
        <f t="shared" si="3"/>
        <v>-1.2479201331114798E-2</v>
      </c>
      <c r="F79">
        <f t="shared" si="4"/>
        <v>1.6207455429497752E-3</v>
      </c>
      <c r="G79">
        <f t="shared" si="5"/>
        <v>-1.0815092754646999E-3</v>
      </c>
    </row>
    <row r="80" spans="1:7">
      <c r="A80" s="1">
        <v>45420.705555555556</v>
      </c>
      <c r="B80" s="2">
        <v>47.48</v>
      </c>
      <c r="C80" s="2">
        <v>12.36</v>
      </c>
      <c r="E80">
        <f t="shared" si="3"/>
        <v>2.1482729570345471E-2</v>
      </c>
      <c r="F80">
        <f t="shared" si="4"/>
        <v>2.4271844660194164E-2</v>
      </c>
      <c r="G80">
        <f t="shared" si="5"/>
        <v>2.3737310753224661E-2</v>
      </c>
    </row>
    <row r="81" spans="1:7">
      <c r="A81" s="1">
        <v>45421.705555555556</v>
      </c>
      <c r="B81" s="2">
        <v>48.5</v>
      </c>
      <c r="C81" s="2">
        <v>12.66</v>
      </c>
      <c r="E81">
        <f t="shared" si="3"/>
        <v>-2.6391752577319627E-2</v>
      </c>
      <c r="F81">
        <f t="shared" si="4"/>
        <v>1.4218009478673022E-2</v>
      </c>
      <c r="G81">
        <f t="shared" si="5"/>
        <v>6.4351485806420309E-3</v>
      </c>
    </row>
    <row r="82" spans="1:7">
      <c r="A82" s="1">
        <v>45422.705555555556</v>
      </c>
      <c r="B82" s="2">
        <v>47.22</v>
      </c>
      <c r="C82" s="2">
        <v>12.84</v>
      </c>
      <c r="E82">
        <f t="shared" si="3"/>
        <v>2.7107157983905061E-2</v>
      </c>
      <c r="F82">
        <f t="shared" si="4"/>
        <v>-1.2461059190031154E-2</v>
      </c>
      <c r="G82">
        <f t="shared" si="5"/>
        <v>-4.8778103686462782E-3</v>
      </c>
    </row>
    <row r="83" spans="1:7">
      <c r="A83" s="1">
        <v>45425.705555555556</v>
      </c>
      <c r="B83" s="2">
        <v>48.5</v>
      </c>
      <c r="C83" s="2">
        <v>12.68</v>
      </c>
      <c r="E83">
        <f t="shared" si="3"/>
        <v>-3.1546391752577341E-2</v>
      </c>
      <c r="F83">
        <f t="shared" si="4"/>
        <v>3.9432176656151174E-3</v>
      </c>
      <c r="G83">
        <f t="shared" si="5"/>
        <v>-2.8583659793814664E-3</v>
      </c>
    </row>
    <row r="84" spans="1:7">
      <c r="A84" s="1">
        <v>45426.705555555556</v>
      </c>
      <c r="B84" s="2">
        <v>46.97</v>
      </c>
      <c r="C84" s="2">
        <v>12.73</v>
      </c>
      <c r="E84">
        <f t="shared" si="3"/>
        <v>7.1960826059186855E-2</v>
      </c>
      <c r="F84">
        <f t="shared" si="4"/>
        <v>1.4139827179890041E-2</v>
      </c>
      <c r="G84">
        <f t="shared" si="5"/>
        <v>2.5221221615107273E-2</v>
      </c>
    </row>
    <row r="85" spans="1:7">
      <c r="A85" s="1">
        <v>45427.705555555556</v>
      </c>
      <c r="B85" s="2">
        <v>50.35</v>
      </c>
      <c r="C85" s="2">
        <v>12.91</v>
      </c>
      <c r="E85">
        <f t="shared" si="3"/>
        <v>-2.0854021847070636E-2</v>
      </c>
      <c r="F85">
        <f t="shared" si="4"/>
        <v>-4.6475600309837661E-3</v>
      </c>
      <c r="G85">
        <f t="shared" si="5"/>
        <v>-7.7535284380368143E-3</v>
      </c>
    </row>
    <row r="86" spans="1:7">
      <c r="A86" s="1">
        <v>45428.705555555556</v>
      </c>
      <c r="B86" s="2">
        <v>49.3</v>
      </c>
      <c r="C86" s="2">
        <v>12.85</v>
      </c>
      <c r="E86">
        <f t="shared" si="3"/>
        <v>3.3874239350912827E-2</v>
      </c>
      <c r="F86">
        <f t="shared" si="4"/>
        <v>1.0116731517509692E-2</v>
      </c>
      <c r="G86">
        <f t="shared" si="5"/>
        <v>1.4669857893781401E-2</v>
      </c>
    </row>
    <row r="87" spans="1:7">
      <c r="A87" s="1">
        <v>45429.705555555556</v>
      </c>
      <c r="B87" s="2">
        <v>50.97</v>
      </c>
      <c r="C87" s="2">
        <v>12.98</v>
      </c>
      <c r="E87">
        <f t="shared" si="3"/>
        <v>6.140867176770648E-2</v>
      </c>
      <c r="F87">
        <f t="shared" si="4"/>
        <v>3.8520801232664326E-3</v>
      </c>
      <c r="G87">
        <f t="shared" si="5"/>
        <v>1.4882800911923368E-2</v>
      </c>
    </row>
    <row r="88" spans="1:7">
      <c r="A88" s="1">
        <v>45432.705555555556</v>
      </c>
      <c r="B88" s="2">
        <v>54.1</v>
      </c>
      <c r="C88" s="2">
        <v>13.03</v>
      </c>
      <c r="E88">
        <f t="shared" si="3"/>
        <v>1.5896487985212593E-2</v>
      </c>
      <c r="F88">
        <f t="shared" si="4"/>
        <v>2.3023791250960102E-3</v>
      </c>
      <c r="G88">
        <f t="shared" si="5"/>
        <v>4.9076900881373526E-3</v>
      </c>
    </row>
    <row r="89" spans="1:7">
      <c r="A89" s="1">
        <v>45433.705555555556</v>
      </c>
      <c r="B89" s="2">
        <v>54.96</v>
      </c>
      <c r="C89" s="2">
        <v>13.06</v>
      </c>
      <c r="E89">
        <f t="shared" si="3"/>
        <v>8.0058224163026548E-3</v>
      </c>
      <c r="F89">
        <f t="shared" si="4"/>
        <v>-1.1485451761102605E-2</v>
      </c>
      <c r="G89">
        <f t="shared" si="5"/>
        <v>-7.7499490650028875E-3</v>
      </c>
    </row>
    <row r="90" spans="1:7">
      <c r="A90" s="1">
        <v>45434.705555555556</v>
      </c>
      <c r="B90" s="2">
        <v>55.4</v>
      </c>
      <c r="C90" s="2">
        <v>12.91</v>
      </c>
      <c r="E90">
        <f t="shared" si="3"/>
        <v>-2.9783393501805033E-2</v>
      </c>
      <c r="F90">
        <f t="shared" si="4"/>
        <v>-2.0139426800929505E-2</v>
      </c>
      <c r="G90">
        <f t="shared" si="5"/>
        <v>-2.19876930191523E-2</v>
      </c>
    </row>
    <row r="91" spans="1:7">
      <c r="A91" s="1">
        <v>45435.705555555556</v>
      </c>
      <c r="B91" s="2">
        <v>53.75</v>
      </c>
      <c r="C91" s="2">
        <v>12.65</v>
      </c>
      <c r="E91">
        <f t="shared" si="3"/>
        <v>2.2511627906976805E-2</v>
      </c>
      <c r="F91">
        <f t="shared" si="4"/>
        <v>3.1620553359683612E-3</v>
      </c>
      <c r="G91">
        <f t="shared" si="5"/>
        <v>6.8704009192021298E-3</v>
      </c>
    </row>
    <row r="92" spans="1:7">
      <c r="A92" s="1">
        <v>45436.705555555556</v>
      </c>
      <c r="B92" s="2">
        <v>54.96</v>
      </c>
      <c r="C92" s="2">
        <v>12.69</v>
      </c>
      <c r="E92">
        <f t="shared" si="3"/>
        <v>1.8922852983988436E-2</v>
      </c>
      <c r="F92">
        <f t="shared" si="4"/>
        <v>1.2608353033884967E-2</v>
      </c>
      <c r="G92">
        <f t="shared" si="5"/>
        <v>1.3818526949322297E-2</v>
      </c>
    </row>
    <row r="93" spans="1:7">
      <c r="A93" s="1">
        <v>45439.705555555556</v>
      </c>
      <c r="B93" s="2">
        <v>56</v>
      </c>
      <c r="C93" s="2">
        <v>12.85</v>
      </c>
      <c r="E93">
        <f t="shared" si="3"/>
        <v>-1.4464285714285707E-2</v>
      </c>
      <c r="F93">
        <f t="shared" si="4"/>
        <v>-3.8910505836574627E-3</v>
      </c>
      <c r="G93">
        <f t="shared" si="5"/>
        <v>-5.9174110964423654E-3</v>
      </c>
    </row>
    <row r="94" spans="1:7">
      <c r="A94" s="1">
        <v>45440.705555555556</v>
      </c>
      <c r="B94" s="2">
        <v>55.19</v>
      </c>
      <c r="C94" s="2">
        <v>12.8</v>
      </c>
      <c r="E94">
        <f t="shared" si="3"/>
        <v>-7.0664975539046493E-3</v>
      </c>
      <c r="F94">
        <f t="shared" si="4"/>
        <v>0</v>
      </c>
      <c r="G94">
        <f t="shared" si="5"/>
        <v>-1.3542942562058259E-3</v>
      </c>
    </row>
    <row r="95" spans="1:7">
      <c r="A95" s="1">
        <v>45441.705555555556</v>
      </c>
      <c r="B95" s="2">
        <v>54.8</v>
      </c>
      <c r="C95" s="2">
        <v>12.8</v>
      </c>
      <c r="E95">
        <f t="shared" si="3"/>
        <v>6.3868613138686747E-3</v>
      </c>
      <c r="F95">
        <f t="shared" si="4"/>
        <v>5.4687499999999112E-3</v>
      </c>
      <c r="G95">
        <f t="shared" si="5"/>
        <v>5.6447060333028598E-3</v>
      </c>
    </row>
    <row r="96" spans="1:7">
      <c r="A96" s="1">
        <v>45443.705555555556</v>
      </c>
      <c r="B96" s="2">
        <v>55.15</v>
      </c>
      <c r="C96" s="2">
        <v>12.87</v>
      </c>
      <c r="E96">
        <f t="shared" si="3"/>
        <v>1.3055303717135036E-2</v>
      </c>
      <c r="F96">
        <f t="shared" si="4"/>
        <v>4.6620046620047262E-3</v>
      </c>
      <c r="G96">
        <f t="shared" si="5"/>
        <v>6.2705804259204495E-3</v>
      </c>
    </row>
    <row r="97" spans="1:7">
      <c r="A97" s="1">
        <v>45446.705555555556</v>
      </c>
      <c r="B97" s="2">
        <v>55.87</v>
      </c>
      <c r="C97" s="2">
        <v>12.93</v>
      </c>
      <c r="E97">
        <f t="shared" si="3"/>
        <v>2.5595131555396389E-2</v>
      </c>
      <c r="F97">
        <f t="shared" si="4"/>
        <v>-7.7339520494967839E-4</v>
      </c>
      <c r="G97">
        <f t="shared" si="5"/>
        <v>4.2801329486706445E-3</v>
      </c>
    </row>
    <row r="98" spans="1:7">
      <c r="A98" s="1">
        <v>45447.705555555556</v>
      </c>
      <c r="B98" s="2">
        <v>57.3</v>
      </c>
      <c r="C98" s="2">
        <v>12.92</v>
      </c>
      <c r="E98">
        <f t="shared" si="3"/>
        <v>1.6579406631762605E-2</v>
      </c>
      <c r="F98">
        <f t="shared" si="4"/>
        <v>1.6253869969040213E-2</v>
      </c>
      <c r="G98">
        <f t="shared" si="5"/>
        <v>1.6316259070450961E-2</v>
      </c>
    </row>
    <row r="99" spans="1:7">
      <c r="A99" s="1">
        <v>45448.705555555556</v>
      </c>
      <c r="B99" s="2">
        <v>58.25</v>
      </c>
      <c r="C99" s="2">
        <v>13.13</v>
      </c>
      <c r="E99">
        <f t="shared" si="3"/>
        <v>-1.3218884120171692E-2</v>
      </c>
      <c r="F99">
        <f t="shared" si="4"/>
        <v>-2.2848438690024064E-3</v>
      </c>
      <c r="G99">
        <f t="shared" si="5"/>
        <v>-4.3803526831389999E-3</v>
      </c>
    </row>
    <row r="100" spans="1:7">
      <c r="A100" s="1">
        <v>45449.705555555556</v>
      </c>
      <c r="B100" s="2">
        <v>57.48</v>
      </c>
      <c r="C100" s="2">
        <v>13.1</v>
      </c>
      <c r="E100">
        <f t="shared" si="3"/>
        <v>-1.2526096033402934E-2</v>
      </c>
      <c r="F100">
        <f t="shared" si="4"/>
        <v>-1.8320610687022953E-2</v>
      </c>
      <c r="G100">
        <f t="shared" si="5"/>
        <v>-1.7210091953656678E-2</v>
      </c>
    </row>
    <row r="101" spans="1:7">
      <c r="A101" s="1">
        <v>45450.705555555556</v>
      </c>
      <c r="B101" s="2">
        <v>56.76</v>
      </c>
      <c r="C101" s="2">
        <v>12.86</v>
      </c>
      <c r="E101">
        <f t="shared" si="3"/>
        <v>4.9330514446794815E-3</v>
      </c>
      <c r="F101">
        <f t="shared" si="4"/>
        <v>1.1664074650077794E-2</v>
      </c>
      <c r="G101">
        <f t="shared" si="5"/>
        <v>1.0374074052763206E-2</v>
      </c>
    </row>
    <row r="102" spans="1:7">
      <c r="A102" s="1">
        <v>45453.705555555556</v>
      </c>
      <c r="B102" s="2">
        <v>57.04</v>
      </c>
      <c r="C102" s="2">
        <v>13.01</v>
      </c>
      <c r="E102">
        <f t="shared" si="3"/>
        <v>-3.4712482468443162E-2</v>
      </c>
      <c r="F102">
        <f t="shared" si="4"/>
        <v>3.0745580322828481E-3</v>
      </c>
      <c r="G102">
        <f t="shared" si="5"/>
        <v>-4.1673282796812917E-3</v>
      </c>
    </row>
    <row r="103" spans="1:7">
      <c r="A103" s="1">
        <v>45454.705555555556</v>
      </c>
      <c r="B103" s="2">
        <v>55.06</v>
      </c>
      <c r="C103" s="2">
        <v>13.05</v>
      </c>
      <c r="E103">
        <f t="shared" si="3"/>
        <v>1.4711224119142718E-2</v>
      </c>
      <c r="F103">
        <f t="shared" si="4"/>
        <v>1.2260536398467359E-2</v>
      </c>
      <c r="G103">
        <f t="shared" si="5"/>
        <v>1.2730210700134791E-2</v>
      </c>
    </row>
    <row r="104" spans="1:7">
      <c r="A104" s="1">
        <v>45455.705555555556</v>
      </c>
      <c r="B104" s="2">
        <v>55.87</v>
      </c>
      <c r="C104" s="2">
        <v>13.21</v>
      </c>
      <c r="E104">
        <f t="shared" si="3"/>
        <v>-1.915160193305887E-2</v>
      </c>
      <c r="F104">
        <f t="shared" si="4"/>
        <v>-1.5897047691143085E-2</v>
      </c>
      <c r="G104">
        <f t="shared" si="5"/>
        <v>-1.6520783011606244E-2</v>
      </c>
    </row>
    <row r="105" spans="1:7">
      <c r="A105" s="1">
        <v>45456.705555555556</v>
      </c>
      <c r="B105" s="2">
        <v>54.8</v>
      </c>
      <c r="C105" s="2">
        <v>13</v>
      </c>
      <c r="E105">
        <f t="shared" si="3"/>
        <v>-2.1897810218978075E-2</v>
      </c>
      <c r="F105">
        <f t="shared" si="4"/>
        <v>1.4615384615384475E-2</v>
      </c>
      <c r="G105">
        <f t="shared" si="5"/>
        <v>7.6176308253788922E-3</v>
      </c>
    </row>
    <row r="106" spans="1:7">
      <c r="A106" s="1">
        <v>45457.705555555556</v>
      </c>
      <c r="B106" s="2">
        <v>53.6</v>
      </c>
      <c r="C106" s="2">
        <v>13.19</v>
      </c>
      <c r="E106">
        <f t="shared" si="3"/>
        <v>2.3880597014925398E-2</v>
      </c>
      <c r="F106">
        <f t="shared" si="4"/>
        <v>1.5163002274451998E-3</v>
      </c>
      <c r="G106">
        <f t="shared" si="5"/>
        <v>5.8024177067657803E-3</v>
      </c>
    </row>
    <row r="107" spans="1:7">
      <c r="A107" s="1">
        <v>45460.705555555556</v>
      </c>
      <c r="B107" s="2">
        <v>54.88</v>
      </c>
      <c r="C107" s="2">
        <v>13.21</v>
      </c>
      <c r="E107">
        <f t="shared" si="3"/>
        <v>-3.0612244897959218E-2</v>
      </c>
      <c r="F107">
        <f t="shared" si="4"/>
        <v>6.8130204390612903E-3</v>
      </c>
      <c r="G107">
        <f t="shared" si="5"/>
        <v>-3.5953166277868931E-4</v>
      </c>
    </row>
    <row r="108" spans="1:7">
      <c r="A108" s="1">
        <v>45461.705555555556</v>
      </c>
      <c r="B108" s="2">
        <v>53.2</v>
      </c>
      <c r="C108" s="2">
        <v>13.3</v>
      </c>
      <c r="E108">
        <f t="shared" si="3"/>
        <v>2.1052631578947212E-2</v>
      </c>
      <c r="F108">
        <f t="shared" si="4"/>
        <v>4.5112781954885772E-3</v>
      </c>
      <c r="G108">
        <f t="shared" si="5"/>
        <v>7.6814285714284242E-3</v>
      </c>
    </row>
    <row r="109" spans="1:7">
      <c r="A109" s="1">
        <v>45462.705555555556</v>
      </c>
      <c r="B109" s="2">
        <v>54.32</v>
      </c>
      <c r="C109" s="2">
        <v>13.36</v>
      </c>
      <c r="E109">
        <f t="shared" si="3"/>
        <v>-3.4977908689248771E-3</v>
      </c>
      <c r="F109">
        <f t="shared" si="4"/>
        <v>1.3473053892215647E-2</v>
      </c>
      <c r="G109">
        <f t="shared" si="5"/>
        <v>1.0220591493743067E-2</v>
      </c>
    </row>
    <row r="110" spans="1:7">
      <c r="A110" s="1">
        <v>45463.705555555556</v>
      </c>
      <c r="B110" s="2">
        <v>54.13</v>
      </c>
      <c r="C110" s="2">
        <v>13.54</v>
      </c>
      <c r="E110">
        <f t="shared" si="3"/>
        <v>-3.1405874745982221E-3</v>
      </c>
      <c r="F110">
        <f t="shared" si="4"/>
        <v>-1.846381093057603E-2</v>
      </c>
      <c r="G110">
        <f t="shared" si="5"/>
        <v>-1.5527115155237884E-2</v>
      </c>
    </row>
    <row r="111" spans="1:7">
      <c r="A111" s="1">
        <v>45464.705555555556</v>
      </c>
      <c r="B111" s="2">
        <v>53.96</v>
      </c>
      <c r="C111" s="2">
        <v>13.29</v>
      </c>
      <c r="E111">
        <f t="shared" si="3"/>
        <v>-7.8020756115641188E-2</v>
      </c>
      <c r="F111">
        <f t="shared" si="4"/>
        <v>-6.0195635816402415E-3</v>
      </c>
      <c r="G111">
        <f t="shared" si="5"/>
        <v>-1.981859213078152E-2</v>
      </c>
    </row>
    <row r="112" spans="1:7">
      <c r="A112" s="1">
        <v>45467.705555555556</v>
      </c>
      <c r="B112" s="2">
        <v>49.75</v>
      </c>
      <c r="C112" s="2">
        <v>13.21</v>
      </c>
      <c r="E112">
        <f t="shared" si="3"/>
        <v>5.3266331658291532E-2</v>
      </c>
      <c r="F112">
        <f t="shared" si="4"/>
        <v>5.2990158970476209E-3</v>
      </c>
      <c r="G112">
        <f t="shared" si="5"/>
        <v>1.4491951962690017E-2</v>
      </c>
    </row>
    <row r="113" spans="1:7">
      <c r="A113" s="1">
        <v>45468.705555555556</v>
      </c>
      <c r="B113" s="2">
        <v>52.4</v>
      </c>
      <c r="C113" s="2">
        <v>13.28</v>
      </c>
      <c r="E113">
        <f t="shared" si="3"/>
        <v>-8.0152671755725491E-3</v>
      </c>
      <c r="F113">
        <f t="shared" si="4"/>
        <v>3.0120481927711218E-3</v>
      </c>
      <c r="G113">
        <f t="shared" si="5"/>
        <v>8.9866320242805767E-4</v>
      </c>
    </row>
    <row r="114" spans="1:7">
      <c r="A114" s="1">
        <v>45469.705555555556</v>
      </c>
      <c r="B114" s="2">
        <v>51.98</v>
      </c>
      <c r="C114" s="2">
        <v>13.32</v>
      </c>
      <c r="E114">
        <f t="shared" si="3"/>
        <v>1.4813389765294449E-2</v>
      </c>
      <c r="F114">
        <f t="shared" si="4"/>
        <v>9.7597597597596231E-3</v>
      </c>
      <c r="G114">
        <f t="shared" si="5"/>
        <v>1.0728287950320371E-2</v>
      </c>
    </row>
    <row r="115" spans="1:7">
      <c r="A115" s="1">
        <v>45470.705555555556</v>
      </c>
      <c r="B115" s="2">
        <v>52.75</v>
      </c>
      <c r="C115" s="2">
        <v>13.45</v>
      </c>
      <c r="E115">
        <f t="shared" si="3"/>
        <v>-1.3270142180095146E-3</v>
      </c>
      <c r="F115">
        <f t="shared" si="4"/>
        <v>1.4869888475836479E-2</v>
      </c>
      <c r="G115">
        <f t="shared" si="5"/>
        <v>1.1765752074560895E-2</v>
      </c>
    </row>
    <row r="116" spans="1:7">
      <c r="A116" s="1">
        <v>45471.705555555556</v>
      </c>
      <c r="B116" s="2">
        <v>52.68</v>
      </c>
      <c r="C116" s="2">
        <v>13.65</v>
      </c>
      <c r="E116">
        <f t="shared" si="3"/>
        <v>4.4039483675019087E-2</v>
      </c>
      <c r="F116">
        <f t="shared" si="4"/>
        <v>1.391941391941387E-2</v>
      </c>
      <c r="G116">
        <f t="shared" si="5"/>
        <v>1.9691925288075611E-2</v>
      </c>
    </row>
    <row r="117" spans="1:7">
      <c r="A117" s="1">
        <v>45474.705555555556</v>
      </c>
      <c r="B117" s="2">
        <v>55</v>
      </c>
      <c r="C117" s="2">
        <v>13.84</v>
      </c>
      <c r="E117">
        <f t="shared" si="3"/>
        <v>-7.6363636363636633E-3</v>
      </c>
      <c r="F117">
        <f t="shared" si="4"/>
        <v>1.4450867052022698E-3</v>
      </c>
      <c r="G117">
        <f t="shared" si="5"/>
        <v>-2.9537325275884123E-4</v>
      </c>
    </row>
    <row r="118" spans="1:7">
      <c r="A118" s="1">
        <v>45475.705555555556</v>
      </c>
      <c r="B118" s="2">
        <v>54.58</v>
      </c>
      <c r="C118" s="2">
        <v>13.86</v>
      </c>
      <c r="E118">
        <f t="shared" si="3"/>
        <v>-4.5804323928178792E-2</v>
      </c>
      <c r="F118">
        <f t="shared" si="4"/>
        <v>-3.6075036075035039E-3</v>
      </c>
      <c r="G118">
        <f t="shared" si="5"/>
        <v>-1.1694524221960921E-2</v>
      </c>
    </row>
    <row r="119" spans="1:7">
      <c r="A119" s="1">
        <v>45476.705555555556</v>
      </c>
      <c r="B119" s="2">
        <v>52.08</v>
      </c>
      <c r="C119" s="2">
        <v>13.81</v>
      </c>
      <c r="E119">
        <f t="shared" si="3"/>
        <v>-5.6259600614439353E-2</v>
      </c>
      <c r="F119">
        <f t="shared" si="4"/>
        <v>-1.086169442433027E-2</v>
      </c>
      <c r="G119">
        <f t="shared" si="5"/>
        <v>-1.9562203145664675E-2</v>
      </c>
    </row>
    <row r="120" spans="1:7">
      <c r="A120" s="1">
        <v>45477.705555555556</v>
      </c>
      <c r="B120" s="2">
        <v>49.15</v>
      </c>
      <c r="C120" s="2">
        <v>13.66</v>
      </c>
      <c r="E120">
        <f t="shared" si="3"/>
        <v>-3.0315361139369279E-2</v>
      </c>
      <c r="F120">
        <f t="shared" si="4"/>
        <v>2.9282576866762611E-3</v>
      </c>
      <c r="G120">
        <f t="shared" si="5"/>
        <v>-3.4428818613353664E-3</v>
      </c>
    </row>
    <row r="121" spans="1:7">
      <c r="A121" s="1">
        <v>45478.705555555556</v>
      </c>
      <c r="B121" s="2">
        <v>47.66</v>
      </c>
      <c r="C121" s="2">
        <v>13.7</v>
      </c>
      <c r="E121">
        <f t="shared" si="3"/>
        <v>8.3927822073026626E-4</v>
      </c>
      <c r="F121">
        <f t="shared" si="4"/>
        <v>-8.7591240875911636E-3</v>
      </c>
      <c r="G121">
        <f t="shared" si="5"/>
        <v>-6.9195902852013614E-3</v>
      </c>
    </row>
    <row r="122" spans="1:7">
      <c r="A122" s="1">
        <v>45481.705555555556</v>
      </c>
      <c r="B122" s="2">
        <v>47.7</v>
      </c>
      <c r="C122" s="2">
        <v>13.58</v>
      </c>
      <c r="E122">
        <f t="shared" si="3"/>
        <v>1.5094339622641506E-2</v>
      </c>
      <c r="F122">
        <f t="shared" si="4"/>
        <v>-8.8365243004417948E-3</v>
      </c>
      <c r="G122">
        <f t="shared" si="5"/>
        <v>-4.2501742295828811E-3</v>
      </c>
    </row>
    <row r="123" spans="1:7">
      <c r="A123" s="1">
        <v>45482.705555555556</v>
      </c>
      <c r="B123" s="2">
        <v>48.42</v>
      </c>
      <c r="C123" s="2">
        <v>13.46</v>
      </c>
      <c r="E123">
        <f t="shared" si="3"/>
        <v>-2.4783147459728205E-3</v>
      </c>
      <c r="F123">
        <f t="shared" si="4"/>
        <v>2.2288261515601704E-3</v>
      </c>
      <c r="G123">
        <f t="shared" si="5"/>
        <v>1.3267025985479726E-3</v>
      </c>
    </row>
    <row r="124" spans="1:7">
      <c r="A124" s="1">
        <v>45483.705555555556</v>
      </c>
      <c r="B124" s="2">
        <v>48.3</v>
      </c>
      <c r="C124" s="2">
        <v>13.49</v>
      </c>
      <c r="E124">
        <f t="shared" si="3"/>
        <v>3.3126293995859868E-3</v>
      </c>
      <c r="F124">
        <f t="shared" si="4"/>
        <v>2.2979985174203188E-2</v>
      </c>
      <c r="G124">
        <f t="shared" si="5"/>
        <v>1.9210736439997805E-2</v>
      </c>
    </row>
    <row r="125" spans="1:7">
      <c r="A125" s="1">
        <v>45484.705555555556</v>
      </c>
      <c r="B125" s="2">
        <v>48.46</v>
      </c>
      <c r="C125" s="2">
        <v>13.8</v>
      </c>
      <c r="E125">
        <f t="shared" si="3"/>
        <v>6.8097399917457224E-3</v>
      </c>
      <c r="F125">
        <f t="shared" si="4"/>
        <v>-2.1739130434783593E-3</v>
      </c>
      <c r="G125">
        <f t="shared" si="5"/>
        <v>-4.5219593927766418E-4</v>
      </c>
    </row>
    <row r="126" spans="1:7">
      <c r="A126" s="1">
        <v>45485.705555555556</v>
      </c>
      <c r="B126" s="2">
        <v>48.79</v>
      </c>
      <c r="C126" s="2">
        <v>13.77</v>
      </c>
      <c r="E126">
        <f t="shared" si="3"/>
        <v>9.5716335314613765E-2</v>
      </c>
      <c r="F126">
        <f t="shared" si="4"/>
        <v>5.8097312999274564E-3</v>
      </c>
      <c r="G126">
        <f t="shared" si="5"/>
        <v>2.3040331959342089E-2</v>
      </c>
    </row>
    <row r="127" spans="1:7">
      <c r="A127" s="1">
        <v>45488.705555555556</v>
      </c>
      <c r="B127" s="2">
        <v>53.46</v>
      </c>
      <c r="C127" s="2">
        <v>13.85</v>
      </c>
      <c r="E127">
        <f t="shared" si="3"/>
        <v>1.7583239805462059E-2</v>
      </c>
      <c r="F127">
        <f t="shared" si="4"/>
        <v>1.8050541516245522E-2</v>
      </c>
      <c r="G127">
        <f t="shared" si="5"/>
        <v>1.7960983143373872E-2</v>
      </c>
    </row>
    <row r="128" spans="1:7">
      <c r="A128" s="1">
        <v>45489.705555555556</v>
      </c>
      <c r="B128" s="2">
        <v>54.4</v>
      </c>
      <c r="C128" s="2">
        <v>14.1</v>
      </c>
      <c r="E128">
        <f t="shared" si="3"/>
        <v>-5.5147058823534767E-4</v>
      </c>
      <c r="F128">
        <f t="shared" si="4"/>
        <v>4.2553191489362874E-3</v>
      </c>
      <c r="G128">
        <f t="shared" si="5"/>
        <v>3.3340978958073435E-3</v>
      </c>
    </row>
    <row r="129" spans="1:7">
      <c r="A129" s="1">
        <v>45490.705555555556</v>
      </c>
      <c r="B129" s="2">
        <v>54.37</v>
      </c>
      <c r="C129" s="2">
        <v>14.16</v>
      </c>
      <c r="E129">
        <f t="shared" si="3"/>
        <v>5.5177487585056362E-4</v>
      </c>
      <c r="F129">
        <f t="shared" si="4"/>
        <v>1.1299435028248705E-2</v>
      </c>
      <c r="G129">
        <f t="shared" si="5"/>
        <v>9.2396459600416012E-3</v>
      </c>
    </row>
    <row r="130" spans="1:7">
      <c r="A130" s="1">
        <v>45491.705555555556</v>
      </c>
      <c r="B130" s="2">
        <v>54.4</v>
      </c>
      <c r="C130" s="2">
        <v>14.32</v>
      </c>
      <c r="E130">
        <f t="shared" si="3"/>
        <v>5.3860294117647145E-2</v>
      </c>
      <c r="F130">
        <f t="shared" si="4"/>
        <v>-1.3268156424581012E-2</v>
      </c>
      <c r="G130">
        <f t="shared" si="5"/>
        <v>-4.0298887816298673E-4</v>
      </c>
    </row>
    <row r="131" spans="1:7">
      <c r="A131" s="1">
        <v>45492.705555555556</v>
      </c>
      <c r="B131" s="2">
        <v>57.33</v>
      </c>
      <c r="C131" s="2">
        <v>14.13</v>
      </c>
      <c r="E131">
        <f t="shared" ref="E131:E194" si="6">(B132/B131)-1</f>
        <v>-3.1397174254317317E-3</v>
      </c>
      <c r="F131">
        <f t="shared" ref="F131:F194" si="7">(C132/C131)-1</f>
        <v>-5.6617126680821306E-3</v>
      </c>
      <c r="G131">
        <f t="shared" ref="G131:G194" si="8">$J$5*E131+$J$6*F131</f>
        <v>-5.178372279828182E-3</v>
      </c>
    </row>
    <row r="132" spans="1:7">
      <c r="A132" s="1">
        <v>45495.705555555556</v>
      </c>
      <c r="B132" s="2">
        <v>57.15</v>
      </c>
      <c r="C132" s="2">
        <v>14.05</v>
      </c>
      <c r="E132">
        <f t="shared" si="6"/>
        <v>-1.5048118985126813E-2</v>
      </c>
      <c r="F132">
        <f t="shared" si="7"/>
        <v>5.693950177936058E-3</v>
      </c>
      <c r="G132">
        <f t="shared" si="8"/>
        <v>1.7187326228350593E-3</v>
      </c>
    </row>
    <row r="133" spans="1:7">
      <c r="A133" s="1">
        <v>45496.705555555556</v>
      </c>
      <c r="B133" s="2">
        <v>56.29</v>
      </c>
      <c r="C133" s="2">
        <v>14.13</v>
      </c>
      <c r="E133">
        <f t="shared" si="6"/>
        <v>7.4613608100906337E-3</v>
      </c>
      <c r="F133">
        <f t="shared" si="7"/>
        <v>8.4925690021231404E-3</v>
      </c>
      <c r="G133">
        <f t="shared" si="8"/>
        <v>8.2949379521201107E-3</v>
      </c>
    </row>
    <row r="134" spans="1:7">
      <c r="A134" s="1">
        <v>45497.705555555556</v>
      </c>
      <c r="B134" s="2">
        <v>56.71</v>
      </c>
      <c r="C134" s="2">
        <v>14.25</v>
      </c>
      <c r="E134">
        <f t="shared" si="6"/>
        <v>-3.1211426556162936E-2</v>
      </c>
      <c r="F134">
        <f t="shared" si="7"/>
        <v>-1.3333333333333308E-2</v>
      </c>
      <c r="G134">
        <f t="shared" si="8"/>
        <v>-1.6759669899488606E-2</v>
      </c>
    </row>
    <row r="135" spans="1:7">
      <c r="A135" s="1">
        <v>45498.705555555556</v>
      </c>
      <c r="B135" s="2">
        <v>54.94</v>
      </c>
      <c r="C135" s="2">
        <v>14.06</v>
      </c>
      <c r="E135">
        <f t="shared" si="6"/>
        <v>4.6596286858391123E-2</v>
      </c>
      <c r="F135">
        <f t="shared" si="7"/>
        <v>8.5348506401137225E-3</v>
      </c>
      <c r="G135">
        <f t="shared" si="8"/>
        <v>1.5829324891346586E-2</v>
      </c>
    </row>
    <row r="136" spans="1:7">
      <c r="A136" s="1">
        <v>45499.705555555556</v>
      </c>
      <c r="B136" s="2">
        <v>57.5</v>
      </c>
      <c r="C136" s="2">
        <v>14.18</v>
      </c>
      <c r="E136">
        <f t="shared" si="6"/>
        <v>-1.7391304347826875E-3</v>
      </c>
      <c r="F136">
        <f t="shared" si="7"/>
        <v>-6.3469675599435726E-3</v>
      </c>
      <c r="G136">
        <f t="shared" si="8"/>
        <v>-5.4638755749064887E-3</v>
      </c>
    </row>
    <row r="137" spans="1:7">
      <c r="A137" s="1">
        <v>45502.705555555556</v>
      </c>
      <c r="B137" s="2">
        <v>57.4</v>
      </c>
      <c r="C137" s="2">
        <v>14.09</v>
      </c>
      <c r="E137">
        <f t="shared" si="6"/>
        <v>-2.6306620209059162E-2</v>
      </c>
      <c r="F137">
        <f t="shared" si="7"/>
        <v>9.2264017033356627E-3</v>
      </c>
      <c r="G137">
        <f t="shared" si="8"/>
        <v>2.4164980538251947E-3</v>
      </c>
    </row>
    <row r="138" spans="1:7">
      <c r="A138" s="1">
        <v>45503.705555555556</v>
      </c>
      <c r="B138" s="2">
        <v>55.89</v>
      </c>
      <c r="C138" s="2">
        <v>14.22</v>
      </c>
      <c r="E138">
        <f t="shared" si="6"/>
        <v>2.1470746108427363E-3</v>
      </c>
      <c r="F138">
        <f t="shared" si="7"/>
        <v>2.3909985935302469E-2</v>
      </c>
      <c r="G138">
        <f t="shared" si="8"/>
        <v>1.9739123979969759E-2</v>
      </c>
    </row>
    <row r="139" spans="1:7">
      <c r="A139" s="1">
        <v>45504.705555555556</v>
      </c>
      <c r="B139" s="2">
        <v>56.01</v>
      </c>
      <c r="C139" s="2">
        <v>14.56</v>
      </c>
      <c r="E139">
        <f t="shared" si="6"/>
        <v>-1.1783610069630357E-2</v>
      </c>
      <c r="F139">
        <f t="shared" si="7"/>
        <v>1.3049450549450503E-2</v>
      </c>
      <c r="G139">
        <f t="shared" si="8"/>
        <v>8.2901944818036567E-3</v>
      </c>
    </row>
    <row r="140" spans="1:7">
      <c r="A140" s="1">
        <v>45505.705555555556</v>
      </c>
      <c r="B140" s="2">
        <v>55.35</v>
      </c>
      <c r="C140" s="2">
        <v>14.75</v>
      </c>
      <c r="E140">
        <f t="shared" si="6"/>
        <v>-1.8970189701897122E-2</v>
      </c>
      <c r="F140">
        <f t="shared" si="7"/>
        <v>-8.1355932203389658E-3</v>
      </c>
      <c r="G140">
        <f t="shared" si="8"/>
        <v>-1.0212043636029587E-2</v>
      </c>
    </row>
    <row r="141" spans="1:7">
      <c r="A141" s="1">
        <v>45506.705555555556</v>
      </c>
      <c r="B141" s="2">
        <v>54.3</v>
      </c>
      <c r="C141" s="2">
        <v>14.63</v>
      </c>
      <c r="E141">
        <f t="shared" si="6"/>
        <v>-0.1593001841620626</v>
      </c>
      <c r="F141">
        <f t="shared" si="7"/>
        <v>-7.5187969924812581E-3</v>
      </c>
      <c r="G141">
        <f t="shared" si="8"/>
        <v>-3.6607699843531523E-2</v>
      </c>
    </row>
    <row r="142" spans="1:7">
      <c r="A142" s="1">
        <v>45509.705555555556</v>
      </c>
      <c r="B142" s="2">
        <v>45.65</v>
      </c>
      <c r="C142" s="2">
        <v>14.52</v>
      </c>
      <c r="E142">
        <f t="shared" si="6"/>
        <v>4.0525739320920184E-2</v>
      </c>
      <c r="F142">
        <f t="shared" si="7"/>
        <v>-2.1349862258953078E-2</v>
      </c>
      <c r="G142">
        <f t="shared" si="8"/>
        <v>-9.4914032161703688E-3</v>
      </c>
    </row>
    <row r="143" spans="1:7">
      <c r="A143" s="1">
        <v>45510.705555555556</v>
      </c>
      <c r="B143" s="2">
        <v>47.5</v>
      </c>
      <c r="C143" s="2">
        <v>14.21</v>
      </c>
      <c r="E143">
        <f t="shared" si="6"/>
        <v>-4.4421052631578917E-2</v>
      </c>
      <c r="F143">
        <f t="shared" si="7"/>
        <v>-7.7410274454610128E-3</v>
      </c>
      <c r="G143">
        <f t="shared" si="8"/>
        <v>-1.4770754272380508E-2</v>
      </c>
    </row>
    <row r="144" spans="1:7">
      <c r="A144" s="1">
        <v>45511.705555555556</v>
      </c>
      <c r="B144" s="2">
        <v>45.39</v>
      </c>
      <c r="C144" s="2">
        <v>14.1</v>
      </c>
      <c r="E144">
        <f t="shared" si="6"/>
        <v>8.4600132187706567E-2</v>
      </c>
      <c r="F144">
        <f t="shared" si="7"/>
        <v>7.0921985815601829E-3</v>
      </c>
      <c r="G144">
        <f t="shared" si="8"/>
        <v>2.1946594057178137E-2</v>
      </c>
    </row>
    <row r="145" spans="1:7">
      <c r="A145" s="1">
        <v>45512.705555555556</v>
      </c>
      <c r="B145" s="2">
        <v>49.23</v>
      </c>
      <c r="C145" s="2">
        <v>14.2</v>
      </c>
      <c r="E145">
        <f t="shared" si="6"/>
        <v>2.2344099126549999E-3</v>
      </c>
      <c r="F145">
        <f t="shared" si="7"/>
        <v>-8.4507042253521014E-3</v>
      </c>
      <c r="G145">
        <f t="shared" si="8"/>
        <v>-6.4029021008030406E-3</v>
      </c>
    </row>
    <row r="146" spans="1:7">
      <c r="A146" s="1">
        <v>45513.705555555556</v>
      </c>
      <c r="B146" s="2">
        <v>49.34</v>
      </c>
      <c r="C146" s="2">
        <v>14.08</v>
      </c>
      <c r="E146">
        <f t="shared" si="6"/>
        <v>-2.1686258613700882E-2</v>
      </c>
      <c r="F146">
        <f t="shared" si="7"/>
        <v>1.4204545454545414E-2</v>
      </c>
      <c r="G146">
        <f t="shared" si="8"/>
        <v>7.3260728548660116E-3</v>
      </c>
    </row>
    <row r="147" spans="1:7">
      <c r="A147" s="1">
        <v>45516.705555555556</v>
      </c>
      <c r="B147" s="2">
        <v>48.27</v>
      </c>
      <c r="C147" s="2">
        <v>14.28</v>
      </c>
      <c r="E147">
        <f t="shared" si="6"/>
        <v>1.5123264967888961E-2</v>
      </c>
      <c r="F147">
        <f t="shared" si="7"/>
        <v>-1.0504201680672121E-2</v>
      </c>
      <c r="G147">
        <f t="shared" si="8"/>
        <v>-5.5926976974753888E-3</v>
      </c>
    </row>
    <row r="148" spans="1:7">
      <c r="A148" s="1">
        <v>45517.705555555556</v>
      </c>
      <c r="B148" s="2">
        <v>49</v>
      </c>
      <c r="C148" s="2">
        <v>14.13</v>
      </c>
      <c r="E148">
        <f t="shared" si="6"/>
        <v>-2.3469387755101989E-2</v>
      </c>
      <c r="F148">
        <f t="shared" si="7"/>
        <v>-5.6617126680821306E-3</v>
      </c>
      <c r="G148">
        <f t="shared" si="8"/>
        <v>-9.0745535985094859E-3</v>
      </c>
    </row>
    <row r="149" spans="1:7">
      <c r="A149" s="1">
        <v>45518.705555555556</v>
      </c>
      <c r="B149" s="2">
        <v>47.85</v>
      </c>
      <c r="C149" s="2">
        <v>14.05</v>
      </c>
      <c r="E149">
        <f t="shared" si="6"/>
        <v>-2.4451410658307249E-2</v>
      </c>
      <c r="F149">
        <f t="shared" si="7"/>
        <v>7.1174377224199059E-3</v>
      </c>
      <c r="G149">
        <f t="shared" si="8"/>
        <v>1.0672679302535472E-3</v>
      </c>
    </row>
    <row r="150" spans="1:7">
      <c r="A150" s="1">
        <v>45519.705555555556</v>
      </c>
      <c r="B150" s="2">
        <v>46.68</v>
      </c>
      <c r="C150" s="2">
        <v>14.15</v>
      </c>
      <c r="E150">
        <f t="shared" si="6"/>
        <v>2.8706083976006935E-2</v>
      </c>
      <c r="F150">
        <f t="shared" si="7"/>
        <v>1.9787985865724389E-2</v>
      </c>
      <c r="G150">
        <f t="shared" si="8"/>
        <v>2.1497139368560039E-2</v>
      </c>
    </row>
    <row r="151" spans="1:7">
      <c r="A151" s="1">
        <v>45520.705555555556</v>
      </c>
      <c r="B151" s="2">
        <v>48.02</v>
      </c>
      <c r="C151" s="2">
        <v>14.43</v>
      </c>
      <c r="E151">
        <f t="shared" si="6"/>
        <v>-1.6867971678467319E-2</v>
      </c>
      <c r="F151">
        <f t="shared" si="7"/>
        <v>-1.2474012474012475E-2</v>
      </c>
      <c r="G151">
        <f t="shared" si="8"/>
        <v>-1.3316114755546246E-2</v>
      </c>
    </row>
    <row r="152" spans="1:7">
      <c r="A152" s="1">
        <v>45523.705555555556</v>
      </c>
      <c r="B152" s="2">
        <v>47.21</v>
      </c>
      <c r="C152" s="2">
        <v>14.25</v>
      </c>
      <c r="E152">
        <f t="shared" si="6"/>
        <v>1.8851938148697345E-2</v>
      </c>
      <c r="F152">
        <f t="shared" si="7"/>
        <v>1.5438596491228029E-2</v>
      </c>
      <c r="G152">
        <f t="shared" si="8"/>
        <v>1.6092763419882024E-2</v>
      </c>
    </row>
    <row r="153" spans="1:7">
      <c r="A153" s="1">
        <v>45524.705555555556</v>
      </c>
      <c r="B153" s="2">
        <v>48.1</v>
      </c>
      <c r="C153" s="2">
        <v>14.47</v>
      </c>
      <c r="E153">
        <f t="shared" si="6"/>
        <v>2.9106029106028997E-2</v>
      </c>
      <c r="F153">
        <f t="shared" si="7"/>
        <v>6.9108500345538282E-4</v>
      </c>
      <c r="G153">
        <f t="shared" si="8"/>
        <v>6.1368090407136157E-3</v>
      </c>
    </row>
    <row r="154" spans="1:7">
      <c r="A154" s="1">
        <v>45525.705555555556</v>
      </c>
      <c r="B154" s="2">
        <v>49.5</v>
      </c>
      <c r="C154" s="2">
        <v>14.48</v>
      </c>
      <c r="E154">
        <f t="shared" si="6"/>
        <v>-1.0101010101010055E-2</v>
      </c>
      <c r="F154">
        <f t="shared" si="7"/>
        <v>4.8342541436463549E-3</v>
      </c>
      <c r="G154">
        <f t="shared" si="8"/>
        <v>1.9719107511579543E-3</v>
      </c>
    </row>
    <row r="155" spans="1:7">
      <c r="A155" s="1">
        <v>45526.705555555556</v>
      </c>
      <c r="B155" s="2">
        <v>49</v>
      </c>
      <c r="C155" s="2">
        <v>14.55</v>
      </c>
      <c r="E155">
        <f t="shared" si="6"/>
        <v>3.8775510204081653E-2</v>
      </c>
      <c r="F155">
        <f t="shared" si="7"/>
        <v>-6.1855670103092564E-3</v>
      </c>
      <c r="G155">
        <f t="shared" si="8"/>
        <v>2.4312234378287608E-3</v>
      </c>
    </row>
    <row r="156" spans="1:7">
      <c r="A156" s="1">
        <v>45527.705555555556</v>
      </c>
      <c r="B156" s="2">
        <v>50.9</v>
      </c>
      <c r="C156" s="2">
        <v>14.46</v>
      </c>
      <c r="E156">
        <f t="shared" si="6"/>
        <v>-7.6620825147347693E-3</v>
      </c>
      <c r="F156">
        <f t="shared" si="7"/>
        <v>6.2240663900414717E-3</v>
      </c>
      <c r="G156">
        <f t="shared" si="8"/>
        <v>3.5627859524411049E-3</v>
      </c>
    </row>
    <row r="157" spans="1:7">
      <c r="A157" s="1">
        <v>45530.705555555556</v>
      </c>
      <c r="B157" s="2">
        <v>50.51</v>
      </c>
      <c r="C157" s="2">
        <v>14.55</v>
      </c>
      <c r="E157">
        <f t="shared" si="6"/>
        <v>-2.1183923975450436E-2</v>
      </c>
      <c r="F157">
        <f t="shared" si="7"/>
        <v>4.8109965635738661E-3</v>
      </c>
      <c r="G157">
        <f t="shared" si="8"/>
        <v>-1.7092995773014107E-4</v>
      </c>
    </row>
    <row r="158" spans="1:7">
      <c r="A158" s="1">
        <v>45531.705555555556</v>
      </c>
      <c r="B158" s="2">
        <v>49.44</v>
      </c>
      <c r="C158" s="2">
        <v>14.62</v>
      </c>
      <c r="E158">
        <f t="shared" si="6"/>
        <v>-3.1957928802588964E-2</v>
      </c>
      <c r="F158">
        <f t="shared" si="7"/>
        <v>0</v>
      </c>
      <c r="G158">
        <f t="shared" si="8"/>
        <v>-6.1247370550161747E-3</v>
      </c>
    </row>
    <row r="159" spans="1:7">
      <c r="A159" s="1">
        <v>45532.705555555556</v>
      </c>
      <c r="B159" s="2">
        <v>47.86</v>
      </c>
      <c r="C159" s="2">
        <v>14.62</v>
      </c>
      <c r="E159">
        <f t="shared" si="6"/>
        <v>1.3372335979941585E-2</v>
      </c>
      <c r="F159">
        <f t="shared" si="7"/>
        <v>2.188782489740082E-2</v>
      </c>
      <c r="G159">
        <f t="shared" si="8"/>
        <v>2.0255831446369756E-2</v>
      </c>
    </row>
    <row r="160" spans="1:7">
      <c r="A160" s="1">
        <v>45533.705555555556</v>
      </c>
      <c r="B160" s="2">
        <v>48.5</v>
      </c>
      <c r="C160" s="2">
        <v>14.94</v>
      </c>
      <c r="E160">
        <f t="shared" si="6"/>
        <v>-3.0927835051546282E-3</v>
      </c>
      <c r="F160">
        <f t="shared" si="7"/>
        <v>-8.0321285140562138E-3</v>
      </c>
      <c r="G160">
        <f t="shared" si="8"/>
        <v>-7.0855030431002247E-3</v>
      </c>
    </row>
    <row r="161" spans="1:7">
      <c r="A161" s="1">
        <v>45534.705555555556</v>
      </c>
      <c r="B161" s="2">
        <v>48.35</v>
      </c>
      <c r="C161" s="2">
        <v>14.82</v>
      </c>
      <c r="E161">
        <f t="shared" si="6"/>
        <v>-7.2388831437435464E-3</v>
      </c>
      <c r="F161">
        <f t="shared" si="7"/>
        <v>5.3981106612686069E-3</v>
      </c>
      <c r="G161">
        <f t="shared" si="8"/>
        <v>2.9762307985380277E-3</v>
      </c>
    </row>
    <row r="162" spans="1:7">
      <c r="A162" s="1">
        <v>45537.705555555556</v>
      </c>
      <c r="B162" s="2">
        <v>48</v>
      </c>
      <c r="C162" s="2">
        <v>14.9</v>
      </c>
      <c r="E162">
        <f t="shared" si="6"/>
        <v>-8.9583333333332904E-3</v>
      </c>
      <c r="F162">
        <f t="shared" si="7"/>
        <v>-8.7248322147651658E-3</v>
      </c>
      <c r="G162">
        <f t="shared" si="8"/>
        <v>-8.769582704138747E-3</v>
      </c>
    </row>
    <row r="163" spans="1:7">
      <c r="A163" s="1">
        <v>45538.705555555556</v>
      </c>
      <c r="B163" s="2">
        <v>47.57</v>
      </c>
      <c r="C163" s="2">
        <v>14.77</v>
      </c>
      <c r="E163">
        <f t="shared" si="6"/>
        <v>-1.030060962791679E-2</v>
      </c>
      <c r="F163">
        <f t="shared" si="7"/>
        <v>6.7704807041302217E-4</v>
      </c>
      <c r="G163">
        <f t="shared" si="8"/>
        <v>-1.4268200274718862E-3</v>
      </c>
    </row>
    <row r="164" spans="1:7">
      <c r="A164" s="1">
        <v>45539.705555555556</v>
      </c>
      <c r="B164" s="2">
        <v>47.08</v>
      </c>
      <c r="C164" s="2">
        <v>14.78</v>
      </c>
      <c r="E164">
        <f t="shared" si="6"/>
        <v>-3.8870008496176722E-2</v>
      </c>
      <c r="F164">
        <f t="shared" si="7"/>
        <v>-3.3829499323408951E-3</v>
      </c>
      <c r="G164">
        <f t="shared" si="8"/>
        <v>-1.0184044706100031E-2</v>
      </c>
    </row>
    <row r="165" spans="1:7">
      <c r="A165" s="1">
        <v>45540.705555555556</v>
      </c>
      <c r="B165" s="2">
        <v>45.25</v>
      </c>
      <c r="C165" s="2">
        <v>14.73</v>
      </c>
      <c r="E165">
        <f t="shared" si="6"/>
        <v>-3.5138121546961387E-2</v>
      </c>
      <c r="F165">
        <f t="shared" si="7"/>
        <v>-3.3944331296673624E-3</v>
      </c>
      <c r="G165">
        <f t="shared" si="8"/>
        <v>-9.4781110148417624E-3</v>
      </c>
    </row>
    <row r="166" spans="1:7">
      <c r="A166" s="1">
        <v>45541.705555555556</v>
      </c>
      <c r="B166" s="2">
        <v>43.66</v>
      </c>
      <c r="C166" s="2">
        <v>14.68</v>
      </c>
      <c r="E166">
        <f t="shared" si="6"/>
        <v>5.6115437471369711E-2</v>
      </c>
      <c r="F166">
        <f t="shared" si="7"/>
        <v>0</v>
      </c>
      <c r="G166">
        <f t="shared" si="8"/>
        <v>1.0754523591388005E-2</v>
      </c>
    </row>
    <row r="167" spans="1:7">
      <c r="A167" s="1">
        <v>45544.705555555556</v>
      </c>
      <c r="B167" s="2">
        <v>46.11</v>
      </c>
      <c r="C167" s="2">
        <v>14.68</v>
      </c>
      <c r="E167">
        <f t="shared" si="6"/>
        <v>2.8627195836044228E-2</v>
      </c>
      <c r="F167">
        <f t="shared" si="7"/>
        <v>1.7711171662125436E-2</v>
      </c>
      <c r="G167">
        <f t="shared" si="8"/>
        <v>1.9803227695056973E-2</v>
      </c>
    </row>
    <row r="168" spans="1:7">
      <c r="A168" s="1">
        <v>45545.705555555556</v>
      </c>
      <c r="B168" s="2">
        <v>47.43</v>
      </c>
      <c r="C168" s="2">
        <v>14.94</v>
      </c>
      <c r="E168">
        <f t="shared" si="6"/>
        <v>-1.2861058401855363E-2</v>
      </c>
      <c r="F168">
        <f t="shared" si="7"/>
        <v>-1.3386880856760541E-3</v>
      </c>
      <c r="G168">
        <f t="shared" si="8"/>
        <v>-3.5469503567718188E-3</v>
      </c>
    </row>
    <row r="169" spans="1:7">
      <c r="A169" s="1">
        <v>45546.705555555556</v>
      </c>
      <c r="B169" s="2">
        <v>46.82</v>
      </c>
      <c r="C169" s="2">
        <v>14.92</v>
      </c>
      <c r="E169">
        <f t="shared" si="6"/>
        <v>5.9803502776591966E-3</v>
      </c>
      <c r="F169">
        <f t="shared" si="7"/>
        <v>1.2064343163538771E-2</v>
      </c>
      <c r="G169">
        <f t="shared" si="8"/>
        <v>1.089834592695995E-2</v>
      </c>
    </row>
    <row r="170" spans="1:7">
      <c r="A170" s="1">
        <v>45547.705555555556</v>
      </c>
      <c r="B170" s="2">
        <v>47.1</v>
      </c>
      <c r="C170" s="2">
        <v>15.1</v>
      </c>
      <c r="E170">
        <f t="shared" si="6"/>
        <v>1.4437367303609339E-2</v>
      </c>
      <c r="F170">
        <f t="shared" si="7"/>
        <v>6.6225165562916466E-4</v>
      </c>
      <c r="G170">
        <f t="shared" si="8"/>
        <v>3.3022525695645647E-3</v>
      </c>
    </row>
    <row r="171" spans="1:7">
      <c r="A171" s="1">
        <v>45548.705555555556</v>
      </c>
      <c r="B171" s="2">
        <v>47.78</v>
      </c>
      <c r="C171" s="2">
        <v>15.11</v>
      </c>
      <c r="E171">
        <f t="shared" si="6"/>
        <v>-3.871912934282129E-2</v>
      </c>
      <c r="F171">
        <f t="shared" si="7"/>
        <v>-1.1250827266710783E-2</v>
      </c>
      <c r="G171">
        <f t="shared" si="8"/>
        <v>-1.6515127359597363E-2</v>
      </c>
    </row>
    <row r="172" spans="1:7">
      <c r="A172" s="1">
        <v>45551.705555555556</v>
      </c>
      <c r="B172" s="2">
        <v>45.93</v>
      </c>
      <c r="C172" s="2">
        <v>14.94</v>
      </c>
      <c r="E172">
        <f t="shared" si="6"/>
        <v>2.5255824080121947E-2</v>
      </c>
      <c r="F172">
        <f t="shared" si="7"/>
        <v>-8.7014725568941298E-3</v>
      </c>
      <c r="G172">
        <f t="shared" si="8"/>
        <v>-2.1935566564099986E-3</v>
      </c>
    </row>
    <row r="173" spans="1:7">
      <c r="A173" s="1">
        <v>45552.705555555556</v>
      </c>
      <c r="B173" s="2">
        <v>47.09</v>
      </c>
      <c r="C173" s="2">
        <v>14.81</v>
      </c>
      <c r="E173">
        <f t="shared" si="6"/>
        <v>-1.2529199405393987E-2</v>
      </c>
      <c r="F173">
        <f t="shared" si="7"/>
        <v>-1.3504388926401156E-2</v>
      </c>
      <c r="G173">
        <f t="shared" si="8"/>
        <v>-1.3317493854700132E-2</v>
      </c>
    </row>
    <row r="174" spans="1:7">
      <c r="A174" s="1">
        <v>45553.705555555556</v>
      </c>
      <c r="B174" s="2">
        <v>46.5</v>
      </c>
      <c r="C174" s="2">
        <v>14.61</v>
      </c>
      <c r="E174">
        <f t="shared" si="6"/>
        <v>4.5161290322580649E-2</v>
      </c>
      <c r="F174">
        <f t="shared" si="7"/>
        <v>1.0266940451745477E-2</v>
      </c>
      <c r="G174">
        <f t="shared" si="8"/>
        <v>1.6954442604491037E-2</v>
      </c>
    </row>
    <row r="175" spans="1:7">
      <c r="A175" s="1">
        <v>45554.705555555556</v>
      </c>
      <c r="B175" s="2">
        <v>48.6</v>
      </c>
      <c r="C175" s="2">
        <v>14.76</v>
      </c>
      <c r="E175">
        <f t="shared" si="6"/>
        <v>1.790123456790127E-2</v>
      </c>
      <c r="F175">
        <f t="shared" si="7"/>
        <v>2.9810298102981081E-2</v>
      </c>
      <c r="G175">
        <f t="shared" si="8"/>
        <v>2.7527926076483036E-2</v>
      </c>
    </row>
    <row r="176" spans="1:7">
      <c r="A176" s="1">
        <v>45555.705555555556</v>
      </c>
      <c r="B176" s="2">
        <v>49.47</v>
      </c>
      <c r="C176" s="2">
        <v>15.2</v>
      </c>
      <c r="E176">
        <f t="shared" si="6"/>
        <v>1.7990701435213197E-2</v>
      </c>
      <c r="F176">
        <f t="shared" si="7"/>
        <v>2.6315789473685403E-3</v>
      </c>
      <c r="G176">
        <f t="shared" si="8"/>
        <v>5.5751547721639687E-3</v>
      </c>
    </row>
    <row r="177" spans="1:7">
      <c r="A177" s="1">
        <v>45558.705555555556</v>
      </c>
      <c r="B177" s="2">
        <v>50.36</v>
      </c>
      <c r="C177" s="2">
        <v>15.24</v>
      </c>
      <c r="E177">
        <f t="shared" si="6"/>
        <v>-1.0127084988085788E-2</v>
      </c>
      <c r="F177">
        <f t="shared" si="7"/>
        <v>6.5616797900269752E-4</v>
      </c>
      <c r="G177">
        <f t="shared" si="8"/>
        <v>-1.4104424521398107E-3</v>
      </c>
    </row>
    <row r="178" spans="1:7">
      <c r="A178" s="1">
        <v>45559.705555555556</v>
      </c>
      <c r="B178" s="2">
        <v>49.85</v>
      </c>
      <c r="C178" s="2">
        <v>15.25</v>
      </c>
      <c r="E178">
        <f t="shared" si="6"/>
        <v>-7.0210631895687436E-3</v>
      </c>
      <c r="F178">
        <f t="shared" si="7"/>
        <v>2.6229508196720097E-3</v>
      </c>
      <c r="G178">
        <f t="shared" si="8"/>
        <v>7.746755348010195E-4</v>
      </c>
    </row>
    <row r="179" spans="1:7">
      <c r="A179" s="1">
        <v>45560.705555555556</v>
      </c>
      <c r="B179" s="2">
        <v>49.5</v>
      </c>
      <c r="C179" s="2">
        <v>15.29</v>
      </c>
      <c r="E179">
        <f t="shared" si="6"/>
        <v>1.5959595959595951E-2</v>
      </c>
      <c r="F179">
        <f t="shared" si="7"/>
        <v>-1.3080444735120711E-3</v>
      </c>
      <c r="G179">
        <f t="shared" si="8"/>
        <v>2.0012988154930814E-3</v>
      </c>
    </row>
    <row r="180" spans="1:7">
      <c r="A180" s="1">
        <v>45561.705555555556</v>
      </c>
      <c r="B180" s="2">
        <v>50.29</v>
      </c>
      <c r="C180" s="2">
        <v>15.27</v>
      </c>
      <c r="E180">
        <f t="shared" si="6"/>
        <v>1.8293895406641614E-2</v>
      </c>
      <c r="F180">
        <f t="shared" si="7"/>
        <v>-9.1683038637850878E-3</v>
      </c>
      <c r="G180">
        <f t="shared" si="8"/>
        <v>-3.9051733736078106E-3</v>
      </c>
    </row>
    <row r="181" spans="1:7">
      <c r="A181" s="1">
        <v>45562.705555555556</v>
      </c>
      <c r="B181" s="2">
        <v>51.21</v>
      </c>
      <c r="C181" s="2">
        <v>15.13</v>
      </c>
      <c r="E181">
        <f t="shared" si="6"/>
        <v>-3.0462800234329235E-2</v>
      </c>
      <c r="F181">
        <f t="shared" si="7"/>
        <v>-5.2875082617316327E-3</v>
      </c>
      <c r="G181">
        <f t="shared" si="8"/>
        <v>-1.0112352968279961E-2</v>
      </c>
    </row>
    <row r="182" spans="1:7">
      <c r="A182" s="1">
        <v>45565.705555555556</v>
      </c>
      <c r="B182" s="2">
        <v>49.65</v>
      </c>
      <c r="C182" s="2">
        <v>15.05</v>
      </c>
      <c r="E182">
        <f t="shared" si="6"/>
        <v>-2.4370594159113801E-2</v>
      </c>
      <c r="F182">
        <f t="shared" si="7"/>
        <v>1.3289036544850363E-2</v>
      </c>
      <c r="G182">
        <f t="shared" si="8"/>
        <v>6.0715683204356323E-3</v>
      </c>
    </row>
    <row r="183" spans="1:7">
      <c r="A183" s="1">
        <v>45566.705555555556</v>
      </c>
      <c r="B183" s="2">
        <v>48.44</v>
      </c>
      <c r="C183" s="2">
        <v>15.25</v>
      </c>
      <c r="E183">
        <f t="shared" si="6"/>
        <v>-2.9727497935590375E-2</v>
      </c>
      <c r="F183">
        <f t="shared" si="7"/>
        <v>-3.9344262295082366E-3</v>
      </c>
      <c r="G183">
        <f t="shared" si="8"/>
        <v>-8.8776684219788772E-3</v>
      </c>
    </row>
    <row r="184" spans="1:7">
      <c r="A184" s="1">
        <v>45567.705555555556</v>
      </c>
      <c r="B184" s="2">
        <v>47</v>
      </c>
      <c r="C184" s="2">
        <v>15.19</v>
      </c>
      <c r="E184">
        <f t="shared" si="6"/>
        <v>6.382978723404209E-3</v>
      </c>
      <c r="F184">
        <f t="shared" si="7"/>
        <v>9.2165898617511122E-3</v>
      </c>
      <c r="G184">
        <f t="shared" si="8"/>
        <v>8.6735282870869287E-3</v>
      </c>
    </row>
    <row r="185" spans="1:7">
      <c r="A185" s="1">
        <v>45568.705555555556</v>
      </c>
      <c r="B185" s="2">
        <v>47.3</v>
      </c>
      <c r="C185" s="2">
        <v>15.33</v>
      </c>
      <c r="E185">
        <f t="shared" si="6"/>
        <v>2.3890063424947261E-2</v>
      </c>
      <c r="F185">
        <f t="shared" si="7"/>
        <v>-8.4801043705153845E-3</v>
      </c>
      <c r="G185">
        <f t="shared" si="8"/>
        <v>-2.2763617125149691E-3</v>
      </c>
    </row>
    <row r="186" spans="1:7">
      <c r="A186" s="1">
        <v>45569.705555555556</v>
      </c>
      <c r="B186" s="2">
        <v>48.43</v>
      </c>
      <c r="C186" s="2">
        <v>15.2</v>
      </c>
      <c r="E186">
        <f t="shared" si="6"/>
        <v>1.7964071856287456E-2</v>
      </c>
      <c r="F186">
        <f t="shared" si="7"/>
        <v>1.3157894736843812E-3</v>
      </c>
      <c r="G186">
        <f t="shared" si="8"/>
        <v>4.5064327923102603E-3</v>
      </c>
    </row>
    <row r="187" spans="1:7">
      <c r="A187" s="1">
        <v>45572.705555555556</v>
      </c>
      <c r="B187" s="2">
        <v>49.3</v>
      </c>
      <c r="C187" s="2">
        <v>15.22</v>
      </c>
      <c r="E187">
        <f t="shared" si="6"/>
        <v>-4.2596348884380575E-3</v>
      </c>
      <c r="F187">
        <f t="shared" si="7"/>
        <v>0</v>
      </c>
      <c r="G187">
        <f t="shared" si="8"/>
        <v>-8.1635902636915361E-4</v>
      </c>
    </row>
    <row r="188" spans="1:7">
      <c r="A188" s="1">
        <v>45573.705555555556</v>
      </c>
      <c r="B188" s="2">
        <v>49.09</v>
      </c>
      <c r="C188" s="2">
        <v>15.22</v>
      </c>
      <c r="E188">
        <f t="shared" si="6"/>
        <v>-7.740884090446154E-3</v>
      </c>
      <c r="F188">
        <f t="shared" si="7"/>
        <v>5.9132720105123937E-3</v>
      </c>
      <c r="G188">
        <f t="shared" si="8"/>
        <v>3.2964529937636886E-3</v>
      </c>
    </row>
    <row r="189" spans="1:7">
      <c r="A189" s="1">
        <v>45574.705555555556</v>
      </c>
      <c r="B189" s="2">
        <v>48.71</v>
      </c>
      <c r="C189" s="2">
        <v>15.31</v>
      </c>
      <c r="E189">
        <f t="shared" si="6"/>
        <v>-2.2582631903100059E-2</v>
      </c>
      <c r="F189">
        <f t="shared" si="7"/>
        <v>7.8380143696930027E-3</v>
      </c>
      <c r="G189">
        <f t="shared" si="8"/>
        <v>2.0078975115122126E-3</v>
      </c>
    </row>
    <row r="190" spans="1:7">
      <c r="A190" s="1">
        <v>45575.705555555556</v>
      </c>
      <c r="B190" s="2">
        <v>47.61</v>
      </c>
      <c r="C190" s="2">
        <v>15.43</v>
      </c>
      <c r="E190">
        <f t="shared" si="6"/>
        <v>5.0199537912203329E-2</v>
      </c>
      <c r="F190">
        <f t="shared" si="7"/>
        <v>1.3609850939727774E-2</v>
      </c>
      <c r="G190">
        <f t="shared" si="8"/>
        <v>2.0622264448002713E-2</v>
      </c>
    </row>
    <row r="191" spans="1:7">
      <c r="A191" s="1">
        <v>45576.705555555556</v>
      </c>
      <c r="B191" s="2">
        <v>50</v>
      </c>
      <c r="C191" s="2">
        <v>15.64</v>
      </c>
      <c r="E191">
        <f t="shared" si="6"/>
        <v>3.9000000000000146E-2</v>
      </c>
      <c r="F191">
        <f t="shared" si="7"/>
        <v>-5.1150895140664732E-3</v>
      </c>
      <c r="G191">
        <f t="shared" si="8"/>
        <v>3.3395673913043933E-3</v>
      </c>
    </row>
    <row r="192" spans="1:7">
      <c r="A192" s="1">
        <v>45579.705555555556</v>
      </c>
      <c r="B192" s="2">
        <v>51.95</v>
      </c>
      <c r="C192" s="2">
        <v>15.56</v>
      </c>
      <c r="E192">
        <f t="shared" si="6"/>
        <v>2.2906641000962402E-2</v>
      </c>
      <c r="F192">
        <f t="shared" si="7"/>
        <v>1.4781491002570535E-2</v>
      </c>
      <c r="G192">
        <f t="shared" si="8"/>
        <v>1.6338675999762336E-2</v>
      </c>
    </row>
    <row r="193" spans="1:7">
      <c r="A193" s="1">
        <v>45580.705555555556</v>
      </c>
      <c r="B193" s="2">
        <v>53.14</v>
      </c>
      <c r="C193" s="2">
        <v>15.79</v>
      </c>
      <c r="E193">
        <f t="shared" si="6"/>
        <v>1.3360933383515183E-2</v>
      </c>
      <c r="F193">
        <f t="shared" si="7"/>
        <v>6.966434452184922E-3</v>
      </c>
      <c r="G193">
        <f t="shared" si="8"/>
        <v>8.1919401723743665E-3</v>
      </c>
    </row>
    <row r="194" spans="1:7">
      <c r="A194" s="1">
        <v>45581.705555555556</v>
      </c>
      <c r="B194" s="2">
        <v>53.85</v>
      </c>
      <c r="C194" s="2">
        <v>15.9</v>
      </c>
      <c r="E194">
        <f t="shared" si="6"/>
        <v>-1.3927576601671321E-2</v>
      </c>
      <c r="F194">
        <f t="shared" si="7"/>
        <v>6.2893081761006275E-3</v>
      </c>
      <c r="G194">
        <f t="shared" si="8"/>
        <v>2.4147422084406338E-3</v>
      </c>
    </row>
    <row r="195" spans="1:7">
      <c r="A195" s="1">
        <v>45582.705555555556</v>
      </c>
      <c r="B195" s="2">
        <v>53.1</v>
      </c>
      <c r="C195" s="2">
        <v>16</v>
      </c>
      <c r="E195">
        <f t="shared" ref="E195:E258" si="9">(B196/B195)-1</f>
        <v>3.5781544256120457E-2</v>
      </c>
      <c r="F195">
        <f t="shared" ref="F195:F258" si="10">(C196/C195)-1</f>
        <v>1.6250000000000098E-2</v>
      </c>
      <c r="G195">
        <f t="shared" ref="G195:G258" si="11">$J$5*E195+$J$6*F195</f>
        <v>1.9993220456685563E-2</v>
      </c>
    </row>
    <row r="196" spans="1:7">
      <c r="A196" s="1">
        <v>45583.705555555556</v>
      </c>
      <c r="B196" s="2">
        <v>55</v>
      </c>
      <c r="C196" s="2">
        <v>16.260000000000002</v>
      </c>
      <c r="E196">
        <f t="shared" si="9"/>
        <v>-3.6363636363636598E-3</v>
      </c>
      <c r="F196">
        <f t="shared" si="10"/>
        <v>-6.1500615006160331E-4</v>
      </c>
      <c r="G196">
        <f t="shared" si="11"/>
        <v>-1.1940493123113924E-3</v>
      </c>
    </row>
    <row r="197" spans="1:7">
      <c r="A197" s="1">
        <v>45586.705555555556</v>
      </c>
      <c r="B197" s="2">
        <v>54.8</v>
      </c>
      <c r="C197" s="2">
        <v>16.25</v>
      </c>
      <c r="E197">
        <f t="shared" si="9"/>
        <v>-2.7372262773722733E-3</v>
      </c>
      <c r="F197">
        <f t="shared" si="10"/>
        <v>1.1692307692307669E-2</v>
      </c>
      <c r="G197">
        <f t="shared" si="11"/>
        <v>8.9268875070185067E-3</v>
      </c>
    </row>
    <row r="198" spans="1:7">
      <c r="A198" s="1">
        <v>45587.705555555556</v>
      </c>
      <c r="B198" s="2">
        <v>54.65</v>
      </c>
      <c r="C198" s="2">
        <v>16.440000000000001</v>
      </c>
      <c r="E198">
        <f t="shared" si="9"/>
        <v>-2.5434583714547099E-2</v>
      </c>
      <c r="F198">
        <f t="shared" si="10"/>
        <v>-1.2165450121654708E-2</v>
      </c>
      <c r="G198">
        <f t="shared" si="11"/>
        <v>-1.4708479574732536E-2</v>
      </c>
    </row>
    <row r="199" spans="1:7">
      <c r="A199" s="1">
        <v>45588.705555555556</v>
      </c>
      <c r="B199" s="2">
        <v>53.26</v>
      </c>
      <c r="C199" s="2">
        <v>16.239999999999998</v>
      </c>
      <c r="E199">
        <f t="shared" si="9"/>
        <v>2.0465640255351136E-2</v>
      </c>
      <c r="F199">
        <f t="shared" si="10"/>
        <v>1.847290640394128E-3</v>
      </c>
      <c r="G199">
        <f t="shared" si="11"/>
        <v>5.4154973441006386E-3</v>
      </c>
    </row>
    <row r="200" spans="1:7">
      <c r="A200" s="1">
        <v>45589.705555555556</v>
      </c>
      <c r="B200" s="2">
        <v>54.35</v>
      </c>
      <c r="C200" s="2">
        <v>16.27</v>
      </c>
      <c r="E200">
        <f t="shared" si="9"/>
        <v>-1.4167433302667898E-2</v>
      </c>
      <c r="F200">
        <f t="shared" si="10"/>
        <v>9.8340503995082429E-3</v>
      </c>
      <c r="G200">
        <f t="shared" si="11"/>
        <v>5.2341660479861855E-3</v>
      </c>
    </row>
    <row r="201" spans="1:7">
      <c r="A201" s="1">
        <v>45590.705555555556</v>
      </c>
      <c r="B201" s="2">
        <v>53.58</v>
      </c>
      <c r="C201" s="2">
        <v>16.43</v>
      </c>
      <c r="E201">
        <f t="shared" si="9"/>
        <v>3.5087719298245723E-2</v>
      </c>
      <c r="F201">
        <f t="shared" si="10"/>
        <v>-6.0864272671934394E-4</v>
      </c>
      <c r="G201">
        <f t="shared" si="11"/>
        <v>6.2325650553652114E-3</v>
      </c>
    </row>
    <row r="202" spans="1:7">
      <c r="A202" s="1">
        <v>45593.705555555556</v>
      </c>
      <c r="B202" s="2">
        <v>55.46</v>
      </c>
      <c r="C202" s="2">
        <v>16.420000000000002</v>
      </c>
      <c r="E202">
        <f t="shared" si="9"/>
        <v>4.2553191489361764E-2</v>
      </c>
      <c r="F202">
        <f t="shared" si="10"/>
        <v>0</v>
      </c>
      <c r="G202">
        <f t="shared" si="11"/>
        <v>8.1553191489361822E-3</v>
      </c>
    </row>
    <row r="203" spans="1:7">
      <c r="A203" s="1">
        <v>45594.705555555556</v>
      </c>
      <c r="B203" s="2">
        <v>57.82</v>
      </c>
      <c r="C203" s="2">
        <v>16.420000000000002</v>
      </c>
      <c r="E203">
        <f t="shared" si="9"/>
        <v>1.0377032168800149E-3</v>
      </c>
      <c r="F203">
        <f t="shared" si="10"/>
        <v>2.6796589524969328E-2</v>
      </c>
      <c r="G203">
        <f t="shared" si="11"/>
        <v>2.1859898964024013E-2</v>
      </c>
    </row>
    <row r="204" spans="1:7">
      <c r="A204" s="1">
        <v>45595.705555555556</v>
      </c>
      <c r="B204" s="2">
        <v>57.88</v>
      </c>
      <c r="C204" s="2">
        <v>16.86</v>
      </c>
      <c r="E204">
        <f t="shared" si="9"/>
        <v>-1.8486523842432656E-2</v>
      </c>
      <c r="F204">
        <f t="shared" si="10"/>
        <v>-1.1269276393831462E-2</v>
      </c>
      <c r="G204">
        <f t="shared" si="11"/>
        <v>-1.265246186735588E-2</v>
      </c>
    </row>
    <row r="205" spans="1:7">
      <c r="A205" s="1">
        <v>45596.705555555556</v>
      </c>
      <c r="B205" s="2">
        <v>56.81</v>
      </c>
      <c r="C205" s="2">
        <v>16.670000000000002</v>
      </c>
      <c r="E205">
        <f t="shared" si="9"/>
        <v>-3.8901601830663601E-2</v>
      </c>
      <c r="F205">
        <f t="shared" si="10"/>
        <v>-2.9994001199760145E-3</v>
      </c>
      <c r="G205">
        <f t="shared" si="11"/>
        <v>-9.8800570778292893E-3</v>
      </c>
    </row>
    <row r="206" spans="1:7">
      <c r="A206" s="1">
        <v>45600.705555555556</v>
      </c>
      <c r="B206" s="2">
        <v>54.6</v>
      </c>
      <c r="C206" s="2">
        <v>16.62</v>
      </c>
      <c r="E206">
        <f t="shared" si="9"/>
        <v>3.0219780219780112E-2</v>
      </c>
      <c r="F206">
        <f t="shared" si="10"/>
        <v>-4.2117930204572662E-3</v>
      </c>
      <c r="G206">
        <f t="shared" si="11"/>
        <v>2.3870179910342273E-3</v>
      </c>
    </row>
    <row r="207" spans="1:7">
      <c r="A207" s="1">
        <v>45601.705555555556</v>
      </c>
      <c r="B207" s="2">
        <v>56.25</v>
      </c>
      <c r="C207" s="2">
        <v>16.55</v>
      </c>
      <c r="E207">
        <f t="shared" si="9"/>
        <v>6.7733333333333423E-2</v>
      </c>
      <c r="F207">
        <f t="shared" si="10"/>
        <v>-4.3504531722054374E-2</v>
      </c>
      <c r="G207">
        <f t="shared" si="11"/>
        <v>-2.2185794884189303E-2</v>
      </c>
    </row>
    <row r="208" spans="1:7">
      <c r="A208" s="1">
        <v>45602.705555555556</v>
      </c>
      <c r="B208" s="2">
        <v>60.06</v>
      </c>
      <c r="C208" s="2">
        <v>15.83</v>
      </c>
      <c r="E208">
        <f t="shared" si="9"/>
        <v>2.6473526473526521E-2</v>
      </c>
      <c r="F208">
        <f t="shared" si="10"/>
        <v>2.0214782059380765E-2</v>
      </c>
      <c r="G208">
        <f t="shared" si="11"/>
        <v>2.1414270426351797E-2</v>
      </c>
    </row>
    <row r="209" spans="1:7">
      <c r="A209" s="1">
        <v>45603.705555555556</v>
      </c>
      <c r="B209" s="2">
        <v>61.65</v>
      </c>
      <c r="C209" s="2">
        <v>16.149999999999999</v>
      </c>
      <c r="E209">
        <f t="shared" si="9"/>
        <v>1.5085158150851541E-2</v>
      </c>
      <c r="F209">
        <f t="shared" si="10"/>
        <v>-1.2383900928791824E-3</v>
      </c>
      <c r="G209">
        <f t="shared" si="11"/>
        <v>1.8900179280318104E-3</v>
      </c>
    </row>
    <row r="210" spans="1:7">
      <c r="A210" s="1">
        <v>45604.705555555556</v>
      </c>
      <c r="B210" s="2">
        <v>62.58</v>
      </c>
      <c r="C210" s="2">
        <v>16.13</v>
      </c>
      <c r="E210">
        <f t="shared" si="9"/>
        <v>0.12655800575263676</v>
      </c>
      <c r="F210">
        <f t="shared" si="10"/>
        <v>-1.9218846869187733E-2</v>
      </c>
      <c r="G210">
        <f t="shared" si="11"/>
        <v>8.7192869357849267E-3</v>
      </c>
    </row>
    <row r="211" spans="1:7">
      <c r="A211" s="1">
        <v>45607.705555555556</v>
      </c>
      <c r="B211" s="2">
        <v>70.5</v>
      </c>
      <c r="C211" s="2">
        <v>15.82</v>
      </c>
      <c r="E211">
        <f t="shared" si="9"/>
        <v>1.5602836879432536E-2</v>
      </c>
      <c r="F211">
        <f t="shared" si="10"/>
        <v>-9.481668773704155E-3</v>
      </c>
      <c r="G211">
        <f t="shared" si="11"/>
        <v>-4.6742232652805093E-3</v>
      </c>
    </row>
    <row r="212" spans="1:7">
      <c r="A212" s="1">
        <v>45608.705555555556</v>
      </c>
      <c r="B212" s="2">
        <v>71.599999999999994</v>
      </c>
      <c r="C212" s="2">
        <v>15.67</v>
      </c>
      <c r="E212">
        <f t="shared" si="9"/>
        <v>-7.4022346368715075E-3</v>
      </c>
      <c r="F212">
        <f t="shared" si="10"/>
        <v>0</v>
      </c>
      <c r="G212">
        <f t="shared" si="11"/>
        <v>-1.4186382681564244E-3</v>
      </c>
    </row>
    <row r="213" spans="1:7">
      <c r="A213" s="1">
        <v>45609.705555555556</v>
      </c>
      <c r="B213" s="2">
        <v>71.069999999999993</v>
      </c>
      <c r="C213" s="2">
        <v>15.67</v>
      </c>
      <c r="E213">
        <f t="shared" si="9"/>
        <v>-5.4875474883915309E-3</v>
      </c>
      <c r="F213">
        <f t="shared" si="10"/>
        <v>-3.8289725590300305E-3</v>
      </c>
      <c r="G213">
        <f t="shared" si="11"/>
        <v>-4.1468384442421621E-3</v>
      </c>
    </row>
    <row r="214" spans="1:7">
      <c r="A214" s="1">
        <v>45610.705555555556</v>
      </c>
      <c r="B214" s="2">
        <v>70.680000000000007</v>
      </c>
      <c r="C214" s="2">
        <v>15.61</v>
      </c>
      <c r="E214">
        <f t="shared" si="9"/>
        <v>5.0933786078098287E-2</v>
      </c>
      <c r="F214">
        <f t="shared" si="10"/>
        <v>9.6092248558616866E-3</v>
      </c>
      <c r="G214">
        <f t="shared" si="11"/>
        <v>1.752907701410333E-2</v>
      </c>
    </row>
    <row r="215" spans="1:7">
      <c r="A215" s="1">
        <v>45614.705555555556</v>
      </c>
      <c r="B215" s="2">
        <v>74.28</v>
      </c>
      <c r="C215" s="2">
        <v>15.76</v>
      </c>
      <c r="E215">
        <f t="shared" si="9"/>
        <v>1.8443726440495523E-2</v>
      </c>
      <c r="F215">
        <f t="shared" si="10"/>
        <v>1.2690355329949332E-2</v>
      </c>
      <c r="G215">
        <f t="shared" si="11"/>
        <v>1.379298890328551E-2</v>
      </c>
    </row>
    <row r="216" spans="1:7">
      <c r="A216" s="1">
        <v>45615.705555555556</v>
      </c>
      <c r="B216" s="2">
        <v>75.650000000000006</v>
      </c>
      <c r="C216" s="2">
        <v>15.96</v>
      </c>
      <c r="E216">
        <f t="shared" si="9"/>
        <v>6.6886979510905276E-2</v>
      </c>
      <c r="F216">
        <f t="shared" si="10"/>
        <v>2.130325814536338E-2</v>
      </c>
      <c r="G216">
        <f t="shared" si="11"/>
        <v>3.0039378345069482E-2</v>
      </c>
    </row>
    <row r="217" spans="1:7">
      <c r="A217" s="1">
        <v>45617.705555555556</v>
      </c>
      <c r="B217" s="2">
        <v>80.709999999999994</v>
      </c>
      <c r="C217" s="2">
        <v>16.3</v>
      </c>
      <c r="E217">
        <f t="shared" si="9"/>
        <v>1.0531532647751307E-2</v>
      </c>
      <c r="F217">
        <f t="shared" si="10"/>
        <v>1.104294478527601E-2</v>
      </c>
      <c r="G217">
        <f t="shared" si="11"/>
        <v>1.0944932649119402E-2</v>
      </c>
    </row>
    <row r="218" spans="1:7">
      <c r="A218" s="1">
        <v>45618.705555555556</v>
      </c>
      <c r="B218" s="2">
        <v>81.56</v>
      </c>
      <c r="C218" s="2">
        <v>16.48</v>
      </c>
      <c r="E218">
        <f t="shared" si="9"/>
        <v>-2.1701814615007309E-2</v>
      </c>
      <c r="F218">
        <f t="shared" si="10"/>
        <v>-3.033980582524276E-2</v>
      </c>
      <c r="G218">
        <f t="shared" si="11"/>
        <v>-2.8684334809801138E-2</v>
      </c>
    </row>
    <row r="219" spans="1:7">
      <c r="A219" s="1">
        <v>45621.705555555556</v>
      </c>
      <c r="B219" s="2">
        <v>79.790000000000006</v>
      </c>
      <c r="C219" s="2">
        <v>15.98</v>
      </c>
      <c r="E219">
        <f t="shared" si="9"/>
        <v>-4.2737185110916287E-2</v>
      </c>
      <c r="F219">
        <f t="shared" si="10"/>
        <v>4.3804755944931717E-3</v>
      </c>
      <c r="G219">
        <f t="shared" si="11"/>
        <v>-4.6496240796985505E-3</v>
      </c>
    </row>
    <row r="220" spans="1:7">
      <c r="A220" s="1">
        <v>45622.705555555556</v>
      </c>
      <c r="B220" s="2">
        <v>76.38</v>
      </c>
      <c r="C220" s="2">
        <v>16.05</v>
      </c>
      <c r="E220">
        <f t="shared" si="9"/>
        <v>8.5231736056559315E-2</v>
      </c>
      <c r="F220">
        <f t="shared" si="10"/>
        <v>2.1806853582554409E-2</v>
      </c>
      <c r="G220">
        <f t="shared" si="11"/>
        <v>3.3962232308697451E-2</v>
      </c>
    </row>
    <row r="221" spans="1:7">
      <c r="A221" s="1">
        <v>45623.705555555556</v>
      </c>
      <c r="B221" s="2">
        <v>82.89</v>
      </c>
      <c r="C221" s="2">
        <v>16.399999999999999</v>
      </c>
      <c r="E221">
        <f t="shared" si="9"/>
        <v>1.3270599589818577E-3</v>
      </c>
      <c r="F221">
        <f t="shared" si="10"/>
        <v>9.1463414634147533E-3</v>
      </c>
      <c r="G221">
        <f t="shared" si="11"/>
        <v>7.6477761630901883E-3</v>
      </c>
    </row>
    <row r="222" spans="1:7">
      <c r="A222" s="1">
        <v>45624.705555555556</v>
      </c>
      <c r="B222" s="2">
        <v>83</v>
      </c>
      <c r="C222" s="2">
        <v>16.55</v>
      </c>
      <c r="E222">
        <f t="shared" si="9"/>
        <v>6.0240963855422436E-3</v>
      </c>
      <c r="F222">
        <f t="shared" si="10"/>
        <v>7.2507552870091363E-3</v>
      </c>
      <c r="G222">
        <f t="shared" si="11"/>
        <v>7.0156661085430064E-3</v>
      </c>
    </row>
    <row r="223" spans="1:7">
      <c r="A223" s="1">
        <v>45625.705555555556</v>
      </c>
      <c r="B223" s="2">
        <v>83.5</v>
      </c>
      <c r="C223" s="2">
        <v>16.670000000000002</v>
      </c>
      <c r="E223">
        <f t="shared" si="9"/>
        <v>4.0000000000000036E-2</v>
      </c>
      <c r="F223">
        <f t="shared" si="10"/>
        <v>7.1985602879423016E-3</v>
      </c>
      <c r="G223">
        <f t="shared" si="11"/>
        <v>1.3484956208758166E-2</v>
      </c>
    </row>
    <row r="224" spans="1:7">
      <c r="A224" s="1">
        <v>45628.705555555556</v>
      </c>
      <c r="B224" s="2">
        <v>86.84</v>
      </c>
      <c r="C224" s="2">
        <v>16.79</v>
      </c>
      <c r="E224">
        <f t="shared" si="9"/>
        <v>2.9940119760478723E-3</v>
      </c>
      <c r="F224">
        <f t="shared" si="10"/>
        <v>-1.7867778439546456E-3</v>
      </c>
      <c r="G224">
        <f t="shared" si="11"/>
        <v>-8.7053947495116307E-4</v>
      </c>
    </row>
    <row r="225" spans="1:7">
      <c r="A225" s="1">
        <v>45629.705555555556</v>
      </c>
      <c r="B225" s="2">
        <v>87.1</v>
      </c>
      <c r="C225" s="2">
        <v>16.760000000000002</v>
      </c>
      <c r="E225">
        <f t="shared" si="9"/>
        <v>2.5373134328358304E-2</v>
      </c>
      <c r="F225">
        <f t="shared" si="10"/>
        <v>1.1933174224343368E-3</v>
      </c>
      <c r="G225">
        <f t="shared" si="11"/>
        <v>5.8273793324546651E-3</v>
      </c>
    </row>
    <row r="226" spans="1:7">
      <c r="A226" s="1">
        <v>45630.705555555556</v>
      </c>
      <c r="B226" s="2">
        <v>89.31</v>
      </c>
      <c r="C226" s="2">
        <v>16.78</v>
      </c>
      <c r="E226">
        <f t="shared" si="9"/>
        <v>1.0525137162691767E-2</v>
      </c>
      <c r="F226">
        <f t="shared" si="10"/>
        <v>-1.2514898688915421E-2</v>
      </c>
      <c r="G226">
        <f t="shared" si="11"/>
        <v>-8.0992758179549047E-3</v>
      </c>
    </row>
    <row r="227" spans="1:7">
      <c r="A227" s="1">
        <v>45631.705555555556</v>
      </c>
      <c r="B227" s="2">
        <v>90.25</v>
      </c>
      <c r="C227" s="2">
        <v>16.57</v>
      </c>
      <c r="E227">
        <f t="shared" si="9"/>
        <v>2.7700831024930705E-2</v>
      </c>
      <c r="F227">
        <f t="shared" si="10"/>
        <v>1.5087507543753764E-2</v>
      </c>
      <c r="G227">
        <f t="shared" si="11"/>
        <v>1.7504850988921326E-2</v>
      </c>
    </row>
    <row r="228" spans="1:7">
      <c r="A228" s="1">
        <v>45632.705555555556</v>
      </c>
      <c r="B228" s="2">
        <v>92.75</v>
      </c>
      <c r="C228" s="2">
        <v>16.82</v>
      </c>
      <c r="E228">
        <f t="shared" si="9"/>
        <v>-4.5822102425876032E-2</v>
      </c>
      <c r="F228">
        <f t="shared" si="10"/>
        <v>8.3234244946492897E-3</v>
      </c>
      <c r="G228">
        <f t="shared" si="11"/>
        <v>-2.0535657396693885E-3</v>
      </c>
    </row>
    <row r="229" spans="1:7">
      <c r="A229" s="1">
        <v>45635.705555555556</v>
      </c>
      <c r="B229" s="2">
        <v>88.5</v>
      </c>
      <c r="C229" s="2">
        <v>16.96</v>
      </c>
      <c r="E229">
        <f t="shared" si="9"/>
        <v>-1.8644067796610209E-2</v>
      </c>
      <c r="F229">
        <f t="shared" si="10"/>
        <v>7.6650943396225912E-3</v>
      </c>
      <c r="G229">
        <f t="shared" si="11"/>
        <v>2.6229434162135753E-3</v>
      </c>
    </row>
    <row r="230" spans="1:7">
      <c r="A230" s="1">
        <v>45636.705555555556</v>
      </c>
      <c r="B230" s="2">
        <v>86.85</v>
      </c>
      <c r="C230" s="2">
        <v>17.09</v>
      </c>
      <c r="E230">
        <f t="shared" si="9"/>
        <v>2.6021876799078969E-2</v>
      </c>
      <c r="F230">
        <f t="shared" si="10"/>
        <v>-5.2662375658280025E-3</v>
      </c>
      <c r="G230">
        <f t="shared" si="11"/>
        <v>7.3012955220641811E-4</v>
      </c>
    </row>
    <row r="231" spans="1:7">
      <c r="A231" s="1">
        <v>45637.705555555556</v>
      </c>
      <c r="B231" s="2">
        <v>89.11</v>
      </c>
      <c r="C231" s="2">
        <v>17</v>
      </c>
      <c r="E231">
        <f t="shared" si="9"/>
        <v>3.254404668387556E-3</v>
      </c>
      <c r="F231">
        <f t="shared" si="10"/>
        <v>-1.000000000000012E-2</v>
      </c>
      <c r="G231">
        <f t="shared" si="11"/>
        <v>-7.4597933453036227E-3</v>
      </c>
    </row>
    <row r="232" spans="1:7">
      <c r="A232" s="1">
        <v>45638.705555555556</v>
      </c>
      <c r="B232" s="2">
        <v>89.4</v>
      </c>
      <c r="C232" s="2">
        <v>16.829999999999998</v>
      </c>
      <c r="E232">
        <f t="shared" si="9"/>
        <v>2.5055928411632955E-2</v>
      </c>
      <c r="F232">
        <f t="shared" si="10"/>
        <v>-1.7825311942957223E-3</v>
      </c>
      <c r="G232">
        <f t="shared" si="11"/>
        <v>3.3610595891805086E-3</v>
      </c>
    </row>
    <row r="233" spans="1:7">
      <c r="A233" s="1">
        <v>45639.705555555556</v>
      </c>
      <c r="B233" s="2">
        <v>91.64</v>
      </c>
      <c r="C233" s="2">
        <v>16.8</v>
      </c>
      <c r="E233">
        <f t="shared" si="9"/>
        <v>5.6307289393278115E-2</v>
      </c>
      <c r="F233">
        <f t="shared" si="10"/>
        <v>1.4880952380952328E-2</v>
      </c>
      <c r="G233">
        <f t="shared" si="11"/>
        <v>2.2820309869364563E-2</v>
      </c>
    </row>
    <row r="234" spans="1:7">
      <c r="A234" s="1">
        <v>45642.705555555556</v>
      </c>
      <c r="B234" s="2">
        <v>96.8</v>
      </c>
      <c r="C234" s="2">
        <v>17.05</v>
      </c>
      <c r="E234">
        <f t="shared" si="9"/>
        <v>1.8595041322315708E-3</v>
      </c>
      <c r="F234">
        <f t="shared" si="10"/>
        <v>-5.8651026392962935E-3</v>
      </c>
      <c r="G234">
        <f t="shared" si="11"/>
        <v>-4.3846817515329779E-3</v>
      </c>
    </row>
    <row r="235" spans="1:7">
      <c r="A235" s="1">
        <v>45643.705555555556</v>
      </c>
      <c r="B235" s="2">
        <v>96.98</v>
      </c>
      <c r="C235" s="2">
        <v>16.95</v>
      </c>
      <c r="E235">
        <f t="shared" si="9"/>
        <v>-2.8150134048257391E-2</v>
      </c>
      <c r="F235">
        <f t="shared" si="10"/>
        <v>5.3097345132744334E-3</v>
      </c>
      <c r="G235">
        <f t="shared" si="11"/>
        <v>-1.1028492965431402E-3</v>
      </c>
    </row>
    <row r="236" spans="1:7">
      <c r="A236" s="1">
        <v>45644.705555555556</v>
      </c>
      <c r="B236" s="2">
        <v>94.25</v>
      </c>
      <c r="C236" s="2">
        <v>17.04</v>
      </c>
      <c r="E236">
        <f t="shared" si="9"/>
        <v>-9.0185676392572911E-2</v>
      </c>
      <c r="F236">
        <f t="shared" si="10"/>
        <v>-1.8779342723004744E-2</v>
      </c>
      <c r="G236">
        <f t="shared" si="11"/>
        <v>-3.2464366570777482E-2</v>
      </c>
    </row>
    <row r="237" spans="1:7">
      <c r="A237" s="1">
        <v>45645.705555555556</v>
      </c>
      <c r="B237" s="2">
        <v>85.75</v>
      </c>
      <c r="C237" s="2">
        <v>16.72</v>
      </c>
      <c r="E237">
        <f t="shared" si="9"/>
        <v>-1.6326530612245094E-3</v>
      </c>
      <c r="F237">
        <f t="shared" si="10"/>
        <v>5.9808612440193087E-4</v>
      </c>
      <c r="G237">
        <f t="shared" si="11"/>
        <v>1.7056495947662359E-4</v>
      </c>
    </row>
    <row r="238" spans="1:7">
      <c r="A238" s="1">
        <v>45646.705555555556</v>
      </c>
      <c r="B238" s="2">
        <v>85.61</v>
      </c>
      <c r="C238" s="2">
        <v>16.73</v>
      </c>
      <c r="E238">
        <f t="shared" si="9"/>
        <v>-9.6951290737062878E-3</v>
      </c>
      <c r="F238">
        <f t="shared" si="10"/>
        <v>1.3747758517633102E-2</v>
      </c>
      <c r="G238">
        <f t="shared" si="11"/>
        <v>9.2549291107529089E-3</v>
      </c>
    </row>
    <row r="239" spans="1:7">
      <c r="A239" s="1">
        <v>45649.705555555556</v>
      </c>
      <c r="B239" s="2">
        <v>84.78</v>
      </c>
      <c r="C239" s="2">
        <v>16.96</v>
      </c>
      <c r="E239">
        <f t="shared" si="9"/>
        <v>6.6053314460958745E-3</v>
      </c>
      <c r="F239">
        <f t="shared" si="10"/>
        <v>6.4858490566037652E-3</v>
      </c>
      <c r="G239">
        <f t="shared" si="11"/>
        <v>6.5087478565499278E-3</v>
      </c>
    </row>
    <row r="240" spans="1:7">
      <c r="A240" s="1">
        <v>45652.705555555556</v>
      </c>
      <c r="B240" s="2">
        <v>85.34</v>
      </c>
      <c r="C240" s="2">
        <v>17.07</v>
      </c>
      <c r="E240">
        <f t="shared" si="9"/>
        <v>-7.3822357628311464E-3</v>
      </c>
      <c r="F240">
        <f t="shared" si="10"/>
        <v>-4.6865846514353438E-3</v>
      </c>
      <c r="G240">
        <f t="shared" si="11"/>
        <v>-5.2032061869343492E-3</v>
      </c>
    </row>
    <row r="241" spans="1:7">
      <c r="A241" s="1">
        <v>45653.705555555556</v>
      </c>
      <c r="B241" s="2">
        <v>84.71</v>
      </c>
      <c r="C241" s="2">
        <v>16.989999999999998</v>
      </c>
      <c r="E241">
        <f t="shared" si="9"/>
        <v>2.9512454255695708E-3</v>
      </c>
      <c r="F241">
        <f t="shared" si="10"/>
        <v>-5.8858151854030982E-3</v>
      </c>
      <c r="G241">
        <f t="shared" si="11"/>
        <v>-4.192192519310186E-3</v>
      </c>
    </row>
    <row r="242" spans="1:7">
      <c r="A242" s="1">
        <v>45656.705555555556</v>
      </c>
      <c r="B242" s="2">
        <v>84.96</v>
      </c>
      <c r="C242" s="2">
        <v>16.89</v>
      </c>
      <c r="E242">
        <f t="shared" si="9"/>
        <v>1.8126177024482271E-2</v>
      </c>
      <c r="F242">
        <f t="shared" si="10"/>
        <v>1.4801657785671996E-2</v>
      </c>
      <c r="G242">
        <f t="shared" si="11"/>
        <v>1.5438801897789985E-2</v>
      </c>
    </row>
    <row r="243" spans="1:7">
      <c r="A243" s="1">
        <v>45659.705555555556</v>
      </c>
      <c r="B243" s="2">
        <v>86.5</v>
      </c>
      <c r="C243" s="2">
        <v>17.14</v>
      </c>
      <c r="E243">
        <f t="shared" si="9"/>
        <v>3.9306358381502982E-2</v>
      </c>
      <c r="F243">
        <f t="shared" si="10"/>
        <v>-1.7502917152859565E-3</v>
      </c>
      <c r="G243">
        <f t="shared" si="11"/>
        <v>6.1182152757636435E-3</v>
      </c>
    </row>
    <row r="244" spans="1:7">
      <c r="A244" s="1">
        <v>45660.705555555556</v>
      </c>
      <c r="B244" s="2">
        <v>89.9</v>
      </c>
      <c r="C244" s="2">
        <v>17.11</v>
      </c>
      <c r="E244">
        <f t="shared" si="9"/>
        <v>2.880978865405992E-2</v>
      </c>
      <c r="F244">
        <f t="shared" si="10"/>
        <v>-1.2273524254821755E-2</v>
      </c>
      <c r="G244">
        <f t="shared" si="11"/>
        <v>-4.3999073358345821E-3</v>
      </c>
    </row>
    <row r="245" spans="1:7">
      <c r="A245" s="1">
        <v>45663.705555555556</v>
      </c>
      <c r="B245" s="2">
        <v>92.49</v>
      </c>
      <c r="C245" s="2">
        <v>16.899999999999999</v>
      </c>
      <c r="E245">
        <f t="shared" si="9"/>
        <v>-7.2548383609038702E-2</v>
      </c>
      <c r="F245">
        <f t="shared" si="10"/>
        <v>2.3668639053255891E-3</v>
      </c>
      <c r="G245">
        <f t="shared" si="11"/>
        <v>-1.1990643280802326E-2</v>
      </c>
    </row>
    <row r="246" spans="1:7">
      <c r="A246" s="1">
        <v>45664.705555555556</v>
      </c>
      <c r="B246" s="2">
        <v>85.78</v>
      </c>
      <c r="C246" s="2">
        <v>16.940000000000001</v>
      </c>
      <c r="E246">
        <f t="shared" si="9"/>
        <v>-2.4248076474702729E-2</v>
      </c>
      <c r="F246">
        <f t="shared" si="10"/>
        <v>7.6741440377803283E-3</v>
      </c>
      <c r="G246">
        <f t="shared" si="11"/>
        <v>1.5562504765629509E-3</v>
      </c>
    </row>
    <row r="247" spans="1:7">
      <c r="A247" s="1">
        <v>45665.705555555556</v>
      </c>
      <c r="B247" s="2">
        <v>83.7</v>
      </c>
      <c r="C247" s="2">
        <v>17.07</v>
      </c>
      <c r="E247">
        <f t="shared" si="9"/>
        <v>-3.4647550776583103E-2</v>
      </c>
      <c r="F247">
        <f t="shared" si="10"/>
        <v>-2.9291154071471315E-3</v>
      </c>
      <c r="G247">
        <f t="shared" si="11"/>
        <v>-9.007953545699535E-3</v>
      </c>
    </row>
    <row r="248" spans="1:7">
      <c r="A248" s="1">
        <v>45666.705555555556</v>
      </c>
      <c r="B248" s="2">
        <v>80.8</v>
      </c>
      <c r="C248" s="2">
        <v>17.02</v>
      </c>
      <c r="E248">
        <f t="shared" si="9"/>
        <v>3.7128712871287162E-2</v>
      </c>
      <c r="F248">
        <f t="shared" si="10"/>
        <v>1.2925969447708408E-2</v>
      </c>
      <c r="G248">
        <f t="shared" si="11"/>
        <v>1.7564425224837275E-2</v>
      </c>
    </row>
    <row r="249" spans="1:7">
      <c r="A249" s="1">
        <v>45667.705555555556</v>
      </c>
      <c r="B249" s="2">
        <v>83.8</v>
      </c>
      <c r="C249" s="2">
        <v>17.239999999999998</v>
      </c>
      <c r="E249">
        <f t="shared" si="9"/>
        <v>-2.3866348448687402E-2</v>
      </c>
      <c r="F249">
        <f t="shared" si="10"/>
        <v>-1.2761020881670415E-2</v>
      </c>
      <c r="G249">
        <f t="shared" si="11"/>
        <v>-1.4889356909889219E-2</v>
      </c>
    </row>
    <row r="250" spans="1:7">
      <c r="A250" s="1">
        <v>45670.705555555556</v>
      </c>
      <c r="B250" s="2">
        <v>81.8</v>
      </c>
      <c r="C250" s="2">
        <v>17.02</v>
      </c>
      <c r="E250">
        <f t="shared" si="9"/>
        <v>2.7383863080684634E-2</v>
      </c>
      <c r="F250">
        <f t="shared" si="10"/>
        <v>-1.762632197414904E-3</v>
      </c>
      <c r="G250">
        <f t="shared" si="11"/>
        <v>3.8232936226328717E-3</v>
      </c>
    </row>
    <row r="251" spans="1:7">
      <c r="A251" s="1">
        <v>45671.705555555556</v>
      </c>
      <c r="B251" s="2">
        <v>84.04</v>
      </c>
      <c r="C251" s="2">
        <v>16.989999999999998</v>
      </c>
      <c r="E251">
        <f t="shared" si="9"/>
        <v>3.1413612565444948E-2</v>
      </c>
      <c r="F251">
        <f t="shared" si="10"/>
        <v>5.8858151854046525E-4</v>
      </c>
      <c r="G251">
        <f t="shared" si="11"/>
        <v>6.4961987186797085E-3</v>
      </c>
    </row>
    <row r="252" spans="1:7">
      <c r="A252" s="1">
        <v>45672.705555555556</v>
      </c>
      <c r="B252" s="2">
        <v>86.68</v>
      </c>
      <c r="C252" s="2">
        <v>17</v>
      </c>
      <c r="E252">
        <f t="shared" si="9"/>
        <v>2.6765113059529222E-2</v>
      </c>
      <c r="F252">
        <f t="shared" si="10"/>
        <v>1.2941176470588234E-2</v>
      </c>
      <c r="G252">
        <f t="shared" si="11"/>
        <v>1.5590533917858774E-2</v>
      </c>
    </row>
    <row r="253" spans="1:7">
      <c r="A253" s="1">
        <v>45673.705555555556</v>
      </c>
      <c r="B253" s="2">
        <v>89</v>
      </c>
      <c r="C253" s="2">
        <v>17.22</v>
      </c>
      <c r="E253">
        <f t="shared" si="9"/>
        <v>4.9101123595505669E-2</v>
      </c>
      <c r="F253">
        <f t="shared" si="10"/>
        <v>-1.1614401858304202E-3</v>
      </c>
      <c r="G253">
        <f t="shared" si="11"/>
        <v>8.4713801628626406E-3</v>
      </c>
    </row>
    <row r="254" spans="1:7">
      <c r="A254" s="1">
        <v>45674.705555555556</v>
      </c>
      <c r="B254" s="2">
        <v>93.37</v>
      </c>
      <c r="C254" s="2">
        <v>17.2</v>
      </c>
      <c r="E254">
        <f t="shared" si="9"/>
        <v>-3.7913676769840476E-2</v>
      </c>
      <c r="F254">
        <f t="shared" si="10"/>
        <v>0</v>
      </c>
      <c r="G254">
        <f t="shared" si="11"/>
        <v>-7.2661561529399265E-3</v>
      </c>
    </row>
    <row r="255" spans="1:7">
      <c r="A255" s="1">
        <v>45677.705555555556</v>
      </c>
      <c r="B255" s="2">
        <v>89.83</v>
      </c>
      <c r="C255" s="2">
        <v>17.2</v>
      </c>
      <c r="E255">
        <f t="shared" si="9"/>
        <v>3.4286986530112307E-2</v>
      </c>
      <c r="F255">
        <f t="shared" si="10"/>
        <v>6.9767441860466572E-3</v>
      </c>
      <c r="G255">
        <f t="shared" si="11"/>
        <v>1.2210752131286837E-2</v>
      </c>
    </row>
    <row r="256" spans="1:7">
      <c r="A256" s="1">
        <v>45678.705555555556</v>
      </c>
      <c r="B256" s="2">
        <v>92.91</v>
      </c>
      <c r="C256" s="2">
        <v>17.32</v>
      </c>
      <c r="E256">
        <f t="shared" si="9"/>
        <v>-2.2925411688730968E-2</v>
      </c>
      <c r="F256">
        <f t="shared" si="10"/>
        <v>-8.6605080831407832E-3</v>
      </c>
      <c r="G256">
        <f t="shared" si="11"/>
        <v>-1.1394376859152143E-2</v>
      </c>
    </row>
    <row r="257" spans="1:7">
      <c r="A257" s="1">
        <v>45679.705555555556</v>
      </c>
      <c r="B257" s="2">
        <v>90.78</v>
      </c>
      <c r="C257" s="2">
        <v>17.170000000000002</v>
      </c>
      <c r="E257">
        <f t="shared" si="9"/>
        <v>-1.9607843137254943E-2</v>
      </c>
      <c r="F257">
        <f t="shared" si="10"/>
        <v>-5.2417006406525468E-3</v>
      </c>
      <c r="G257">
        <f t="shared" si="11"/>
        <v>-7.9949718501263964E-3</v>
      </c>
    </row>
    <row r="258" spans="1:7">
      <c r="A258" s="1">
        <v>45680.705555555556</v>
      </c>
      <c r="B258" s="2">
        <v>89</v>
      </c>
      <c r="C258" s="2">
        <v>17.079999999999998</v>
      </c>
      <c r="E258">
        <f t="shared" si="9"/>
        <v>2.8089887640449396E-2</v>
      </c>
      <c r="F258">
        <f t="shared" si="10"/>
        <v>6.4402810304451386E-3</v>
      </c>
      <c r="G258">
        <f t="shared" si="11"/>
        <v>1.0589428137252454E-2</v>
      </c>
    </row>
    <row r="259" spans="1:7">
      <c r="A259" s="1">
        <v>45681.705555555556</v>
      </c>
      <c r="B259" s="2">
        <v>91.5</v>
      </c>
      <c r="C259" s="2">
        <v>17.190000000000001</v>
      </c>
      <c r="E259">
        <f t="shared" ref="E259:E322" si="12">(B260/B259)-1</f>
        <v>-4.0983606557377095E-2</v>
      </c>
      <c r="F259">
        <f t="shared" ref="F259:F322" si="13">(C260/C259)-1</f>
        <v>-1.2798138452588814E-2</v>
      </c>
      <c r="G259">
        <f t="shared" ref="G259:G322" si="14">$J$5*E259+$J$6*F259</f>
        <v>-1.8199883414871488E-2</v>
      </c>
    </row>
    <row r="260" spans="1:7">
      <c r="A260" s="1">
        <v>45684.705555555556</v>
      </c>
      <c r="B260" s="2">
        <v>87.75</v>
      </c>
      <c r="C260" s="2">
        <v>16.97</v>
      </c>
      <c r="E260">
        <f t="shared" si="12"/>
        <v>-1.4472934472934407E-2</v>
      </c>
      <c r="F260">
        <f t="shared" si="13"/>
        <v>1.767825574543469E-3</v>
      </c>
      <c r="G260">
        <f t="shared" si="14"/>
        <v>-1.3447160885556658E-3</v>
      </c>
    </row>
    <row r="261" spans="1:7">
      <c r="A261" s="1">
        <v>45685.705555555556</v>
      </c>
      <c r="B261" s="2">
        <v>86.48</v>
      </c>
      <c r="C261" s="2">
        <v>17</v>
      </c>
      <c r="E261">
        <f t="shared" si="12"/>
        <v>1.8848288621646558E-2</v>
      </c>
      <c r="F261">
        <f t="shared" si="13"/>
        <v>-4.1176470588235592E-3</v>
      </c>
      <c r="G261">
        <f t="shared" si="14"/>
        <v>2.8377451433853843E-4</v>
      </c>
    </row>
    <row r="262" spans="1:7">
      <c r="A262" s="1">
        <v>45686.705555555556</v>
      </c>
      <c r="B262" s="2">
        <v>88.11</v>
      </c>
      <c r="C262" s="2">
        <v>16.93</v>
      </c>
      <c r="E262">
        <f t="shared" si="12"/>
        <v>1.6683690840994192E-2</v>
      </c>
      <c r="F262">
        <f t="shared" si="13"/>
        <v>1.7129356172474797E-2</v>
      </c>
      <c r="G262">
        <f t="shared" si="14"/>
        <v>1.704394441169654E-2</v>
      </c>
    </row>
    <row r="263" spans="1:7">
      <c r="A263" s="1">
        <v>45687.705555555556</v>
      </c>
      <c r="B263" s="2">
        <v>89.58</v>
      </c>
      <c r="C263" s="2">
        <v>17.22</v>
      </c>
      <c r="E263">
        <f t="shared" si="12"/>
        <v>-2.9135967849966526E-2</v>
      </c>
      <c r="F263">
        <f t="shared" si="13"/>
        <v>-3.4843205574912606E-3</v>
      </c>
      <c r="G263">
        <f t="shared" si="14"/>
        <v>-8.4004587610941456E-3</v>
      </c>
    </row>
    <row r="264" spans="1:7">
      <c r="A264" s="1">
        <v>45688.705555555556</v>
      </c>
      <c r="B264" s="2">
        <v>86.97</v>
      </c>
      <c r="C264" s="2">
        <v>17.16</v>
      </c>
      <c r="E264">
        <f t="shared" si="12"/>
        <v>-4.553294239392891E-2</v>
      </c>
      <c r="F264">
        <f t="shared" si="13"/>
        <v>0</v>
      </c>
      <c r="G264">
        <f t="shared" si="14"/>
        <v>-8.7263884097964744E-3</v>
      </c>
    </row>
    <row r="265" spans="1:7">
      <c r="A265" s="1">
        <v>45691.705555555556</v>
      </c>
      <c r="B265" s="2">
        <v>83.01</v>
      </c>
      <c r="C265" s="2">
        <v>17.16</v>
      </c>
      <c r="E265">
        <f t="shared" si="12"/>
        <v>-3.2767136489579518E-2</v>
      </c>
      <c r="F265">
        <f t="shared" si="13"/>
        <v>5.827505827507018E-4</v>
      </c>
      <c r="G265">
        <f t="shared" si="14"/>
        <v>-5.8087552746613844E-3</v>
      </c>
    </row>
    <row r="266" spans="1:7">
      <c r="A266" s="1">
        <v>45692.705555555556</v>
      </c>
      <c r="B266" s="2">
        <v>80.290000000000006</v>
      </c>
      <c r="C266" s="2">
        <v>17.170000000000002</v>
      </c>
      <c r="E266">
        <f t="shared" si="12"/>
        <v>-6.1028770706190727E-3</v>
      </c>
      <c r="F266">
        <f t="shared" si="13"/>
        <v>1.3977868375072644E-2</v>
      </c>
      <c r="G266">
        <f t="shared" si="14"/>
        <v>1.0129393510405827E-2</v>
      </c>
    </row>
    <row r="267" spans="1:7">
      <c r="A267" s="1">
        <v>45693.705555555556</v>
      </c>
      <c r="B267" s="2">
        <v>79.8</v>
      </c>
      <c r="C267" s="2">
        <v>17.41</v>
      </c>
      <c r="E267">
        <f t="shared" si="12"/>
        <v>-2.2681704260651636E-2</v>
      </c>
      <c r="F267">
        <f t="shared" si="13"/>
        <v>-9.1901206203331975E-3</v>
      </c>
      <c r="G267">
        <f t="shared" si="14"/>
        <v>-1.1775782625000225E-2</v>
      </c>
    </row>
    <row r="268" spans="1:7">
      <c r="A268" s="1">
        <v>45694.705555555556</v>
      </c>
      <c r="B268" s="2">
        <v>77.989999999999995</v>
      </c>
      <c r="C268" s="2">
        <v>17.25</v>
      </c>
      <c r="E268">
        <f t="shared" si="12"/>
        <v>-8.2061802795230232E-3</v>
      </c>
      <c r="F268">
        <f t="shared" si="13"/>
        <v>9.8550724637682663E-3</v>
      </c>
      <c r="G268">
        <f t="shared" si="14"/>
        <v>6.3936333755164904E-3</v>
      </c>
    </row>
    <row r="269" spans="1:7">
      <c r="A269" s="1">
        <v>45695.705555555556</v>
      </c>
      <c r="B269" s="2">
        <v>77.349999999999994</v>
      </c>
      <c r="C269" s="2">
        <v>17.420000000000002</v>
      </c>
      <c r="E269">
        <f t="shared" si="12"/>
        <v>1.2152553329024096E-2</v>
      </c>
      <c r="F269">
        <f t="shared" si="13"/>
        <v>1.1481056257175659E-2</v>
      </c>
      <c r="G269">
        <f t="shared" si="14"/>
        <v>1.1609748670995412E-2</v>
      </c>
    </row>
    <row r="270" spans="1:7">
      <c r="A270" s="1">
        <v>45698.705555555556</v>
      </c>
      <c r="B270" s="2">
        <v>78.290000000000006</v>
      </c>
      <c r="C270" s="2">
        <v>17.62</v>
      </c>
      <c r="E270">
        <f t="shared" si="12"/>
        <v>-2.1586409503129511E-2</v>
      </c>
      <c r="F270">
        <f t="shared" si="13"/>
        <v>-6.2429057888762074E-3</v>
      </c>
      <c r="G270">
        <f t="shared" si="14"/>
        <v>-9.1834882757128519E-3</v>
      </c>
    </row>
    <row r="271" spans="1:7">
      <c r="A271" s="1">
        <v>45699.705555555556</v>
      </c>
      <c r="B271" s="2">
        <v>76.599999999999994</v>
      </c>
      <c r="C271" s="2">
        <v>17.510000000000002</v>
      </c>
      <c r="E271">
        <f t="shared" si="12"/>
        <v>2.2584856396866915E-2</v>
      </c>
      <c r="F271">
        <f t="shared" si="13"/>
        <v>0</v>
      </c>
      <c r="G271">
        <f t="shared" si="14"/>
        <v>4.3283877284595439E-3</v>
      </c>
    </row>
    <row r="272" spans="1:7">
      <c r="A272" s="1">
        <v>45700.705555555556</v>
      </c>
      <c r="B272" s="2">
        <v>78.33</v>
      </c>
      <c r="C272" s="2">
        <v>17.510000000000002</v>
      </c>
      <c r="E272">
        <f t="shared" si="12"/>
        <v>-8.8088854844886599E-3</v>
      </c>
      <c r="F272">
        <f t="shared" si="13"/>
        <v>1.0279840091376391E-2</v>
      </c>
      <c r="G272">
        <f t="shared" si="14"/>
        <v>6.6214858347618541E-3</v>
      </c>
    </row>
    <row r="273" spans="1:7">
      <c r="A273" s="1">
        <v>45701.705555555556</v>
      </c>
      <c r="B273" s="2">
        <v>77.64</v>
      </c>
      <c r="C273" s="2">
        <v>17.690000000000001</v>
      </c>
      <c r="E273">
        <f t="shared" si="12"/>
        <v>3.3487892838743871E-3</v>
      </c>
      <c r="F273">
        <f t="shared" si="13"/>
        <v>-2.6003391746749593E-2</v>
      </c>
      <c r="G273">
        <f t="shared" si="14"/>
        <v>-2.0378046252230508E-2</v>
      </c>
    </row>
    <row r="274" spans="1:7">
      <c r="A274" s="1">
        <v>45702.705555555556</v>
      </c>
      <c r="B274" s="2">
        <v>77.900000000000006</v>
      </c>
      <c r="C274" s="2">
        <v>17.23</v>
      </c>
      <c r="E274">
        <f t="shared" si="12"/>
        <v>-1.2580231065468572E-2</v>
      </c>
      <c r="F274">
        <f t="shared" si="13"/>
        <v>9.8665118978524813E-3</v>
      </c>
      <c r="G274">
        <f t="shared" si="14"/>
        <v>5.5645936089320017E-3</v>
      </c>
    </row>
    <row r="275" spans="1:7">
      <c r="A275" s="1">
        <v>45705.705555555556</v>
      </c>
      <c r="B275" s="2">
        <v>76.92</v>
      </c>
      <c r="C275" s="2">
        <v>17.399999999999999</v>
      </c>
      <c r="E275">
        <f t="shared" si="12"/>
        <v>-2.9511180447217789E-2</v>
      </c>
      <c r="F275">
        <f t="shared" si="13"/>
        <v>4.5977011494253706E-3</v>
      </c>
      <c r="G275">
        <f t="shared" si="14"/>
        <v>-1.9392660085712902E-3</v>
      </c>
    </row>
    <row r="276" spans="1:7">
      <c r="A276" s="1">
        <v>45706.705555555556</v>
      </c>
      <c r="B276" s="2">
        <v>74.650000000000006</v>
      </c>
      <c r="C276" s="2">
        <v>17.48</v>
      </c>
      <c r="E276">
        <f t="shared" si="12"/>
        <v>3.0140656396516974E-2</v>
      </c>
      <c r="F276">
        <f t="shared" si="13"/>
        <v>7.4370709382149958E-3</v>
      </c>
      <c r="G276">
        <f t="shared" si="14"/>
        <v>1.1788213091298568E-2</v>
      </c>
    </row>
    <row r="277" spans="1:7">
      <c r="A277" s="1">
        <v>45707.705555555556</v>
      </c>
      <c r="B277" s="2">
        <v>76.900000000000006</v>
      </c>
      <c r="C277" s="2">
        <v>17.61</v>
      </c>
      <c r="E277">
        <f t="shared" si="12"/>
        <v>1.4304291287386084E-2</v>
      </c>
      <c r="F277">
        <f t="shared" si="13"/>
        <v>-3.4071550255535543E-3</v>
      </c>
      <c r="G277">
        <f t="shared" si="14"/>
        <v>-1.2756339678672828E-5</v>
      </c>
    </row>
    <row r="278" spans="1:7">
      <c r="A278" s="1">
        <v>45708.705555555556</v>
      </c>
      <c r="B278" s="2">
        <v>78</v>
      </c>
      <c r="C278" s="2">
        <v>17.55</v>
      </c>
      <c r="E278">
        <f t="shared" si="12"/>
        <v>-2.7948717948718005E-2</v>
      </c>
      <c r="F278">
        <f t="shared" si="13"/>
        <v>4.5584045584043942E-3</v>
      </c>
      <c r="G278">
        <f t="shared" si="14"/>
        <v>-1.671585470085613E-3</v>
      </c>
    </row>
    <row r="279" spans="1:7">
      <c r="A279" s="1">
        <v>45709.705555555556</v>
      </c>
      <c r="B279" s="2">
        <v>75.819999999999993</v>
      </c>
      <c r="C279" s="2">
        <v>17.63</v>
      </c>
      <c r="E279">
        <f t="shared" si="12"/>
        <v>-1.5431284621471697E-2</v>
      </c>
      <c r="F279">
        <f t="shared" si="13"/>
        <v>1.2478729438457403E-2</v>
      </c>
      <c r="G279">
        <f t="shared" si="14"/>
        <v>7.1297752438719908E-3</v>
      </c>
    </row>
    <row r="280" spans="1:7">
      <c r="A280" s="1">
        <v>45712.705555555556</v>
      </c>
      <c r="B280" s="2">
        <v>74.650000000000006</v>
      </c>
      <c r="C280" s="2">
        <v>17.850000000000001</v>
      </c>
      <c r="E280">
        <f t="shared" si="12"/>
        <v>-6.9658405894172826E-2</v>
      </c>
      <c r="F280">
        <f t="shared" si="13"/>
        <v>-1.624649859943994E-2</v>
      </c>
      <c r="G280">
        <f t="shared" si="14"/>
        <v>-2.6482890632475498E-2</v>
      </c>
    </row>
    <row r="281" spans="1:7">
      <c r="A281" s="1">
        <v>45713.705555555556</v>
      </c>
      <c r="B281" s="2">
        <v>69.45</v>
      </c>
      <c r="C281" s="2">
        <v>17.559999999999999</v>
      </c>
      <c r="E281">
        <f t="shared" si="12"/>
        <v>-2.5629949604031643E-2</v>
      </c>
      <c r="F281">
        <f t="shared" si="13"/>
        <v>1.1389521640091216E-2</v>
      </c>
      <c r="G281">
        <f t="shared" si="14"/>
        <v>4.2947399761550696E-3</v>
      </c>
    </row>
    <row r="282" spans="1:7">
      <c r="A282" s="1">
        <v>45714.705555555556</v>
      </c>
      <c r="B282" s="2">
        <v>67.67</v>
      </c>
      <c r="C282" s="2">
        <v>17.760000000000002</v>
      </c>
      <c r="E282">
        <f t="shared" si="12"/>
        <v>-3.6943992906753875E-3</v>
      </c>
      <c r="F282">
        <f t="shared" si="13"/>
        <v>-1.1824324324324342E-2</v>
      </c>
      <c r="G282">
        <f t="shared" si="14"/>
        <v>-1.026622419162552E-2</v>
      </c>
    </row>
    <row r="283" spans="1:7">
      <c r="A283" s="1">
        <v>45715.705555555556</v>
      </c>
      <c r="B283" s="2">
        <v>67.42</v>
      </c>
      <c r="C283" s="2">
        <v>17.55</v>
      </c>
      <c r="E283">
        <f t="shared" si="12"/>
        <v>2.5511717591219174E-2</v>
      </c>
      <c r="F283">
        <f t="shared" si="13"/>
        <v>2.2792022792021971E-3</v>
      </c>
      <c r="G283">
        <f t="shared" si="14"/>
        <v>6.7317138387502501E-3</v>
      </c>
    </row>
    <row r="284" spans="1:7">
      <c r="A284" s="1">
        <v>45716.705555555556</v>
      </c>
      <c r="B284" s="2">
        <v>69.14</v>
      </c>
      <c r="C284" s="2">
        <v>17.59</v>
      </c>
      <c r="E284">
        <f t="shared" si="12"/>
        <v>3.2831935203933904E-2</v>
      </c>
      <c r="F284">
        <f t="shared" si="13"/>
        <v>2.2740193291641564E-3</v>
      </c>
      <c r="G284">
        <f t="shared" si="14"/>
        <v>8.1304439065637783E-3</v>
      </c>
    </row>
    <row r="285" spans="1:7">
      <c r="A285" s="1">
        <v>45721.705555555556</v>
      </c>
      <c r="B285" s="2">
        <v>71.41</v>
      </c>
      <c r="C285" s="2">
        <v>17.63</v>
      </c>
      <c r="E285">
        <f t="shared" si="12"/>
        <v>-3.6409466461279072E-3</v>
      </c>
      <c r="F285">
        <f t="shared" si="13"/>
        <v>-3.4032898468518979E-3</v>
      </c>
      <c r="G285">
        <f t="shared" si="14"/>
        <v>-3.4488367724331451E-3</v>
      </c>
    </row>
    <row r="286" spans="1:7">
      <c r="A286" s="1">
        <v>45722.705555555556</v>
      </c>
      <c r="B286" s="2">
        <v>71.150000000000006</v>
      </c>
      <c r="C286" s="2">
        <v>17.57</v>
      </c>
      <c r="E286">
        <f t="shared" si="12"/>
        <v>-2.3190442726633953E-2</v>
      </c>
      <c r="F286">
        <f t="shared" si="13"/>
        <v>4.5532157085941272E-3</v>
      </c>
      <c r="G286">
        <f t="shared" si="14"/>
        <v>-7.6385643051733385E-4</v>
      </c>
    </row>
    <row r="287" spans="1:7">
      <c r="A287" s="1">
        <v>45723.705555555556</v>
      </c>
      <c r="B287" s="2">
        <v>69.5</v>
      </c>
      <c r="C287" s="2">
        <v>17.649999999999999</v>
      </c>
      <c r="E287">
        <f t="shared" si="12"/>
        <v>-0.1014388489208633</v>
      </c>
      <c r="F287">
        <f t="shared" si="13"/>
        <v>1.1331444759208331E-3</v>
      </c>
      <c r="G287">
        <f t="shared" si="14"/>
        <v>-1.8524778058572847E-2</v>
      </c>
    </row>
    <row r="288" spans="1:7">
      <c r="A288" s="1">
        <v>45726.705555555556</v>
      </c>
      <c r="B288" s="2">
        <v>62.45</v>
      </c>
      <c r="C288" s="2">
        <v>17.670000000000002</v>
      </c>
      <c r="E288">
        <f t="shared" si="12"/>
        <v>5.0440352281825307E-2</v>
      </c>
      <c r="F288">
        <f t="shared" si="13"/>
        <v>5.6593095642329949E-3</v>
      </c>
      <c r="G288">
        <f t="shared" si="14"/>
        <v>1.4241596401059561E-2</v>
      </c>
    </row>
    <row r="289" spans="1:7">
      <c r="A289" s="1">
        <v>45727.705555555556</v>
      </c>
      <c r="B289" s="2">
        <v>65.599999999999994</v>
      </c>
      <c r="C289" s="2">
        <v>17.77</v>
      </c>
      <c r="E289">
        <f t="shared" si="12"/>
        <v>-8.9939024390242039E-3</v>
      </c>
      <c r="F289">
        <f t="shared" si="13"/>
        <v>2.8137310073157451E-3</v>
      </c>
      <c r="G289">
        <f t="shared" si="14"/>
        <v>5.5079805732469417E-4</v>
      </c>
    </row>
    <row r="290" spans="1:7">
      <c r="A290" s="1">
        <v>45728.705555555556</v>
      </c>
      <c r="B290" s="2">
        <v>65.010000000000005</v>
      </c>
      <c r="C290" s="2">
        <v>17.82</v>
      </c>
      <c r="E290">
        <f t="shared" si="12"/>
        <v>-2.784187048146447E-2</v>
      </c>
      <c r="F290">
        <f t="shared" si="13"/>
        <v>1.6835016835016869E-2</v>
      </c>
      <c r="G290">
        <f t="shared" si="14"/>
        <v>8.2726913808132199E-3</v>
      </c>
    </row>
    <row r="291" spans="1:7">
      <c r="A291" s="1">
        <v>45729.705555555556</v>
      </c>
      <c r="B291" s="2">
        <v>63.2</v>
      </c>
      <c r="C291" s="2">
        <v>18.12</v>
      </c>
      <c r="E291">
        <f t="shared" si="12"/>
        <v>3.9556962025316444E-2</v>
      </c>
      <c r="F291">
        <f t="shared" si="13"/>
        <v>-9.9337748344370258E-3</v>
      </c>
      <c r="G291">
        <f t="shared" si="14"/>
        <v>-4.4887511526527438E-4</v>
      </c>
    </row>
    <row r="292" spans="1:7">
      <c r="A292" s="1">
        <v>45730.705555555556</v>
      </c>
      <c r="B292" s="2">
        <v>65.7</v>
      </c>
      <c r="C292" s="2">
        <v>17.940000000000001</v>
      </c>
      <c r="E292">
        <f t="shared" si="12"/>
        <v>-1.7199391171994094E-2</v>
      </c>
      <c r="F292">
        <f t="shared" si="13"/>
        <v>-3.9018952062430667E-3</v>
      </c>
      <c r="G292">
        <f t="shared" si="14"/>
        <v>-6.4503603080792509E-3</v>
      </c>
    </row>
    <row r="293" spans="1:7">
      <c r="A293" s="1">
        <v>45733.705555555556</v>
      </c>
      <c r="B293" s="2">
        <v>64.569999999999993</v>
      </c>
      <c r="C293" s="2">
        <v>17.87</v>
      </c>
      <c r="E293">
        <f t="shared" si="12"/>
        <v>-1.9978318104382664E-2</v>
      </c>
      <c r="F293">
        <f t="shared" si="13"/>
        <v>9.5131505316170539E-3</v>
      </c>
      <c r="G293">
        <f t="shared" si="14"/>
        <v>3.8611105675277081E-3</v>
      </c>
    </row>
    <row r="294" spans="1:7">
      <c r="A294" s="1">
        <v>45734.705555555556</v>
      </c>
      <c r="B294" s="2">
        <v>63.28</v>
      </c>
      <c r="C294" s="2">
        <v>18.04</v>
      </c>
      <c r="E294">
        <f t="shared" si="12"/>
        <v>4.5828065739570212E-2</v>
      </c>
      <c r="F294">
        <f t="shared" si="13"/>
        <v>-5.5432372505537231E-4</v>
      </c>
      <c r="G294">
        <f t="shared" si="14"/>
        <v>8.3348612158401208E-3</v>
      </c>
    </row>
    <row r="295" spans="1:7">
      <c r="A295" s="1">
        <v>45735.705555555556</v>
      </c>
      <c r="B295" s="2">
        <v>66.180000000000007</v>
      </c>
      <c r="C295" s="2">
        <v>18.03</v>
      </c>
      <c r="E295">
        <f t="shared" si="12"/>
        <v>-1.5563614385010638E-2</v>
      </c>
      <c r="F295">
        <f t="shared" si="13"/>
        <v>3.3277870216306127E-3</v>
      </c>
      <c r="G295">
        <f t="shared" si="14"/>
        <v>-2.9275005795218302E-4</v>
      </c>
    </row>
    <row r="296" spans="1:7">
      <c r="A296" s="1">
        <v>45736.705555555556</v>
      </c>
      <c r="B296" s="2">
        <v>65.150000000000006</v>
      </c>
      <c r="C296" s="2">
        <v>18.09</v>
      </c>
      <c r="E296">
        <f t="shared" si="12"/>
        <v>3.0698388334611248E-3</v>
      </c>
      <c r="F296">
        <f t="shared" si="13"/>
        <v>-1.1055831951354289E-3</v>
      </c>
      <c r="G296">
        <f t="shared" si="14"/>
        <v>-3.0536356335489942E-4</v>
      </c>
    </row>
    <row r="297" spans="1:7">
      <c r="A297" s="1">
        <v>45737.705555555556</v>
      </c>
      <c r="B297" s="2">
        <v>65.349999999999994</v>
      </c>
      <c r="C297" s="2">
        <v>18.07</v>
      </c>
      <c r="E297">
        <f t="shared" si="12"/>
        <v>6.5034429992348874E-2</v>
      </c>
      <c r="F297">
        <f t="shared" si="13"/>
        <v>2.2136137244050946E-3</v>
      </c>
      <c r="G297">
        <f t="shared" si="14"/>
        <v>1.425322316215652E-2</v>
      </c>
    </row>
    <row r="298" spans="1:7">
      <c r="A298" s="1">
        <v>45740.705555555556</v>
      </c>
      <c r="B298" s="2">
        <v>69.599999999999994</v>
      </c>
      <c r="C298" s="2">
        <v>18.11</v>
      </c>
      <c r="E298">
        <f t="shared" si="12"/>
        <v>-1.1494252873563204E-2</v>
      </c>
      <c r="F298">
        <f t="shared" si="13"/>
        <v>-2.7609055770293489E-3</v>
      </c>
      <c r="G298">
        <f t="shared" si="14"/>
        <v>-4.4346515864100624E-3</v>
      </c>
    </row>
    <row r="299" spans="1:7">
      <c r="A299" s="1">
        <v>45741.705555555556</v>
      </c>
      <c r="B299" s="2">
        <v>68.8</v>
      </c>
      <c r="C299" s="2">
        <v>18.059999999999999</v>
      </c>
      <c r="E299">
        <f t="shared" si="12"/>
        <v>-1.8604651162790753E-2</v>
      </c>
      <c r="F299">
        <f t="shared" si="13"/>
        <v>2.2148394241419123E-3</v>
      </c>
      <c r="G299">
        <f t="shared" si="14"/>
        <v>-1.7752159468437327E-3</v>
      </c>
    </row>
    <row r="300" spans="1:7">
      <c r="A300" s="1">
        <v>45742.705555555556</v>
      </c>
      <c r="B300" s="2">
        <v>67.52</v>
      </c>
      <c r="C300" s="2">
        <v>18.100000000000001</v>
      </c>
      <c r="E300">
        <f t="shared" si="12"/>
        <v>1.0071090047393483E-2</v>
      </c>
      <c r="F300">
        <f t="shared" si="13"/>
        <v>1.6574585635358963E-2</v>
      </c>
      <c r="G300">
        <f t="shared" si="14"/>
        <v>1.5328190705925377E-2</v>
      </c>
    </row>
    <row r="301" spans="1:7">
      <c r="A301" s="1">
        <v>45743.705555555556</v>
      </c>
      <c r="B301" s="2">
        <v>68.2</v>
      </c>
      <c r="C301" s="2">
        <v>18.399999999999999</v>
      </c>
      <c r="E301">
        <f t="shared" si="12"/>
        <v>-4.3841642228739097E-2</v>
      </c>
      <c r="F301">
        <f t="shared" si="13"/>
        <v>9.7826086956520619E-3</v>
      </c>
      <c r="G301">
        <f t="shared" si="14"/>
        <v>-4.9447899400750263E-4</v>
      </c>
    </row>
    <row r="302" spans="1:7">
      <c r="A302" s="1">
        <v>45744.705555555556</v>
      </c>
      <c r="B302" s="2">
        <v>65.209999999999994</v>
      </c>
      <c r="C302" s="2">
        <v>18.579999999999998</v>
      </c>
      <c r="E302">
        <f t="shared" si="12"/>
        <v>-2.4689464806011197E-2</v>
      </c>
      <c r="F302">
        <f t="shared" si="13"/>
        <v>4.843918191604013E-3</v>
      </c>
      <c r="G302">
        <f t="shared" si="14"/>
        <v>-8.1615465988894159E-4</v>
      </c>
    </row>
    <row r="303" spans="1:7">
      <c r="A303" s="1">
        <v>45747.705555555556</v>
      </c>
      <c r="B303" s="2">
        <v>63.6</v>
      </c>
      <c r="C303" s="2">
        <v>18.670000000000002</v>
      </c>
      <c r="E303">
        <f t="shared" si="12"/>
        <v>2.4842767295597534E-2</v>
      </c>
      <c r="F303">
        <f t="shared" si="13"/>
        <v>-5.3561863952866773E-3</v>
      </c>
      <c r="G303">
        <f t="shared" si="14"/>
        <v>4.3144307957128196E-4</v>
      </c>
    </row>
    <row r="304" spans="1:7">
      <c r="A304" s="1">
        <v>45748.705555555556</v>
      </c>
      <c r="B304" s="2">
        <v>65.180000000000007</v>
      </c>
      <c r="C304" s="2">
        <v>18.57</v>
      </c>
      <c r="E304">
        <f t="shared" si="12"/>
        <v>2.0251610923596175E-2</v>
      </c>
      <c r="F304">
        <f t="shared" si="13"/>
        <v>4.3080236941301919E-3</v>
      </c>
      <c r="G304">
        <f t="shared" si="14"/>
        <v>7.3636121866573478E-3</v>
      </c>
    </row>
    <row r="305" spans="1:7">
      <c r="A305" s="1">
        <v>45749.705555555556</v>
      </c>
      <c r="B305" s="2">
        <v>66.5</v>
      </c>
      <c r="C305" s="2">
        <v>18.649999999999999</v>
      </c>
      <c r="E305">
        <f t="shared" si="12"/>
        <v>-7.5789473684210518E-2</v>
      </c>
      <c r="F305">
        <f t="shared" si="13"/>
        <v>-1.7694369973190294E-2</v>
      </c>
      <c r="G305">
        <f t="shared" si="14"/>
        <v>-2.8828296599407319E-2</v>
      </c>
    </row>
    <row r="306" spans="1:7">
      <c r="A306" s="1">
        <v>45750.705555555556</v>
      </c>
      <c r="B306" s="2">
        <v>61.46</v>
      </c>
      <c r="C306" s="2">
        <v>18.32</v>
      </c>
      <c r="E306">
        <f t="shared" si="12"/>
        <v>6.57338106085259E-2</v>
      </c>
      <c r="F306">
        <f t="shared" si="13"/>
        <v>1.1462882096069826E-2</v>
      </c>
      <c r="G306">
        <f t="shared" si="14"/>
        <v>2.1863905545482031E-2</v>
      </c>
    </row>
    <row r="307" spans="1:7">
      <c r="A307" s="1">
        <v>45751.705555555556</v>
      </c>
      <c r="B307" s="2">
        <v>65.5</v>
      </c>
      <c r="C307" s="2">
        <v>18.53</v>
      </c>
      <c r="E307">
        <f t="shared" si="12"/>
        <v>-7.0687022900763452E-2</v>
      </c>
      <c r="F307">
        <f t="shared" si="13"/>
        <v>-8.634646519158129E-3</v>
      </c>
      <c r="G307">
        <f t="shared" si="14"/>
        <v>-2.0526984452692788E-2</v>
      </c>
    </row>
    <row r="308" spans="1:7">
      <c r="A308" s="1">
        <v>45754.705555555556</v>
      </c>
      <c r="B308" s="2">
        <v>60.87</v>
      </c>
      <c r="C308" s="2">
        <v>18.37</v>
      </c>
      <c r="E308">
        <f t="shared" si="12"/>
        <v>-8.8713652045342428E-3</v>
      </c>
      <c r="F308">
        <f t="shared" si="13"/>
        <v>1.9597169297768113E-2</v>
      </c>
      <c r="G308">
        <f t="shared" si="14"/>
        <v>1.4141174660401865E-2</v>
      </c>
    </row>
    <row r="309" spans="1:7">
      <c r="A309" s="1">
        <v>45755.705555555556</v>
      </c>
      <c r="B309" s="2">
        <v>60.33</v>
      </c>
      <c r="C309" s="2">
        <v>18.73</v>
      </c>
      <c r="E309">
        <f t="shared" si="12"/>
        <v>5.7185479860765831E-2</v>
      </c>
      <c r="F309">
        <f t="shared" si="13"/>
        <v>1.0678056593699914E-2</v>
      </c>
      <c r="G309">
        <f t="shared" si="14"/>
        <v>1.9591204262833097E-2</v>
      </c>
    </row>
    <row r="310" spans="1:7">
      <c r="A310" s="1">
        <v>45756.705555555556</v>
      </c>
      <c r="B310" s="2">
        <v>63.78</v>
      </c>
      <c r="C310" s="2">
        <v>18.93</v>
      </c>
      <c r="E310">
        <f t="shared" si="12"/>
        <v>-3.4963938538726924E-2</v>
      </c>
      <c r="F310">
        <f t="shared" si="13"/>
        <v>3.4337031167458898E-2</v>
      </c>
      <c r="G310">
        <f t="shared" si="14"/>
        <v>2.1055500323268386E-2</v>
      </c>
    </row>
    <row r="311" spans="1:7">
      <c r="A311" s="1">
        <v>45757.705555555556</v>
      </c>
      <c r="B311" s="2">
        <v>61.55</v>
      </c>
      <c r="C311" s="2">
        <v>19.579999999999998</v>
      </c>
      <c r="E311">
        <f t="shared" si="12"/>
        <v>5.150284321689691E-2</v>
      </c>
      <c r="F311">
        <f t="shared" si="13"/>
        <v>1.3789581205311707E-2</v>
      </c>
      <c r="G311">
        <f t="shared" si="14"/>
        <v>2.1017327869832011E-2</v>
      </c>
    </row>
    <row r="312" spans="1:7">
      <c r="A312" s="1">
        <v>45758.705555555556</v>
      </c>
      <c r="B312" s="2">
        <v>64.72</v>
      </c>
      <c r="C312" s="2">
        <v>19.850000000000001</v>
      </c>
      <c r="E312">
        <f t="shared" si="12"/>
        <v>1.1433868974041861E-2</v>
      </c>
      <c r="F312">
        <f t="shared" si="13"/>
        <v>-1.0579345088161274E-2</v>
      </c>
      <c r="G312">
        <f t="shared" si="14"/>
        <v>-6.3605126131400427E-3</v>
      </c>
    </row>
    <row r="313" spans="1:7">
      <c r="A313" s="1">
        <v>45761.705555555556</v>
      </c>
      <c r="B313" s="2">
        <v>65.459999999999994</v>
      </c>
      <c r="C313" s="2">
        <v>19.64</v>
      </c>
      <c r="E313">
        <f t="shared" si="12"/>
        <v>-1.5276504735706187E-4</v>
      </c>
      <c r="F313">
        <f t="shared" si="13"/>
        <v>1.3747454175152773E-2</v>
      </c>
      <c r="G313">
        <f t="shared" si="14"/>
        <v>1.1083477161158765E-2</v>
      </c>
    </row>
    <row r="314" spans="1:7">
      <c r="A314" s="1">
        <v>45762.705555555556</v>
      </c>
      <c r="B314" s="2">
        <v>65.45</v>
      </c>
      <c r="C314" s="2">
        <v>19.91</v>
      </c>
      <c r="E314">
        <f t="shared" si="12"/>
        <v>-2.2918258212376585E-3</v>
      </c>
      <c r="F314">
        <f t="shared" si="13"/>
        <v>2.8126569563033499E-2</v>
      </c>
      <c r="G314">
        <f t="shared" si="14"/>
        <v>2.2296884087637931E-2</v>
      </c>
    </row>
    <row r="315" spans="1:7">
      <c r="A315" s="1">
        <v>45763.705555555556</v>
      </c>
      <c r="B315" s="2">
        <v>65.3</v>
      </c>
      <c r="C315" s="2">
        <v>20.47</v>
      </c>
      <c r="E315">
        <f t="shared" si="12"/>
        <v>-3.0627871362940429E-3</v>
      </c>
      <c r="F315">
        <f t="shared" si="13"/>
        <v>-1.4167073766487515E-2</v>
      </c>
      <c r="G315">
        <f t="shared" si="14"/>
        <v>-1.2038937233810935E-2</v>
      </c>
    </row>
    <row r="316" spans="1:7">
      <c r="A316" s="1">
        <v>45764.705555555556</v>
      </c>
      <c r="B316" s="2">
        <v>65.099999999999994</v>
      </c>
      <c r="C316" s="2">
        <v>20.18</v>
      </c>
      <c r="E316">
        <f t="shared" si="12"/>
        <v>5.5299539170507117E-2</v>
      </c>
      <c r="F316">
        <f t="shared" si="13"/>
        <v>2.9732408325073845E-3</v>
      </c>
      <c r="G316">
        <f t="shared" si="14"/>
        <v>1.3001575908985033E-2</v>
      </c>
    </row>
    <row r="317" spans="1:7">
      <c r="A317" s="1">
        <v>45769.705555555556</v>
      </c>
      <c r="B317" s="2">
        <v>68.7</v>
      </c>
      <c r="C317" s="2">
        <v>20.239999999999998</v>
      </c>
      <c r="E317">
        <f t="shared" si="12"/>
        <v>2.4745269286754024E-2</v>
      </c>
      <c r="F317">
        <f t="shared" si="13"/>
        <v>-2.6185770750988047E-2</v>
      </c>
      <c r="G317">
        <f t="shared" si="14"/>
        <v>-1.6424836927754781E-2</v>
      </c>
    </row>
    <row r="318" spans="1:7">
      <c r="A318" s="1">
        <v>45770.705555555556</v>
      </c>
      <c r="B318" s="2">
        <v>70.400000000000006</v>
      </c>
      <c r="C318" s="2">
        <v>19.71</v>
      </c>
      <c r="E318">
        <f t="shared" si="12"/>
        <v>1.4204545454543638E-3</v>
      </c>
      <c r="F318">
        <f t="shared" si="13"/>
        <v>9.1324200913240894E-3</v>
      </c>
      <c r="G318">
        <f t="shared" si="14"/>
        <v>7.6544218944581566E-3</v>
      </c>
    </row>
    <row r="319" spans="1:7">
      <c r="A319" s="1">
        <v>45771.705555555556</v>
      </c>
      <c r="B319" s="2">
        <v>70.5</v>
      </c>
      <c r="C319" s="2">
        <v>19.89</v>
      </c>
      <c r="E319">
        <f t="shared" si="12"/>
        <v>9.2198581560285486E-3</v>
      </c>
      <c r="F319">
        <f t="shared" si="13"/>
        <v>-1.0055304172951196E-2</v>
      </c>
      <c r="G319">
        <f t="shared" si="14"/>
        <v>-6.3612193126022275E-3</v>
      </c>
    </row>
    <row r="320" spans="1:7">
      <c r="A320" s="1">
        <v>45772.705555555556</v>
      </c>
      <c r="B320" s="2">
        <v>71.150000000000006</v>
      </c>
      <c r="C320" s="2">
        <v>19.690000000000001</v>
      </c>
      <c r="E320">
        <f t="shared" si="12"/>
        <v>-1.4617006324666337E-2</v>
      </c>
      <c r="F320">
        <f t="shared" si="13"/>
        <v>7.1102082275265044E-3</v>
      </c>
      <c r="G320">
        <f t="shared" si="14"/>
        <v>2.946187558598747E-3</v>
      </c>
    </row>
    <row r="321" spans="1:7">
      <c r="A321" s="1">
        <v>45775.705555555556</v>
      </c>
      <c r="B321" s="2">
        <v>70.11</v>
      </c>
      <c r="C321" s="2">
        <v>19.829999999999998</v>
      </c>
      <c r="E321">
        <f t="shared" si="12"/>
        <v>7.9874482955355486E-3</v>
      </c>
      <c r="F321">
        <f t="shared" si="13"/>
        <v>-1.260716086737268E-2</v>
      </c>
      <c r="G321">
        <f t="shared" si="14"/>
        <v>-8.6602040213013178E-3</v>
      </c>
    </row>
    <row r="322" spans="1:7">
      <c r="A322" s="1">
        <v>45776.705555555556</v>
      </c>
      <c r="B322" s="2">
        <v>70.67</v>
      </c>
      <c r="C322" s="2">
        <v>19.579999999999998</v>
      </c>
      <c r="E322">
        <f t="shared" si="12"/>
        <v>-2.1225413895571421E-3</v>
      </c>
      <c r="F322">
        <f t="shared" si="13"/>
        <v>1.0214504596528506E-3</v>
      </c>
      <c r="G322">
        <f t="shared" si="14"/>
        <v>4.1890442175175559E-4</v>
      </c>
    </row>
    <row r="323" spans="1:7">
      <c r="A323" s="1">
        <v>45777.705555555556</v>
      </c>
      <c r="B323" s="2">
        <v>70.52</v>
      </c>
      <c r="C323" s="2">
        <v>19.600000000000001</v>
      </c>
      <c r="E323">
        <f t="shared" ref="E323:E386" si="15">(B324/B323)-1</f>
        <v>1.0635280771412292E-2</v>
      </c>
      <c r="F323">
        <f t="shared" ref="F323:F386" si="16">(C324/C323)-1</f>
        <v>-2.4489795918367419E-2</v>
      </c>
      <c r="G323">
        <f t="shared" ref="G323:G386" si="17">$J$5*E323+$J$6*F323</f>
        <v>-1.7758074970771139E-2</v>
      </c>
    </row>
    <row r="324" spans="1:7">
      <c r="A324" s="1">
        <v>45779.705555555556</v>
      </c>
      <c r="B324" s="2">
        <v>71.27</v>
      </c>
      <c r="C324" s="2">
        <v>19.12</v>
      </c>
      <c r="E324">
        <f t="shared" si="15"/>
        <v>-1.5013329591693436E-2</v>
      </c>
      <c r="F324">
        <f t="shared" si="16"/>
        <v>3.661087866108792E-2</v>
      </c>
      <c r="G324">
        <f t="shared" si="17"/>
        <v>2.6717099149442373E-2</v>
      </c>
    </row>
    <row r="325" spans="1:7">
      <c r="A325" s="1">
        <v>45782.705555555556</v>
      </c>
      <c r="B325" s="2">
        <v>70.2</v>
      </c>
      <c r="C325" s="2">
        <v>19.82</v>
      </c>
      <c r="E325">
        <f t="shared" si="15"/>
        <v>1.2820512820512775E-2</v>
      </c>
      <c r="F325">
        <f t="shared" si="16"/>
        <v>3.0776992936427883E-2</v>
      </c>
      <c r="G325">
        <f t="shared" si="17"/>
        <v>2.7335633522212754E-2</v>
      </c>
    </row>
    <row r="326" spans="1:7">
      <c r="A326" s="1">
        <v>45783.705555555556</v>
      </c>
      <c r="B326" s="2">
        <v>71.099999999999994</v>
      </c>
      <c r="C326" s="2">
        <v>20.43</v>
      </c>
      <c r="E326">
        <f t="shared" si="15"/>
        <v>1.2798874824191397E-2</v>
      </c>
      <c r="F326">
        <f t="shared" si="16"/>
        <v>-7.8316201664219154E-3</v>
      </c>
      <c r="G326">
        <f t="shared" si="17"/>
        <v>-3.877785801470874E-3</v>
      </c>
    </row>
    <row r="327" spans="1:7">
      <c r="A327" s="1">
        <v>45784.705555555556</v>
      </c>
      <c r="B327" s="2">
        <v>72.010000000000005</v>
      </c>
      <c r="C327" s="2">
        <v>20.27</v>
      </c>
      <c r="E327">
        <f t="shared" si="15"/>
        <v>5.2492709345924204E-2</v>
      </c>
      <c r="F327">
        <f t="shared" si="16"/>
        <v>-3.3053774050320617E-2</v>
      </c>
      <c r="G327">
        <f t="shared" si="17"/>
        <v>-1.6658790507430299E-2</v>
      </c>
    </row>
    <row r="328" spans="1:7">
      <c r="A328" s="1">
        <v>45785.705555555556</v>
      </c>
      <c r="B328" s="2">
        <v>75.790000000000006</v>
      </c>
      <c r="C328" s="2">
        <v>19.600000000000001</v>
      </c>
      <c r="E328">
        <f t="shared" si="15"/>
        <v>2.3222060957909907E-2</v>
      </c>
      <c r="F328">
        <f t="shared" si="16"/>
        <v>4.5918367346937661E-3</v>
      </c>
      <c r="G328">
        <f t="shared" si="17"/>
        <v>8.1623192070731394E-3</v>
      </c>
    </row>
    <row r="329" spans="1:7">
      <c r="A329" s="1">
        <v>45786.705555555556</v>
      </c>
      <c r="B329" s="2">
        <v>77.55</v>
      </c>
      <c r="C329" s="2">
        <v>19.690000000000001</v>
      </c>
      <c r="E329">
        <f t="shared" si="15"/>
        <v>3.0947775628626939E-3</v>
      </c>
      <c r="F329">
        <f t="shared" si="16"/>
        <v>-2.2854240731335795E-2</v>
      </c>
      <c r="G329">
        <f t="shared" si="17"/>
        <v>-1.7881111375252653E-2</v>
      </c>
    </row>
    <row r="330" spans="1:7">
      <c r="A330" s="1">
        <v>45789.705555555556</v>
      </c>
      <c r="B330" s="2">
        <v>77.790000000000006</v>
      </c>
      <c r="C330" s="2">
        <v>19.239999999999998</v>
      </c>
      <c r="E330">
        <f t="shared" si="15"/>
        <v>2.2239362385910733E-2</v>
      </c>
      <c r="F330">
        <f t="shared" si="16"/>
        <v>-8.8357588357587113E-3</v>
      </c>
      <c r="G330">
        <f t="shared" si="17"/>
        <v>-2.8802118536257635E-3</v>
      </c>
    </row>
    <row r="331" spans="1:7">
      <c r="A331" s="1">
        <v>45790.705555555556</v>
      </c>
      <c r="B331" s="2">
        <v>79.52</v>
      </c>
      <c r="C331" s="2">
        <v>19.07</v>
      </c>
      <c r="E331">
        <f t="shared" si="15"/>
        <v>-8.4255533199195654E-3</v>
      </c>
      <c r="F331">
        <f t="shared" si="16"/>
        <v>-1.678028316727842E-2</v>
      </c>
      <c r="G331">
        <f t="shared" si="17"/>
        <v>-1.5179099192032097E-2</v>
      </c>
    </row>
    <row r="332" spans="1:7">
      <c r="A332" s="1">
        <v>45791.705555555556</v>
      </c>
      <c r="B332" s="2">
        <v>78.849999999999994</v>
      </c>
      <c r="C332" s="2">
        <v>18.75</v>
      </c>
      <c r="E332">
        <f t="shared" si="15"/>
        <v>-1.0145846544070691E-3</v>
      </c>
      <c r="F332">
        <f t="shared" si="16"/>
        <v>2.4000000000000021E-2</v>
      </c>
      <c r="G332">
        <f t="shared" si="17"/>
        <v>1.9205954850982903E-2</v>
      </c>
    </row>
    <row r="333" spans="1:7">
      <c r="A333" s="1">
        <v>45792.705555555556</v>
      </c>
      <c r="B333" s="2">
        <v>78.77</v>
      </c>
      <c r="C333" s="2">
        <v>19.2</v>
      </c>
      <c r="E333">
        <f t="shared" si="15"/>
        <v>2.5390377047098678E-3</v>
      </c>
      <c r="F333">
        <f t="shared" si="16"/>
        <v>-1.5625E-2</v>
      </c>
      <c r="G333">
        <f t="shared" si="17"/>
        <v>-1.2143862173892354E-2</v>
      </c>
    </row>
    <row r="334" spans="1:7">
      <c r="A334" s="1">
        <v>45793.705555555556</v>
      </c>
      <c r="B334" s="2">
        <v>78.97</v>
      </c>
      <c r="C334" s="2">
        <v>18.899999999999999</v>
      </c>
      <c r="E334">
        <f t="shared" si="15"/>
        <v>4.6853235405850402E-3</v>
      </c>
      <c r="F334">
        <f t="shared" si="16"/>
        <v>1.1111111111111072E-2</v>
      </c>
      <c r="G334">
        <f t="shared" si="17"/>
        <v>9.8796089232197574E-3</v>
      </c>
    </row>
    <row r="335" spans="1:7">
      <c r="A335" s="1">
        <v>45796.705555555556</v>
      </c>
      <c r="B335" s="2">
        <v>79.34</v>
      </c>
      <c r="C335" s="2">
        <v>19.11</v>
      </c>
      <c r="E335">
        <f t="shared" si="15"/>
        <v>1.2099823544239996E-2</v>
      </c>
      <c r="F335">
        <f t="shared" si="16"/>
        <v>2.3024594453165959E-2</v>
      </c>
      <c r="G335">
        <f t="shared" si="17"/>
        <v>2.0930862108470297E-2</v>
      </c>
    </row>
    <row r="336" spans="1:7">
      <c r="A336" s="1">
        <v>45797.705555555556</v>
      </c>
      <c r="B336" s="2">
        <v>80.3</v>
      </c>
      <c r="C336" s="2">
        <v>19.55</v>
      </c>
      <c r="E336">
        <f t="shared" si="15"/>
        <v>1.0460772104607718E-2</v>
      </c>
      <c r="F336">
        <f t="shared" si="16"/>
        <v>2.5575447570331811E-3</v>
      </c>
      <c r="G336">
        <f t="shared" si="17"/>
        <v>4.0721982781958405E-3</v>
      </c>
    </row>
    <row r="337" spans="1:7">
      <c r="A337" s="1">
        <v>45798.705555555556</v>
      </c>
      <c r="B337" s="2">
        <v>81.14</v>
      </c>
      <c r="C337" s="2">
        <v>19.600000000000001</v>
      </c>
      <c r="E337">
        <f t="shared" si="15"/>
        <v>2.6620655656889314E-2</v>
      </c>
      <c r="F337">
        <f t="shared" si="16"/>
        <v>-5.6122448979593065E-3</v>
      </c>
      <c r="G337">
        <f t="shared" si="17"/>
        <v>5.6519049337743106E-4</v>
      </c>
    </row>
    <row r="338" spans="1:7">
      <c r="A338" s="1">
        <v>45799.705555555556</v>
      </c>
      <c r="B338" s="2">
        <v>83.3</v>
      </c>
      <c r="C338" s="2">
        <v>19.489999999999998</v>
      </c>
      <c r="E338">
        <f t="shared" si="15"/>
        <v>-1.9927971188475335E-2</v>
      </c>
      <c r="F338">
        <f t="shared" si="16"/>
        <v>1.7444843509492047E-2</v>
      </c>
      <c r="G338">
        <f t="shared" si="17"/>
        <v>1.0282343572626598E-2</v>
      </c>
    </row>
    <row r="339" spans="1:7">
      <c r="A339" s="1">
        <v>45800.705555555556</v>
      </c>
      <c r="B339" s="2">
        <v>81.64</v>
      </c>
      <c r="C339" s="2">
        <v>19.829999999999998</v>
      </c>
      <c r="E339">
        <f t="shared" si="15"/>
        <v>-6.124448799608162E-4</v>
      </c>
      <c r="F339">
        <f t="shared" si="16"/>
        <v>6.0514372163389396E-3</v>
      </c>
      <c r="G339">
        <f t="shared" si="17"/>
        <v>4.7743042125830909E-3</v>
      </c>
    </row>
    <row r="340" spans="1:7">
      <c r="A340" s="1">
        <v>45803.705555555556</v>
      </c>
      <c r="B340" s="2">
        <v>81.59</v>
      </c>
      <c r="C340" s="2">
        <v>19.95</v>
      </c>
      <c r="E340">
        <f t="shared" si="15"/>
        <v>9.3148670180167592E-3</v>
      </c>
      <c r="F340">
        <f t="shared" si="16"/>
        <v>-2.2055137844611439E-2</v>
      </c>
      <c r="G340">
        <f t="shared" si="17"/>
        <v>-1.6043076412688748E-2</v>
      </c>
    </row>
    <row r="341" spans="1:7">
      <c r="A341" s="1">
        <v>45804.705555555556</v>
      </c>
      <c r="B341" s="2">
        <v>82.35</v>
      </c>
      <c r="C341" s="2">
        <v>19.510000000000002</v>
      </c>
      <c r="E341">
        <f t="shared" si="15"/>
        <v>-2.2343655130540263E-2</v>
      </c>
      <c r="F341">
        <f t="shared" si="16"/>
        <v>6.1506919528444559E-3</v>
      </c>
      <c r="G341">
        <f t="shared" si="17"/>
        <v>6.8975033431377484E-4</v>
      </c>
    </row>
    <row r="342" spans="1:7">
      <c r="A342" s="1">
        <v>45805.705555555556</v>
      </c>
      <c r="B342" s="2">
        <v>80.510000000000005</v>
      </c>
      <c r="C342" s="2">
        <v>19.63</v>
      </c>
      <c r="E342">
        <f t="shared" si="15"/>
        <v>-1.3041858154266728E-2</v>
      </c>
      <c r="F342">
        <f t="shared" si="16"/>
        <v>2.037697401936045E-3</v>
      </c>
      <c r="G342">
        <f t="shared" si="17"/>
        <v>-8.5229942041021634E-4</v>
      </c>
    </row>
    <row r="343" spans="1:7">
      <c r="A343" s="1">
        <v>45806.705555555556</v>
      </c>
      <c r="B343" s="2">
        <v>79.459999999999994</v>
      </c>
      <c r="C343" s="2">
        <v>19.670000000000002</v>
      </c>
      <c r="E343">
        <f t="shared" si="15"/>
        <v>-1.2081550465642965E-2</v>
      </c>
      <c r="F343">
        <f t="shared" si="16"/>
        <v>2.0335536349771477E-3</v>
      </c>
      <c r="G343">
        <f t="shared" si="17"/>
        <v>-6.7160606590669692E-4</v>
      </c>
    </row>
    <row r="344" spans="1:7">
      <c r="A344" s="1">
        <v>45807.705555555556</v>
      </c>
      <c r="B344" s="2">
        <v>78.5</v>
      </c>
      <c r="C344" s="2">
        <v>19.71</v>
      </c>
      <c r="E344">
        <f t="shared" si="15"/>
        <v>-4.0764331210190186E-3</v>
      </c>
      <c r="F344">
        <f t="shared" si="16"/>
        <v>1.8264840182648401E-2</v>
      </c>
      <c r="G344">
        <f t="shared" si="17"/>
        <v>1.398313515400054E-2</v>
      </c>
    </row>
    <row r="345" spans="1:7">
      <c r="A345" s="1">
        <v>45810.705555555556</v>
      </c>
      <c r="B345" s="2">
        <v>78.180000000000007</v>
      </c>
      <c r="C345" s="2">
        <v>20.07</v>
      </c>
      <c r="E345">
        <f t="shared" si="15"/>
        <v>6.7792274238933636E-3</v>
      </c>
      <c r="F345">
        <f t="shared" si="16"/>
        <v>-1.3951170901843613E-2</v>
      </c>
      <c r="G345">
        <f t="shared" si="17"/>
        <v>-9.9781900627161219E-3</v>
      </c>
    </row>
    <row r="346" spans="1:7">
      <c r="A346" s="1">
        <v>45811.705555555556</v>
      </c>
      <c r="B346" s="2">
        <v>78.709999999999994</v>
      </c>
      <c r="C346" s="2">
        <v>19.79</v>
      </c>
      <c r="E346">
        <f t="shared" si="15"/>
        <v>-3.938508448735667E-3</v>
      </c>
      <c r="F346">
        <f t="shared" si="16"/>
        <v>6.5689742294088305E-3</v>
      </c>
      <c r="G346">
        <f t="shared" si="17"/>
        <v>4.5552151741424379E-3</v>
      </c>
    </row>
    <row r="347" spans="1:7">
      <c r="A347" s="1">
        <v>45812.705555555556</v>
      </c>
      <c r="B347" s="2">
        <v>78.400000000000006</v>
      </c>
      <c r="C347" s="2">
        <v>19.920000000000002</v>
      </c>
      <c r="E347">
        <f t="shared" si="15"/>
        <v>-4.1964285714285787E-2</v>
      </c>
      <c r="F347">
        <f t="shared" si="16"/>
        <v>-1.5562248995984018E-2</v>
      </c>
      <c r="G347">
        <f t="shared" si="17"/>
        <v>-2.0622199333046553E-2</v>
      </c>
    </row>
    <row r="348" spans="1:7">
      <c r="A348" s="1">
        <v>45813.705555555556</v>
      </c>
      <c r="B348" s="2">
        <v>75.11</v>
      </c>
      <c r="C348" s="2">
        <v>19.61</v>
      </c>
      <c r="E348">
        <f t="shared" si="15"/>
        <v>2.2367194780988031E-2</v>
      </c>
      <c r="F348">
        <f t="shared" si="16"/>
        <v>-1.6318204997450292E-2</v>
      </c>
      <c r="G348">
        <f t="shared" si="17"/>
        <v>-8.9041481299125882E-3</v>
      </c>
    </row>
    <row r="349" spans="1:7">
      <c r="A349" s="1">
        <v>45814.705555555556</v>
      </c>
      <c r="B349" s="2">
        <v>76.790000000000006</v>
      </c>
      <c r="C349" s="2">
        <v>19.29</v>
      </c>
      <c r="E349">
        <f t="shared" si="15"/>
        <v>3.5291053522594096E-2</v>
      </c>
      <c r="F349">
        <f t="shared" si="16"/>
        <v>3.1104199066875893E-3</v>
      </c>
      <c r="G349">
        <f t="shared" si="17"/>
        <v>9.277838339176071E-3</v>
      </c>
    </row>
    <row r="350" spans="1:7">
      <c r="A350" s="1">
        <v>45817.705555555556</v>
      </c>
      <c r="B350" s="2">
        <v>79.5</v>
      </c>
      <c r="C350" s="2">
        <v>19.350000000000001</v>
      </c>
      <c r="E350">
        <f t="shared" si="15"/>
        <v>1.4465408805031554E-2</v>
      </c>
      <c r="F350">
        <f t="shared" si="16"/>
        <v>1.5503875968991832E-3</v>
      </c>
      <c r="G350">
        <f t="shared" si="17"/>
        <v>4.0255514114377515E-3</v>
      </c>
    </row>
    <row r="351" spans="1:7">
      <c r="A351" s="1">
        <v>45818.705555555556</v>
      </c>
      <c r="B351" s="2">
        <v>80.650000000000006</v>
      </c>
      <c r="C351" s="2">
        <v>19.38</v>
      </c>
      <c r="E351">
        <f t="shared" si="15"/>
        <v>-5.7036577805332778E-3</v>
      </c>
      <c r="F351">
        <f t="shared" si="16"/>
        <v>5.1599587203310371E-4</v>
      </c>
      <c r="G351">
        <f t="shared" si="17"/>
        <v>-6.7600075048124318E-4</v>
      </c>
    </row>
    <row r="352" spans="1:7">
      <c r="A352" s="1">
        <v>45819.705555555556</v>
      </c>
      <c r="B352" s="2">
        <v>80.19</v>
      </c>
      <c r="C352" s="2">
        <v>19.39</v>
      </c>
      <c r="E352">
        <f t="shared" si="15"/>
        <v>-2.656191545080433E-2</v>
      </c>
      <c r="F352">
        <f t="shared" si="16"/>
        <v>1.186178442496133E-2</v>
      </c>
      <c r="G352">
        <f t="shared" si="17"/>
        <v>4.4978823437708416E-3</v>
      </c>
    </row>
    <row r="353" spans="1:7">
      <c r="A353" s="1">
        <v>45820.705555555556</v>
      </c>
      <c r="B353" s="2">
        <v>78.06</v>
      </c>
      <c r="C353" s="2">
        <v>19.62</v>
      </c>
      <c r="E353">
        <f t="shared" si="15"/>
        <v>-2.1137586471944747E-2</v>
      </c>
      <c r="F353">
        <f t="shared" si="16"/>
        <v>1.2742099898063186E-2</v>
      </c>
      <c r="G353">
        <f t="shared" si="17"/>
        <v>6.2490580052511659E-3</v>
      </c>
    </row>
    <row r="354" spans="1:7">
      <c r="A354" s="1">
        <v>45821.705555555556</v>
      </c>
      <c r="B354" s="2">
        <v>76.41</v>
      </c>
      <c r="C354" s="2">
        <v>19.87</v>
      </c>
      <c r="E354">
        <f t="shared" si="15"/>
        <v>2.5258474021724986E-2</v>
      </c>
      <c r="F354">
        <f t="shared" si="16"/>
        <v>-2.3653749370911026E-2</v>
      </c>
      <c r="G354">
        <f t="shared" si="17"/>
        <v>-1.4279721757712336E-2</v>
      </c>
    </row>
    <row r="355" spans="1:7">
      <c r="A355" s="1">
        <v>45824.705555555556</v>
      </c>
      <c r="B355" s="2">
        <v>78.34</v>
      </c>
      <c r="C355" s="2">
        <v>19.399999999999999</v>
      </c>
      <c r="E355">
        <f t="shared" si="15"/>
        <v>-3.9315802910390607E-2</v>
      </c>
      <c r="F355">
        <f t="shared" si="16"/>
        <v>-2.0618556701030855E-3</v>
      </c>
      <c r="G355">
        <f t="shared" si="17"/>
        <v>-9.201574658704189E-3</v>
      </c>
    </row>
    <row r="356" spans="1:7">
      <c r="A356" s="1">
        <v>45826.705555555556</v>
      </c>
      <c r="B356" s="2">
        <v>75.260000000000005</v>
      </c>
      <c r="C356" s="2">
        <v>19.36</v>
      </c>
      <c r="E356">
        <f t="shared" si="15"/>
        <v>-1.1958543715121506E-3</v>
      </c>
      <c r="F356">
        <f t="shared" si="16"/>
        <v>3.0991735537191367E-3</v>
      </c>
      <c r="G356">
        <f t="shared" si="17"/>
        <v>2.2760314518485607E-3</v>
      </c>
    </row>
    <row r="357" spans="1:7">
      <c r="A357" s="1">
        <v>45828.705555555556</v>
      </c>
      <c r="B357" s="2">
        <v>75.17</v>
      </c>
      <c r="C357" s="2">
        <v>19.420000000000002</v>
      </c>
      <c r="E357">
        <f t="shared" si="15"/>
        <v>-1.8092324065451582E-2</v>
      </c>
      <c r="F357">
        <f t="shared" si="16"/>
        <v>-5.14933058702427E-4</v>
      </c>
      <c r="G357">
        <f t="shared" si="17"/>
        <v>-3.8836400451459025E-3</v>
      </c>
    </row>
    <row r="358" spans="1:7">
      <c r="A358" s="1">
        <v>45831.705555555556</v>
      </c>
      <c r="B358" s="2">
        <v>73.81</v>
      </c>
      <c r="C358" s="2">
        <v>19.41</v>
      </c>
      <c r="E358">
        <f t="shared" si="15"/>
        <v>3.3735266224088845E-2</v>
      </c>
      <c r="F358">
        <f t="shared" si="16"/>
        <v>-1.0819165378670781E-2</v>
      </c>
      <c r="G358">
        <f t="shared" si="17"/>
        <v>-2.2803085620018999E-3</v>
      </c>
    </row>
    <row r="359" spans="1:7">
      <c r="A359" s="1">
        <v>45832.705555555556</v>
      </c>
      <c r="B359" s="2">
        <v>76.3</v>
      </c>
      <c r="C359" s="2">
        <v>19.2</v>
      </c>
      <c r="E359">
        <f t="shared" si="15"/>
        <v>1.7693315858453573E-2</v>
      </c>
      <c r="F359">
        <f t="shared" si="16"/>
        <v>8.3333333333333037E-3</v>
      </c>
      <c r="G359">
        <f t="shared" si="17"/>
        <v>1.0127173984272602E-2</v>
      </c>
    </row>
    <row r="360" spans="1:7">
      <c r="A360" s="1">
        <v>45833.705555555556</v>
      </c>
      <c r="B360" s="2">
        <v>77.650000000000006</v>
      </c>
      <c r="C360" s="2">
        <v>19.36</v>
      </c>
      <c r="E360">
        <f t="shared" si="15"/>
        <v>-1.5325177076626062E-2</v>
      </c>
      <c r="F360">
        <f t="shared" si="16"/>
        <v>-1.0330578512396604E-2</v>
      </c>
      <c r="G360">
        <f t="shared" si="17"/>
        <v>-1.1287793327231179E-2</v>
      </c>
    </row>
    <row r="361" spans="1:7">
      <c r="A361" s="1">
        <v>45834.705555555556</v>
      </c>
      <c r="B361" s="2">
        <v>76.459999999999994</v>
      </c>
      <c r="C361" s="2">
        <v>19.16</v>
      </c>
      <c r="E361">
        <f t="shared" si="15"/>
        <v>-7.0625163484173692E-3</v>
      </c>
      <c r="F361">
        <f t="shared" si="16"/>
        <v>-2.2442588726513502E-2</v>
      </c>
      <c r="G361">
        <f t="shared" si="17"/>
        <v>-1.9494997855251377E-2</v>
      </c>
    </row>
    <row r="362" spans="1:7">
      <c r="A362" s="1">
        <v>45835.705555555556</v>
      </c>
      <c r="B362" s="2">
        <v>75.92</v>
      </c>
      <c r="C362" s="2">
        <v>18.73</v>
      </c>
      <c r="E362">
        <f t="shared" si="15"/>
        <v>1.0800842992623627E-2</v>
      </c>
      <c r="F362">
        <f t="shared" si="16"/>
        <v>2.1356113187398496E-3</v>
      </c>
      <c r="G362">
        <f t="shared" si="17"/>
        <v>3.7963029690396754E-3</v>
      </c>
    </row>
    <row r="363" spans="1:7">
      <c r="A363" s="1">
        <v>45838.705555555556</v>
      </c>
      <c r="B363" s="2">
        <v>76.739999999999995</v>
      </c>
      <c r="C363" s="2">
        <v>18.77</v>
      </c>
      <c r="E363">
        <f t="shared" si="15"/>
        <v>-2.3846755277560527E-2</v>
      </c>
      <c r="F363">
        <f t="shared" si="16"/>
        <v>1.4384656366542403E-2</v>
      </c>
      <c r="G363">
        <f t="shared" si="17"/>
        <v>7.0576063249500774E-3</v>
      </c>
    </row>
    <row r="364" spans="1:7">
      <c r="A364" s="1">
        <v>45839.705555555556</v>
      </c>
      <c r="B364" s="2">
        <v>74.91</v>
      </c>
      <c r="C364" s="2">
        <v>19.04</v>
      </c>
      <c r="E364">
        <f t="shared" si="15"/>
        <v>3.6310238953410678E-2</v>
      </c>
      <c r="F364">
        <f t="shared" si="16"/>
        <v>0</v>
      </c>
      <c r="G364">
        <f t="shared" si="17"/>
        <v>6.958857295421156E-3</v>
      </c>
    </row>
    <row r="365" spans="1:7">
      <c r="A365" s="1">
        <v>45840.705555555556</v>
      </c>
      <c r="B365" s="2">
        <v>77.63</v>
      </c>
      <c r="C365" s="2">
        <v>19.04</v>
      </c>
      <c r="E365">
        <f t="shared" si="15"/>
        <v>-3.4780368414272234E-3</v>
      </c>
      <c r="F365">
        <f t="shared" si="16"/>
        <v>-1.0504201680672232E-2</v>
      </c>
      <c r="G365">
        <f t="shared" si="17"/>
        <v>-9.1576371892309258E-3</v>
      </c>
    </row>
    <row r="366" spans="1:7">
      <c r="A366" s="1">
        <v>45841.705555555556</v>
      </c>
      <c r="B366" s="2">
        <v>77.36</v>
      </c>
      <c r="C366" s="2">
        <v>18.84</v>
      </c>
      <c r="E366">
        <f t="shared" si="15"/>
        <v>-1.3055842812823237E-2</v>
      </c>
      <c r="F366">
        <f t="shared" si="16"/>
        <v>3.7154989384289294E-3</v>
      </c>
      <c r="G366">
        <f t="shared" si="17"/>
        <v>5.0127129180145211E-4</v>
      </c>
    </row>
    <row r="367" spans="1:7">
      <c r="A367" s="1">
        <v>45842.705555555556</v>
      </c>
      <c r="B367" s="2">
        <v>76.349999999999994</v>
      </c>
      <c r="C367" s="2">
        <v>18.91</v>
      </c>
      <c r="E367">
        <f t="shared" si="15"/>
        <v>8.7753765553373331E-3</v>
      </c>
      <c r="F367">
        <f t="shared" si="16"/>
        <v>1.057641459545211E-2</v>
      </c>
      <c r="G367">
        <f t="shared" si="17"/>
        <v>1.0231245655064114E-2</v>
      </c>
    </row>
    <row r="368" spans="1:7">
      <c r="A368" s="1">
        <v>45845.705555555556</v>
      </c>
      <c r="B368" s="2">
        <v>77.02</v>
      </c>
      <c r="C368" s="2">
        <v>19.11</v>
      </c>
      <c r="E368">
        <f t="shared" si="15"/>
        <v>1.077642170864701E-2</v>
      </c>
      <c r="F368">
        <f t="shared" si="16"/>
        <v>-1.831501831501825E-2</v>
      </c>
      <c r="G368">
        <f t="shared" si="17"/>
        <v>-1.2739643834482804E-2</v>
      </c>
    </row>
    <row r="369" spans="1:7">
      <c r="A369" s="1">
        <v>45846.705555555556</v>
      </c>
      <c r="B369" s="2">
        <v>77.849999999999994</v>
      </c>
      <c r="C369" s="2">
        <v>18.760000000000002</v>
      </c>
      <c r="E369">
        <f t="shared" si="15"/>
        <v>3.635195889531162E-2</v>
      </c>
      <c r="F369">
        <f t="shared" si="16"/>
        <v>1.7590618336886799E-2</v>
      </c>
      <c r="G369">
        <f t="shared" si="17"/>
        <v>2.1186229254908914E-2</v>
      </c>
    </row>
    <row r="370" spans="1:7">
      <c r="A370" s="1">
        <v>45847.705555555556</v>
      </c>
      <c r="B370" s="2">
        <v>80.680000000000007</v>
      </c>
      <c r="C370" s="2">
        <v>19.09</v>
      </c>
      <c r="E370">
        <f t="shared" si="15"/>
        <v>2.6896380763510086E-2</v>
      </c>
      <c r="F370">
        <f t="shared" si="16"/>
        <v>7.8575170246202308E-3</v>
      </c>
      <c r="G370">
        <f t="shared" si="17"/>
        <v>1.1506315260178472E-2</v>
      </c>
    </row>
    <row r="371" spans="1:7">
      <c r="A371" s="1">
        <v>45848.705555555556</v>
      </c>
      <c r="B371" s="2">
        <v>82.85</v>
      </c>
      <c r="C371" s="2">
        <v>19.239999999999998</v>
      </c>
      <c r="E371">
        <f t="shared" si="15"/>
        <v>4.0555220277610049E-2</v>
      </c>
      <c r="F371">
        <f t="shared" si="16"/>
        <v>1.2474012474012586E-2</v>
      </c>
      <c r="G371">
        <f t="shared" si="17"/>
        <v>1.785577594957204E-2</v>
      </c>
    </row>
    <row r="372" spans="1:7">
      <c r="A372" s="1">
        <v>45849.705555555556</v>
      </c>
      <c r="B372" s="2">
        <v>86.21</v>
      </c>
      <c r="C372" s="2">
        <v>19.48</v>
      </c>
      <c r="E372">
        <f t="shared" si="15"/>
        <v>2.4939102192321094E-2</v>
      </c>
      <c r="F372">
        <f t="shared" si="16"/>
        <v>2.0533880903490509E-3</v>
      </c>
      <c r="G372">
        <f t="shared" si="17"/>
        <v>6.4394351979919929E-3</v>
      </c>
    </row>
    <row r="373" spans="1:7">
      <c r="A373" s="1">
        <v>45852.705555555556</v>
      </c>
      <c r="B373" s="2">
        <v>88.36</v>
      </c>
      <c r="C373" s="2">
        <v>19.52</v>
      </c>
      <c r="E373">
        <f t="shared" si="15"/>
        <v>-2.8972385694884584E-2</v>
      </c>
      <c r="F373">
        <f t="shared" si="16"/>
        <v>-7.6844262295081567E-3</v>
      </c>
      <c r="G373">
        <f t="shared" si="17"/>
        <v>-1.1764263661047549E-2</v>
      </c>
    </row>
    <row r="374" spans="1:7">
      <c r="A374" s="1">
        <v>45853.705555555556</v>
      </c>
      <c r="B374" s="2">
        <v>85.8</v>
      </c>
      <c r="C374" s="2">
        <v>19.37</v>
      </c>
      <c r="E374">
        <f t="shared" si="15"/>
        <v>3.7296037296037365E-2</v>
      </c>
      <c r="F374">
        <f t="shared" si="16"/>
        <v>4.6463603510582541E-3</v>
      </c>
      <c r="G374">
        <f t="shared" si="17"/>
        <v>1.09036709375635E-2</v>
      </c>
    </row>
    <row r="375" spans="1:7">
      <c r="A375" s="1">
        <v>45854.705555555556</v>
      </c>
      <c r="B375" s="2">
        <v>89</v>
      </c>
      <c r="C375" s="2">
        <v>19.46</v>
      </c>
      <c r="E375">
        <f t="shared" si="15"/>
        <v>7.1910112359550027E-3</v>
      </c>
      <c r="F375">
        <f t="shared" si="16"/>
        <v>-5.1387461459404538E-3</v>
      </c>
      <c r="G375">
        <f t="shared" si="17"/>
        <v>-2.7757481437001895E-3</v>
      </c>
    </row>
    <row r="376" spans="1:7">
      <c r="A376" s="1">
        <v>45855.705555555556</v>
      </c>
      <c r="B376" s="2">
        <v>89.64</v>
      </c>
      <c r="C376" s="2">
        <v>19.36</v>
      </c>
      <c r="E376">
        <f t="shared" si="15"/>
        <v>4.0160642570281624E-3</v>
      </c>
      <c r="F376">
        <f t="shared" si="16"/>
        <v>9.8140495867768962E-3</v>
      </c>
      <c r="G376">
        <f t="shared" si="17"/>
        <v>8.702865698330552E-3</v>
      </c>
    </row>
    <row r="377" spans="1:7">
      <c r="A377" s="1">
        <v>45856.705555555556</v>
      </c>
      <c r="B377" s="2">
        <v>90</v>
      </c>
      <c r="C377" s="2">
        <v>19.55</v>
      </c>
      <c r="E377">
        <f t="shared" si="15"/>
        <v>1.1222222222222245E-2</v>
      </c>
      <c r="F377">
        <f t="shared" si="16"/>
        <v>1.1253196930946174E-2</v>
      </c>
      <c r="G377">
        <f t="shared" si="17"/>
        <v>1.1247260628019232E-2</v>
      </c>
    </row>
    <row r="378" spans="1:7">
      <c r="A378" s="1">
        <v>45859.705555555556</v>
      </c>
      <c r="B378" s="2">
        <v>91.01</v>
      </c>
      <c r="C378" s="2">
        <v>19.77</v>
      </c>
      <c r="E378">
        <f t="shared" si="15"/>
        <v>1.4174266564113802E-2</v>
      </c>
      <c r="F378">
        <f t="shared" si="16"/>
        <v>9.6105209914012502E-3</v>
      </c>
      <c r="G378">
        <f t="shared" si="17"/>
        <v>1.048516283041161E-2</v>
      </c>
    </row>
    <row r="379" spans="1:7">
      <c r="A379" s="1">
        <v>45860.705555555556</v>
      </c>
      <c r="B379" s="2">
        <v>92.3</v>
      </c>
      <c r="C379" s="2">
        <v>19.96</v>
      </c>
      <c r="E379">
        <f t="shared" si="15"/>
        <v>-1.9501625135427969E-2</v>
      </c>
      <c r="F379">
        <f t="shared" si="16"/>
        <v>-2.0040080160320772E-2</v>
      </c>
      <c r="G379">
        <f t="shared" si="17"/>
        <v>-1.9936885254800064E-2</v>
      </c>
    </row>
    <row r="380" spans="1:7">
      <c r="A380" s="1">
        <v>45861.705555555556</v>
      </c>
      <c r="B380" s="2">
        <v>90.5</v>
      </c>
      <c r="C380" s="2">
        <v>19.559999999999999</v>
      </c>
      <c r="E380">
        <f t="shared" si="15"/>
        <v>9.3922651933699974E-3</v>
      </c>
      <c r="F380">
        <f t="shared" si="16"/>
        <v>-6.64621676891608E-3</v>
      </c>
      <c r="G380">
        <f t="shared" si="17"/>
        <v>-3.5724417008439536E-3</v>
      </c>
    </row>
    <row r="381" spans="1:7">
      <c r="A381" s="1">
        <v>45862.705555555556</v>
      </c>
      <c r="B381" s="2">
        <v>91.35</v>
      </c>
      <c r="C381" s="2">
        <v>19.43</v>
      </c>
      <c r="E381">
        <f t="shared" si="15"/>
        <v>-1.904761904761898E-2</v>
      </c>
      <c r="F381">
        <f t="shared" si="16"/>
        <v>-2.5733401955738699E-3</v>
      </c>
      <c r="G381">
        <f t="shared" si="17"/>
        <v>-5.730635737568315E-3</v>
      </c>
    </row>
    <row r="382" spans="1:7">
      <c r="A382" s="1">
        <v>45863.705555555556</v>
      </c>
      <c r="B382" s="2">
        <v>89.61</v>
      </c>
      <c r="C382" s="2">
        <v>19.38</v>
      </c>
      <c r="E382">
        <f t="shared" si="15"/>
        <v>1.4730498828255945E-2</v>
      </c>
      <c r="F382">
        <f t="shared" si="16"/>
        <v>-1.0319917440659854E-3</v>
      </c>
      <c r="G382">
        <f t="shared" si="17"/>
        <v>1.9888895741195121E-3</v>
      </c>
    </row>
    <row r="383" spans="1:7">
      <c r="A383" s="1">
        <v>45866.705555555556</v>
      </c>
      <c r="B383" s="2">
        <v>90.93</v>
      </c>
      <c r="C383" s="2">
        <v>19.36</v>
      </c>
      <c r="E383">
        <f t="shared" si="15"/>
        <v>-4.1790388210712903E-3</v>
      </c>
      <c r="F383">
        <f t="shared" si="16"/>
        <v>0</v>
      </c>
      <c r="G383">
        <f t="shared" si="17"/>
        <v>-8.009127900583127E-4</v>
      </c>
    </row>
    <row r="384" spans="1:7">
      <c r="A384" s="1">
        <v>45867.705555555556</v>
      </c>
      <c r="B384" s="2">
        <v>90.55</v>
      </c>
      <c r="C384" s="2">
        <v>19.36</v>
      </c>
      <c r="E384">
        <f t="shared" si="15"/>
        <v>-1.104362230811673E-3</v>
      </c>
      <c r="F384">
        <f t="shared" si="16"/>
        <v>-1.6528925619834767E-2</v>
      </c>
      <c r="G384">
        <f t="shared" si="17"/>
        <v>-1.357280804632849E-2</v>
      </c>
    </row>
    <row r="385" spans="1:7">
      <c r="A385" s="1">
        <v>45868.705555555556</v>
      </c>
      <c r="B385" s="2">
        <v>90.45</v>
      </c>
      <c r="C385" s="2">
        <v>19.04</v>
      </c>
      <c r="E385">
        <f t="shared" si="15"/>
        <v>3.3167495854062867E-3</v>
      </c>
      <c r="F385">
        <f t="shared" si="16"/>
        <v>1.0504201680672232E-2</v>
      </c>
      <c r="G385">
        <f t="shared" si="17"/>
        <v>9.1267264866145125E-3</v>
      </c>
    </row>
    <row r="386" spans="1:7">
      <c r="A386" s="1">
        <v>45869.705555555556</v>
      </c>
      <c r="B386" s="2">
        <v>90.75</v>
      </c>
      <c r="C386" s="2">
        <v>19.239999999999998</v>
      </c>
      <c r="E386">
        <f t="shared" si="15"/>
        <v>-4.7052341597796143E-2</v>
      </c>
      <c r="F386">
        <f t="shared" si="16"/>
        <v>1.195426195426208E-2</v>
      </c>
      <c r="G386">
        <f t="shared" si="17"/>
        <v>6.4564638351012268E-4</v>
      </c>
    </row>
    <row r="387" spans="1:7">
      <c r="A387" s="1">
        <v>45870.705555555556</v>
      </c>
      <c r="B387" s="2">
        <v>86.48</v>
      </c>
      <c r="C387" s="2">
        <v>19.47</v>
      </c>
      <c r="E387">
        <f t="shared" ref="E387:E450" si="18">(B388/B387)-1</f>
        <v>9.7132284921368495E-3</v>
      </c>
      <c r="F387">
        <f t="shared" ref="F387:F450" si="19">(C388/C387)-1</f>
        <v>-3.0816640986132127E-3</v>
      </c>
      <c r="G387">
        <f t="shared" ref="G387:G450" si="20">$J$5*E387+$J$6*F387</f>
        <v>-6.2952293359596354E-4</v>
      </c>
    </row>
    <row r="388" spans="1:7">
      <c r="A388" s="1">
        <v>45873.705555555556</v>
      </c>
      <c r="B388" s="2">
        <v>87.32</v>
      </c>
      <c r="C388" s="2">
        <v>19.41</v>
      </c>
      <c r="E388">
        <f t="shared" si="18"/>
        <v>-7.4438845625285355E-3</v>
      </c>
      <c r="F388">
        <f t="shared" si="19"/>
        <v>2.0607934054610588E-3</v>
      </c>
      <c r="G388">
        <f t="shared" si="20"/>
        <v>2.3922187289585322E-4</v>
      </c>
    </row>
    <row r="389" spans="1:7">
      <c r="A389" s="1">
        <v>45874.705555555556</v>
      </c>
      <c r="B389" s="2">
        <v>86.67</v>
      </c>
      <c r="C389" s="2">
        <v>19.45</v>
      </c>
      <c r="E389">
        <f t="shared" si="18"/>
        <v>7.1535710164993827E-3</v>
      </c>
      <c r="F389">
        <f t="shared" si="19"/>
        <v>-9.7686375321335284E-3</v>
      </c>
      <c r="G389">
        <f t="shared" si="20"/>
        <v>-6.52549626378803E-3</v>
      </c>
    </row>
    <row r="390" spans="1:7">
      <c r="A390" s="1">
        <v>45875.705555555556</v>
      </c>
      <c r="B390" s="2">
        <v>87.29</v>
      </c>
      <c r="C390" s="2">
        <v>19.260000000000002</v>
      </c>
      <c r="E390">
        <f t="shared" si="18"/>
        <v>1.4090961163936155E-2</v>
      </c>
      <c r="F390">
        <f t="shared" si="19"/>
        <v>5.1921079958461291E-4</v>
      </c>
      <c r="G390">
        <f t="shared" si="20"/>
        <v>3.1202367569125862E-3</v>
      </c>
    </row>
    <row r="391" spans="1:7">
      <c r="A391" s="1">
        <v>45876.705555555556</v>
      </c>
      <c r="B391" s="2">
        <v>88.52</v>
      </c>
      <c r="C391" s="2">
        <v>19.27</v>
      </c>
      <c r="E391">
        <f t="shared" si="18"/>
        <v>6.7781292363309209E-3</v>
      </c>
      <c r="F391">
        <f t="shared" si="19"/>
        <v>2.0757654385052948E-3</v>
      </c>
      <c r="G391">
        <f t="shared" si="20"/>
        <v>2.9769734603585759E-3</v>
      </c>
    </row>
    <row r="392" spans="1:7">
      <c r="A392" s="1">
        <v>45877.705555555556</v>
      </c>
      <c r="B392" s="2">
        <v>89.12</v>
      </c>
      <c r="C392" s="2">
        <v>19.309999999999999</v>
      </c>
      <c r="E392">
        <f t="shared" si="18"/>
        <v>2.1880610412926327E-2</v>
      </c>
      <c r="F392">
        <f t="shared" si="19"/>
        <v>-1.4500258933195065E-2</v>
      </c>
      <c r="G392">
        <f t="shared" si="20"/>
        <v>-7.5278653230109E-3</v>
      </c>
    </row>
    <row r="393" spans="1:7">
      <c r="A393" s="1">
        <v>45880.705555555556</v>
      </c>
      <c r="B393" s="2">
        <v>91.07</v>
      </c>
      <c r="C393" s="2">
        <v>19.03</v>
      </c>
      <c r="E393">
        <f t="shared" si="18"/>
        <v>8.0158120127375998E-3</v>
      </c>
      <c r="F393">
        <f t="shared" si="19"/>
        <v>-1.0509721492380608E-2</v>
      </c>
      <c r="G393">
        <f t="shared" si="20"/>
        <v>-6.9593029961247041E-3</v>
      </c>
    </row>
    <row r="394" spans="1:7">
      <c r="A394" s="1">
        <v>45881.705555555556</v>
      </c>
      <c r="B394" s="2">
        <v>91.8</v>
      </c>
      <c r="C394" s="2">
        <v>18.829999999999998</v>
      </c>
      <c r="E394">
        <f t="shared" si="18"/>
        <v>2.8758169934640421E-2</v>
      </c>
      <c r="F394">
        <f t="shared" si="19"/>
        <v>5.3106744556559171E-3</v>
      </c>
      <c r="G394">
        <f t="shared" si="20"/>
        <v>9.8043869642032953E-3</v>
      </c>
    </row>
    <row r="395" spans="1:7">
      <c r="A395" s="1">
        <v>45882.705555555556</v>
      </c>
      <c r="B395" s="2">
        <v>94.44</v>
      </c>
      <c r="C395" s="2">
        <v>18.93</v>
      </c>
      <c r="E395">
        <f t="shared" si="18"/>
        <v>-3.5895806861499402E-2</v>
      </c>
      <c r="F395">
        <f t="shared" si="19"/>
        <v>-3.1695721077653616E-3</v>
      </c>
      <c r="G395">
        <f t="shared" si="20"/>
        <v>-9.4415549983184899E-3</v>
      </c>
    </row>
    <row r="396" spans="1:7">
      <c r="A396" s="1">
        <v>45883.705555555556</v>
      </c>
      <c r="B396" s="2">
        <v>91.05</v>
      </c>
      <c r="C396" s="2">
        <v>18.87</v>
      </c>
      <c r="E396">
        <f t="shared" si="18"/>
        <v>-1.2630422844590816E-2</v>
      </c>
      <c r="F396">
        <f t="shared" si="19"/>
        <v>-2.6497085320614788E-3</v>
      </c>
      <c r="G396">
        <f t="shared" si="20"/>
        <v>-4.5625124300577267E-3</v>
      </c>
    </row>
    <row r="397" spans="1:7">
      <c r="A397" s="1">
        <v>45884.705555555556</v>
      </c>
      <c r="B397" s="2">
        <v>89.9</v>
      </c>
      <c r="C397" s="2">
        <v>18.82</v>
      </c>
      <c r="E397">
        <f t="shared" si="18"/>
        <v>3.4482758620688614E-3</v>
      </c>
      <c r="F397">
        <f t="shared" si="19"/>
        <v>5.8448459086077875E-3</v>
      </c>
      <c r="G397">
        <f t="shared" si="20"/>
        <v>5.3855432591886025E-3</v>
      </c>
    </row>
    <row r="398" spans="1:7">
      <c r="A398" s="1">
        <v>45887.705555555556</v>
      </c>
      <c r="B398" s="2">
        <v>90.21</v>
      </c>
      <c r="C398" s="2">
        <v>18.93</v>
      </c>
      <c r="E398">
        <f t="shared" si="18"/>
        <v>-2.0840261611794642E-2</v>
      </c>
      <c r="F398">
        <f t="shared" si="19"/>
        <v>5.282620179609232E-3</v>
      </c>
      <c r="G398">
        <f t="shared" si="20"/>
        <v>2.7616988428668006E-4</v>
      </c>
    </row>
    <row r="399" spans="1:7">
      <c r="A399" s="1">
        <v>45888.705555555556</v>
      </c>
      <c r="B399" s="2">
        <v>88.33</v>
      </c>
      <c r="C399" s="2">
        <v>19.03</v>
      </c>
      <c r="E399">
        <f t="shared" si="18"/>
        <v>1.4491112872183853E-2</v>
      </c>
      <c r="F399">
        <f t="shared" si="19"/>
        <v>5.7803468208093012E-3</v>
      </c>
      <c r="G399">
        <f t="shared" si="20"/>
        <v>7.4497651345552338E-3</v>
      </c>
    </row>
    <row r="400" spans="1:7">
      <c r="A400" s="1">
        <v>45889.705555555556</v>
      </c>
      <c r="B400" s="2">
        <v>89.61</v>
      </c>
      <c r="C400" s="2">
        <v>19.14</v>
      </c>
      <c r="E400">
        <f t="shared" si="18"/>
        <v>-2.0756611985269457E-2</v>
      </c>
      <c r="F400">
        <f t="shared" si="19"/>
        <v>-1.5673981191223207E-3</v>
      </c>
      <c r="G400">
        <f t="shared" si="20"/>
        <v>-5.2450109565694196E-3</v>
      </c>
    </row>
    <row r="401" spans="1:7">
      <c r="A401" s="1">
        <v>45890.705555555556</v>
      </c>
      <c r="B401" s="2">
        <v>87.75</v>
      </c>
      <c r="C401" s="2">
        <v>19.11</v>
      </c>
      <c r="E401">
        <f t="shared" si="18"/>
        <v>4.9572649572649619E-2</v>
      </c>
      <c r="F401">
        <f t="shared" si="19"/>
        <v>0</v>
      </c>
      <c r="G401">
        <f t="shared" si="20"/>
        <v>9.5005982905982996E-3</v>
      </c>
    </row>
    <row r="402" spans="1:7">
      <c r="A402" s="1">
        <v>45891.705555555556</v>
      </c>
      <c r="B402" s="2">
        <v>92.1</v>
      </c>
      <c r="C402" s="2">
        <v>19.11</v>
      </c>
      <c r="E402">
        <f t="shared" si="18"/>
        <v>-5.646036916395214E-2</v>
      </c>
      <c r="F402">
        <f t="shared" si="19"/>
        <v>-3.1397174254316207E-3</v>
      </c>
      <c r="G402">
        <f t="shared" si="20"/>
        <v>-1.3358620331119078E-2</v>
      </c>
    </row>
    <row r="403" spans="1:7">
      <c r="A403" s="1">
        <v>45894.705555555556</v>
      </c>
      <c r="B403" s="2">
        <v>86.9</v>
      </c>
      <c r="C403" s="2">
        <v>19.05</v>
      </c>
      <c r="E403">
        <f t="shared" si="18"/>
        <v>1.5535097813578869E-2</v>
      </c>
      <c r="F403">
        <f t="shared" si="19"/>
        <v>9.4488188976378229E-3</v>
      </c>
      <c r="G403">
        <f t="shared" si="20"/>
        <v>1.0615254251877924E-2</v>
      </c>
    </row>
    <row r="404" spans="1:7">
      <c r="A404" s="1">
        <v>45895.705555555556</v>
      </c>
      <c r="B404" s="2">
        <v>88.25</v>
      </c>
      <c r="C404" s="2">
        <v>19.23</v>
      </c>
      <c r="E404">
        <f t="shared" si="18"/>
        <v>-3.9660056657223608E-3</v>
      </c>
      <c r="F404">
        <f t="shared" si="19"/>
        <v>-5.2002080083213276E-4</v>
      </c>
      <c r="G404">
        <f t="shared" si="20"/>
        <v>-1.1804438001883448E-3</v>
      </c>
    </row>
    <row r="405" spans="1:7">
      <c r="A405" s="1">
        <v>45896.705555555556</v>
      </c>
      <c r="B405" s="2">
        <v>87.9</v>
      </c>
      <c r="C405" s="2">
        <v>19.22</v>
      </c>
      <c r="E405">
        <f t="shared" si="18"/>
        <v>-2.5028441410693825E-3</v>
      </c>
      <c r="F405">
        <f t="shared" si="19"/>
        <v>4.6826222684703822E-3</v>
      </c>
      <c r="G405">
        <f t="shared" si="20"/>
        <v>3.3055276310820867E-3</v>
      </c>
    </row>
    <row r="406" spans="1:7">
      <c r="A406" s="1">
        <v>45897.705555555556</v>
      </c>
      <c r="B406" s="2">
        <v>87.68</v>
      </c>
      <c r="C406" s="2">
        <v>19.309999999999999</v>
      </c>
      <c r="E406">
        <f t="shared" si="18"/>
        <v>-2.7372262773722733E-2</v>
      </c>
      <c r="F406">
        <f t="shared" si="19"/>
        <v>1.3982392542724043E-2</v>
      </c>
      <c r="G406">
        <f t="shared" si="20"/>
        <v>6.0567728513270186E-3</v>
      </c>
    </row>
    <row r="407" spans="1:7">
      <c r="A407" s="1">
        <v>45898.705555555556</v>
      </c>
      <c r="B407" s="2">
        <v>85.28</v>
      </c>
      <c r="C407" s="2">
        <v>19.579999999999998</v>
      </c>
      <c r="E407">
        <f t="shared" si="18"/>
        <v>7.2701688555347754E-3</v>
      </c>
      <c r="F407">
        <f t="shared" si="19"/>
        <v>4.0858018386109585E-3</v>
      </c>
      <c r="G407">
        <f t="shared" si="20"/>
        <v>4.6960857774044082E-3</v>
      </c>
    </row>
    <row r="408" spans="1:7">
      <c r="A408" s="1">
        <v>45901.705555555556</v>
      </c>
      <c r="B408" s="2">
        <v>85.9</v>
      </c>
      <c r="C408" s="2">
        <v>19.66</v>
      </c>
      <c r="E408">
        <f t="shared" si="18"/>
        <v>1.6298020954598202E-2</v>
      </c>
      <c r="F408">
        <f t="shared" si="19"/>
        <v>2.7975584944048837E-2</v>
      </c>
      <c r="G408">
        <f t="shared" si="20"/>
        <v>2.5737579805470624E-2</v>
      </c>
    </row>
    <row r="409" spans="1:7">
      <c r="A409" s="1">
        <v>45902.705555555556</v>
      </c>
      <c r="B409" s="2">
        <v>87.3</v>
      </c>
      <c r="C409" s="2">
        <v>20.21</v>
      </c>
      <c r="E409">
        <f t="shared" si="18"/>
        <v>1.3631156930125954E-2</v>
      </c>
      <c r="F409">
        <f t="shared" si="19"/>
        <v>3.9584364176150633E-3</v>
      </c>
      <c r="G409">
        <f t="shared" si="20"/>
        <v>5.8122133038377754E-3</v>
      </c>
    </row>
    <row r="410" spans="1:7">
      <c r="A410" s="1">
        <v>45903.705555555556</v>
      </c>
      <c r="B410" s="2">
        <v>88.49</v>
      </c>
      <c r="C410" s="2">
        <v>20.29</v>
      </c>
      <c r="E410">
        <f t="shared" si="18"/>
        <v>-1.9889253022940312E-2</v>
      </c>
      <c r="F410">
        <f t="shared" si="19"/>
        <v>-4.4356826022671214E-3</v>
      </c>
      <c r="G410">
        <f t="shared" si="20"/>
        <v>-7.3973593733891382E-3</v>
      </c>
    </row>
    <row r="411" spans="1:7">
      <c r="A411" s="1">
        <v>45904.705555555556</v>
      </c>
      <c r="B411" s="2">
        <v>86.73</v>
      </c>
      <c r="C411" s="2">
        <v>20.2</v>
      </c>
      <c r="E411">
        <f t="shared" si="18"/>
        <v>3.9202121526575873E-3</v>
      </c>
      <c r="F411">
        <f t="shared" si="19"/>
        <v>6.4356435643564414E-3</v>
      </c>
      <c r="G411">
        <f t="shared" si="20"/>
        <v>5.9535611343043563E-3</v>
      </c>
    </row>
    <row r="412" spans="1:7">
      <c r="A412" s="1">
        <v>45905.705555555556</v>
      </c>
      <c r="B412" s="2">
        <v>87.07</v>
      </c>
      <c r="C412" s="2">
        <v>20.329999999999998</v>
      </c>
      <c r="E412">
        <f t="shared" si="18"/>
        <v>6.3167566325945668E-3</v>
      </c>
      <c r="F412">
        <f t="shared" si="19"/>
        <v>1.1313330054107285E-2</v>
      </c>
      <c r="G412">
        <f t="shared" si="20"/>
        <v>1.0355736757874372E-2</v>
      </c>
    </row>
    <row r="413" spans="1:7">
      <c r="A413" s="1">
        <v>45908.705555555556</v>
      </c>
      <c r="B413" s="2">
        <v>87.62</v>
      </c>
      <c r="C413" s="2">
        <v>20.56</v>
      </c>
      <c r="E413">
        <f t="shared" si="18"/>
        <v>-4.565167769916556E-4</v>
      </c>
      <c r="F413">
        <f t="shared" si="19"/>
        <v>1.4591439688715901E-3</v>
      </c>
      <c r="G413">
        <f t="shared" si="20"/>
        <v>1.0920075869268991E-3</v>
      </c>
    </row>
    <row r="414" spans="1:7">
      <c r="A414" s="1">
        <v>45909.705555555556</v>
      </c>
      <c r="B414" s="2">
        <v>87.58</v>
      </c>
      <c r="C414" s="2">
        <v>20.59</v>
      </c>
      <c r="E414">
        <f t="shared" si="18"/>
        <v>1.3701758392327124E-2</v>
      </c>
      <c r="F414">
        <f t="shared" si="19"/>
        <v>-9.7134531325882012E-4</v>
      </c>
      <c r="G414">
        <f t="shared" si="20"/>
        <v>1.8407550119167258E-3</v>
      </c>
    </row>
    <row r="415" spans="1:7">
      <c r="A415" s="1">
        <v>45910.705555555556</v>
      </c>
      <c r="B415" s="2">
        <v>88.78</v>
      </c>
      <c r="C415" s="2">
        <v>20.57</v>
      </c>
      <c r="E415">
        <f t="shared" si="18"/>
        <v>5.7445370578959043E-3</v>
      </c>
      <c r="F415">
        <f t="shared" si="19"/>
        <v>-4.3753038405445199E-3</v>
      </c>
      <c r="G415">
        <f t="shared" si="20"/>
        <v>-2.4358363323584127E-3</v>
      </c>
    </row>
    <row r="416" spans="1:7">
      <c r="A416" s="1">
        <v>45911.705555555556</v>
      </c>
      <c r="B416" s="2">
        <v>89.29</v>
      </c>
      <c r="C416" s="2">
        <v>20.48</v>
      </c>
      <c r="E416">
        <f t="shared" si="18"/>
        <v>2.0271026990704266E-2</v>
      </c>
      <c r="F416">
        <f t="shared" si="19"/>
        <v>-4.882812500000111E-3</v>
      </c>
      <c r="G416">
        <f t="shared" si="20"/>
        <v>-6.2079161606617451E-5</v>
      </c>
    </row>
    <row r="417" spans="1:7">
      <c r="A417" s="1">
        <v>45912.705555555556</v>
      </c>
      <c r="B417" s="2">
        <v>91.1</v>
      </c>
      <c r="C417" s="2">
        <v>20.38</v>
      </c>
      <c r="E417">
        <f t="shared" si="18"/>
        <v>-2.3600439077936186E-2</v>
      </c>
      <c r="F417">
        <f t="shared" si="19"/>
        <v>4.4160942100097689E-3</v>
      </c>
      <c r="G417">
        <f t="shared" si="20"/>
        <v>-9.5327439462507312E-4</v>
      </c>
    </row>
    <row r="418" spans="1:7">
      <c r="A418" s="1">
        <v>45915.705555555556</v>
      </c>
      <c r="B418" s="2">
        <v>88.95</v>
      </c>
      <c r="C418" s="2">
        <v>20.47</v>
      </c>
      <c r="E418">
        <f t="shared" si="18"/>
        <v>6.7453625632376557E-3</v>
      </c>
      <c r="F418">
        <f t="shared" si="19"/>
        <v>-3.9081582804102455E-3</v>
      </c>
      <c r="G418">
        <f t="shared" si="20"/>
        <v>-1.8664110107251253E-3</v>
      </c>
    </row>
    <row r="419" spans="1:7">
      <c r="A419" s="1">
        <v>45916.705555555556</v>
      </c>
      <c r="B419" s="2">
        <v>89.55</v>
      </c>
      <c r="C419" s="2">
        <v>20.39</v>
      </c>
      <c r="E419">
        <f t="shared" si="18"/>
        <v>-3.1267448352875205E-3</v>
      </c>
      <c r="F419">
        <f t="shared" si="19"/>
        <v>-6.8661108386464109E-3</v>
      </c>
      <c r="G419">
        <f t="shared" si="20"/>
        <v>-6.1494613441026797E-3</v>
      </c>
    </row>
    <row r="420" spans="1:7">
      <c r="A420" s="1">
        <v>45917.705555555556</v>
      </c>
      <c r="B420" s="2">
        <v>89.27</v>
      </c>
      <c r="C420" s="2">
        <v>20.25</v>
      </c>
      <c r="E420">
        <f t="shared" si="18"/>
        <v>1.8259213621597548E-2</v>
      </c>
      <c r="F420">
        <f t="shared" si="19"/>
        <v>0</v>
      </c>
      <c r="G420">
        <f t="shared" si="20"/>
        <v>3.4993782905791697E-3</v>
      </c>
    </row>
    <row r="421" spans="1:7">
      <c r="A421" s="1">
        <v>45918.705555555556</v>
      </c>
      <c r="B421" s="2">
        <v>90.9</v>
      </c>
      <c r="C421" s="2">
        <v>20.25</v>
      </c>
      <c r="E421">
        <f t="shared" si="18"/>
        <v>-2.2662266226622707E-2</v>
      </c>
      <c r="F421">
        <f t="shared" si="19"/>
        <v>9.8765432098764094E-3</v>
      </c>
      <c r="G421">
        <f t="shared" si="20"/>
        <v>3.6404803813713535E-3</v>
      </c>
    </row>
    <row r="422" spans="1:7">
      <c r="A422" s="1">
        <v>45919.705555555556</v>
      </c>
      <c r="B422" s="2">
        <v>88.84</v>
      </c>
      <c r="C422" s="2">
        <v>20.45</v>
      </c>
      <c r="E422">
        <f t="shared" si="18"/>
        <v>-3.3093201260693372E-2</v>
      </c>
      <c r="F422">
        <f t="shared" si="19"/>
        <v>2.2004889975550057E-2</v>
      </c>
      <c r="G422">
        <f t="shared" si="20"/>
        <v>1.1445340790124003E-2</v>
      </c>
    </row>
    <row r="423" spans="1:7">
      <c r="A423" s="1">
        <v>45922.705555555556</v>
      </c>
      <c r="B423" s="2">
        <v>85.9</v>
      </c>
      <c r="C423" s="2">
        <v>20.9</v>
      </c>
      <c r="E423">
        <f t="shared" si="18"/>
        <v>-1.1292200232828842E-2</v>
      </c>
      <c r="F423">
        <f t="shared" si="19"/>
        <v>-7.1770334928229484E-3</v>
      </c>
      <c r="G423">
        <f t="shared" si="20"/>
        <v>-7.965705198545078E-3</v>
      </c>
    </row>
    <row r="424" spans="1:7">
      <c r="A424" s="1">
        <v>45923.705555555556</v>
      </c>
      <c r="B424" s="2">
        <v>84.93</v>
      </c>
      <c r="C424" s="2">
        <v>20.75</v>
      </c>
      <c r="E424">
        <f t="shared" si="18"/>
        <v>1.7426115624632033E-2</v>
      </c>
      <c r="F424">
        <f t="shared" si="19"/>
        <v>-4.8192771084343278E-4</v>
      </c>
      <c r="G424">
        <f t="shared" si="20"/>
        <v>2.9501487944004401E-3</v>
      </c>
    </row>
    <row r="425" spans="1:7">
      <c r="A425" s="1">
        <v>45924.705555555556</v>
      </c>
      <c r="B425" s="2">
        <v>86.41</v>
      </c>
      <c r="C425" s="2">
        <v>20.74</v>
      </c>
      <c r="E425">
        <f t="shared" si="18"/>
        <v>-3.3676657794236786E-2</v>
      </c>
      <c r="F425">
        <f t="shared" si="19"/>
        <v>0</v>
      </c>
      <c r="G425">
        <f t="shared" si="20"/>
        <v>-6.4541314662654795E-3</v>
      </c>
    </row>
    <row r="426" spans="1:7">
      <c r="A426" s="1">
        <v>45925.705555555556</v>
      </c>
      <c r="B426" s="2">
        <v>83.5</v>
      </c>
      <c r="C426" s="2">
        <v>20.74</v>
      </c>
      <c r="E426">
        <f t="shared" si="18"/>
        <v>2.7544910179642113E-3</v>
      </c>
      <c r="F426">
        <f t="shared" si="19"/>
        <v>1.2536162005786E-2</v>
      </c>
      <c r="G426">
        <f t="shared" si="20"/>
        <v>1.0661504760969954E-2</v>
      </c>
    </row>
    <row r="427" spans="1:7">
      <c r="A427" s="1">
        <v>45926.705555555556</v>
      </c>
      <c r="B427" s="2">
        <v>83.73</v>
      </c>
      <c r="C427" s="2">
        <v>21</v>
      </c>
      <c r="E427">
        <f t="shared" si="18"/>
        <v>3.7979218917950419E-2</v>
      </c>
      <c r="F427">
        <f t="shared" si="19"/>
        <v>1.3333333333333419E-2</v>
      </c>
      <c r="G427">
        <f t="shared" si="20"/>
        <v>1.8056717305625268E-2</v>
      </c>
    </row>
    <row r="428" spans="1:7">
      <c r="A428" s="1">
        <v>45929.705555555556</v>
      </c>
      <c r="B428" s="2">
        <v>86.91</v>
      </c>
      <c r="C428" s="2">
        <v>21.28</v>
      </c>
      <c r="E428">
        <f t="shared" si="18"/>
        <v>-5.8681394546080679E-3</v>
      </c>
      <c r="F428">
        <f t="shared" si="19"/>
        <v>8.4586466165412766E-3</v>
      </c>
      <c r="G428">
        <f t="shared" si="20"/>
        <v>5.7129180660055057E-3</v>
      </c>
    </row>
    <row r="429" spans="1:7">
      <c r="A429" s="1">
        <v>45930.705555555556</v>
      </c>
      <c r="B429" s="2">
        <v>86.4</v>
      </c>
      <c r="C429" s="2">
        <v>21.46</v>
      </c>
      <c r="E429">
        <f t="shared" si="18"/>
        <v>3.0787037037036891E-2</v>
      </c>
      <c r="F429">
        <f t="shared" si="19"/>
        <v>2.7958993476233651E-3</v>
      </c>
      <c r="G429">
        <f t="shared" si="20"/>
        <v>8.1604008857994667E-3</v>
      </c>
    </row>
    <row r="430" spans="1:7">
      <c r="A430" s="1">
        <v>45931.705555555556</v>
      </c>
      <c r="B430" s="2">
        <v>89.06</v>
      </c>
      <c r="C430" s="2">
        <v>21.52</v>
      </c>
      <c r="E430">
        <f t="shared" si="18"/>
        <v>3.1214911295755599E-2</v>
      </c>
      <c r="F430">
        <f t="shared" si="19"/>
        <v>-1.8587360594795044E-3</v>
      </c>
      <c r="G430">
        <f t="shared" si="20"/>
        <v>4.4798284561513033E-3</v>
      </c>
    </row>
    <row r="431" spans="1:7">
      <c r="A431" s="1">
        <v>45932.705555555556</v>
      </c>
      <c r="B431" s="2">
        <v>91.84</v>
      </c>
      <c r="C431" s="2">
        <v>21.48</v>
      </c>
      <c r="E431">
        <f t="shared" si="18"/>
        <v>7.7308362369337136E-3</v>
      </c>
      <c r="F431">
        <f t="shared" si="19"/>
        <v>7.9143389199254344E-3</v>
      </c>
      <c r="G431">
        <f t="shared" si="20"/>
        <v>7.8791706307300702E-3</v>
      </c>
    </row>
    <row r="432" spans="1:7">
      <c r="A432" s="1">
        <v>45933.705555555556</v>
      </c>
      <c r="B432" s="2">
        <v>92.55</v>
      </c>
      <c r="C432" s="2">
        <v>21.65</v>
      </c>
      <c r="E432">
        <f t="shared" si="18"/>
        <v>1.6855753646677574E-2</v>
      </c>
      <c r="F432">
        <f t="shared" si="19"/>
        <v>1.3856812933025431E-2</v>
      </c>
      <c r="G432">
        <f t="shared" si="20"/>
        <v>1.4431559920796864E-2</v>
      </c>
    </row>
    <row r="433" spans="1:7">
      <c r="A433" s="1">
        <v>45936.705555555556</v>
      </c>
      <c r="B433" s="2">
        <v>94.11</v>
      </c>
      <c r="C433" s="2">
        <v>21.95</v>
      </c>
      <c r="E433">
        <f t="shared" si="18"/>
        <v>-2.1889278503878451E-2</v>
      </c>
      <c r="F433">
        <f t="shared" si="19"/>
        <v>1.2300683371298415E-2</v>
      </c>
      <c r="G433">
        <f t="shared" si="20"/>
        <v>5.7481771779207694E-3</v>
      </c>
    </row>
    <row r="434" spans="1:7">
      <c r="A434" s="1">
        <v>45937.705555555556</v>
      </c>
      <c r="B434" s="2">
        <v>92.05</v>
      </c>
      <c r="C434" s="2">
        <v>22.22</v>
      </c>
      <c r="E434">
        <f t="shared" si="18"/>
        <v>1.0755024443237504E-2</v>
      </c>
      <c r="F434">
        <f t="shared" si="19"/>
        <v>1.5751575157515907E-2</v>
      </c>
      <c r="G434">
        <f t="shared" si="20"/>
        <v>1.4793986213124451E-2</v>
      </c>
    </row>
    <row r="435" spans="1:7">
      <c r="A435" s="1">
        <v>45938.705555555556</v>
      </c>
      <c r="B435" s="2">
        <v>93.04</v>
      </c>
      <c r="C435" s="2">
        <v>22.57</v>
      </c>
      <c r="E435">
        <f t="shared" si="18"/>
        <v>-2.0851246775580479E-2</v>
      </c>
      <c r="F435">
        <f t="shared" si="19"/>
        <v>-1.1962782454585708E-2</v>
      </c>
      <c r="G435">
        <f t="shared" si="20"/>
        <v>-1.3666256641704356E-2</v>
      </c>
    </row>
    <row r="436" spans="1:7">
      <c r="A436" s="1">
        <v>45939.705555555556</v>
      </c>
      <c r="B436" s="2">
        <v>91.1</v>
      </c>
      <c r="C436" s="2">
        <v>22.3</v>
      </c>
      <c r="E436">
        <f t="shared" si="18"/>
        <v>-2.074643249176733E-2</v>
      </c>
      <c r="F436">
        <f t="shared" si="19"/>
        <v>3.2735426008968727E-2</v>
      </c>
      <c r="G436">
        <f t="shared" si="20"/>
        <v>2.2485627827302661E-2</v>
      </c>
    </row>
    <row r="437" spans="1:7">
      <c r="A437" s="1">
        <v>45940.705555555556</v>
      </c>
      <c r="B437" s="2">
        <v>89.21</v>
      </c>
      <c r="C437" s="2">
        <v>23.03</v>
      </c>
      <c r="E437">
        <f t="shared" si="18"/>
        <v>2.3539961887681926E-3</v>
      </c>
      <c r="F437">
        <f t="shared" si="19"/>
        <v>1.7368649587494511E-2</v>
      </c>
      <c r="G437">
        <f t="shared" si="20"/>
        <v>1.4491091263628611E-2</v>
      </c>
    </row>
    <row r="438" spans="1:7">
      <c r="A438" s="1">
        <v>45943.705555555556</v>
      </c>
      <c r="B438" s="2">
        <v>89.42</v>
      </c>
      <c r="C438" s="2">
        <v>23.43</v>
      </c>
      <c r="E438">
        <f t="shared" si="18"/>
        <v>-2.9747260120778329E-2</v>
      </c>
      <c r="F438">
        <f t="shared" si="19"/>
        <v>9.8164746052069596E-3</v>
      </c>
      <c r="G438">
        <f t="shared" si="20"/>
        <v>2.2340848449718797E-3</v>
      </c>
    </row>
    <row r="439" spans="1:7">
      <c r="A439" s="1">
        <v>45944.705555555556</v>
      </c>
      <c r="B439" s="2">
        <v>86.76</v>
      </c>
      <c r="C439" s="2">
        <v>23.66</v>
      </c>
      <c r="E439">
        <f t="shared" si="18"/>
        <v>-1.5099124020285903E-2</v>
      </c>
      <c r="F439">
        <f t="shared" si="19"/>
        <v>1.4370245139475823E-2</v>
      </c>
      <c r="G439">
        <f t="shared" si="20"/>
        <v>8.7224405400074898E-3</v>
      </c>
    </row>
    <row r="440" spans="1:7">
      <c r="A440" s="1">
        <v>45945.705555555556</v>
      </c>
      <c r="B440" s="2">
        <v>85.45</v>
      </c>
      <c r="C440" s="2">
        <v>24</v>
      </c>
      <c r="E440">
        <f t="shared" si="18"/>
        <v>-3.5693387946167277E-2</v>
      </c>
      <c r="F440">
        <f t="shared" si="19"/>
        <v>2.0000000000000018E-2</v>
      </c>
      <c r="G440">
        <f t="shared" si="20"/>
        <v>9.3263622001170561E-3</v>
      </c>
    </row>
    <row r="441" spans="1:7">
      <c r="A441" s="1">
        <v>45946.705555555556</v>
      </c>
      <c r="B441" s="2">
        <v>82.4</v>
      </c>
      <c r="C441" s="2">
        <v>24.48</v>
      </c>
      <c r="E441">
        <f t="shared" si="18"/>
        <v>-1.8810679611650616E-2</v>
      </c>
      <c r="F441">
        <f t="shared" si="19"/>
        <v>-2.5326797385620936E-2</v>
      </c>
      <c r="G441">
        <f t="shared" si="20"/>
        <v>-2.4077983414239525E-2</v>
      </c>
    </row>
    <row r="442" spans="1:7">
      <c r="A442" s="1">
        <v>45947.705555555556</v>
      </c>
      <c r="B442" s="2">
        <v>80.849999999999994</v>
      </c>
      <c r="C442" s="2">
        <v>23.86</v>
      </c>
      <c r="E442">
        <f t="shared" si="18"/>
        <v>3.6858379715522638E-2</v>
      </c>
      <c r="F442">
        <f t="shared" si="19"/>
        <v>-3.2271584241408191E-2</v>
      </c>
      <c r="G442">
        <f t="shared" si="20"/>
        <v>-1.9022826649062397E-2</v>
      </c>
    </row>
    <row r="443" spans="1:7">
      <c r="A443" s="1">
        <v>45951.705555555556</v>
      </c>
      <c r="B443" s="2">
        <v>83.83</v>
      </c>
      <c r="C443" s="2">
        <v>23.09</v>
      </c>
      <c r="E443">
        <f t="shared" si="18"/>
        <v>-2.8987236073004796E-2</v>
      </c>
      <c r="F443">
        <f t="shared" si="19"/>
        <v>-4.3308791684715242E-4</v>
      </c>
      <c r="G443">
        <f t="shared" si="20"/>
        <v>-5.905490410974764E-3</v>
      </c>
    </row>
    <row r="444" spans="1:7">
      <c r="A444" s="1">
        <v>45952.705555555556</v>
      </c>
      <c r="B444" s="2">
        <v>81.400000000000006</v>
      </c>
      <c r="C444" s="2">
        <v>23.08</v>
      </c>
      <c r="E444">
        <f t="shared" si="18"/>
        <v>1.6216216216216051E-2</v>
      </c>
      <c r="F444">
        <f t="shared" si="19"/>
        <v>2.5996533795495935E-3</v>
      </c>
      <c r="G444">
        <f t="shared" si="20"/>
        <v>5.2092676471967199E-3</v>
      </c>
    </row>
    <row r="445" spans="1:7">
      <c r="A445" s="1">
        <v>45953.705555555556</v>
      </c>
      <c r="B445" s="2">
        <v>82.72</v>
      </c>
      <c r="C445" s="2">
        <v>23.14</v>
      </c>
      <c r="E445">
        <f t="shared" si="18"/>
        <v>4.7147001934235711E-3</v>
      </c>
      <c r="F445">
        <f t="shared" si="19"/>
        <v>-2.160760587726962E-3</v>
      </c>
      <c r="G445">
        <f t="shared" si="20"/>
        <v>-8.4307852901946239E-4</v>
      </c>
    </row>
    <row r="446" spans="1:7">
      <c r="A446" s="1">
        <v>45954.705555555556</v>
      </c>
      <c r="B446" s="2">
        <v>83.11</v>
      </c>
      <c r="C446" s="2">
        <v>23.09</v>
      </c>
      <c r="E446">
        <f t="shared" si="18"/>
        <v>3.8743833473709577E-2</v>
      </c>
      <c r="F446">
        <f t="shared" si="19"/>
        <v>-3.1615417929839795E-2</v>
      </c>
      <c r="G446">
        <f t="shared" si="20"/>
        <v>-1.8131067398349559E-2</v>
      </c>
    </row>
    <row r="447" spans="1:7">
      <c r="A447" s="1">
        <v>45957.705555555556</v>
      </c>
      <c r="B447" s="2">
        <v>86.33</v>
      </c>
      <c r="C447" s="2">
        <v>22.36</v>
      </c>
      <c r="E447">
        <f t="shared" si="18"/>
        <v>-2.4093594347272096E-2</v>
      </c>
      <c r="F447">
        <f t="shared" si="19"/>
        <v>-1.0286225402504456E-2</v>
      </c>
      <c r="G447">
        <f t="shared" si="20"/>
        <v>-1.2932407660769174E-2</v>
      </c>
    </row>
    <row r="448" spans="1:7">
      <c r="A448" s="1">
        <v>45958.705555555556</v>
      </c>
      <c r="B448" s="2">
        <v>84.25</v>
      </c>
      <c r="C448" s="2">
        <v>22.13</v>
      </c>
      <c r="E448">
        <f t="shared" si="18"/>
        <v>-1.8753709198813029E-2</v>
      </c>
      <c r="F448">
        <f t="shared" si="19"/>
        <v>-3.1631269769544224E-3</v>
      </c>
      <c r="G448">
        <f t="shared" si="20"/>
        <v>-6.1510620597736241E-3</v>
      </c>
    </row>
    <row r="449" spans="1:7">
      <c r="A449" s="1">
        <v>45959.705555555556</v>
      </c>
      <c r="B449" s="2">
        <v>82.67</v>
      </c>
      <c r="C449" s="2">
        <v>22.06</v>
      </c>
      <c r="E449">
        <f t="shared" si="18"/>
        <v>-2.9273013184952235E-2</v>
      </c>
      <c r="F449">
        <f t="shared" si="19"/>
        <v>2.447869446962847E-2</v>
      </c>
      <c r="G449">
        <f t="shared" si="20"/>
        <v>1.4177179697628078E-2</v>
      </c>
    </row>
    <row r="450" spans="1:7">
      <c r="A450" s="1">
        <v>45960.705555555556</v>
      </c>
      <c r="B450" s="2">
        <v>80.25</v>
      </c>
      <c r="C450" s="2">
        <v>22.6</v>
      </c>
      <c r="E450">
        <f t="shared" si="18"/>
        <v>2.9657320872274129E-2</v>
      </c>
      <c r="F450">
        <f t="shared" si="19"/>
        <v>-6.6371681415929862E-3</v>
      </c>
      <c r="G450">
        <f t="shared" si="20"/>
        <v>3.1867067791464549E-4</v>
      </c>
    </row>
    <row r="451" spans="1:7">
      <c r="A451" s="1">
        <v>45961.705555555556</v>
      </c>
      <c r="B451" s="2">
        <v>82.63</v>
      </c>
      <c r="C451" s="2">
        <v>22.45</v>
      </c>
      <c r="E451">
        <f t="shared" ref="E451:E488" si="21">(B452/B451)-1</f>
        <v>-4.8650611158174928E-2</v>
      </c>
      <c r="F451">
        <f t="shared" ref="F451:F488" si="22">(C452/C451)-1</f>
        <v>-1.3363028953228273E-3</v>
      </c>
      <c r="G451">
        <f t="shared" ref="G451:G488" si="23">$J$5*E451+$J$6*F451</f>
        <v>-1.040409007389843E-2</v>
      </c>
    </row>
    <row r="452" spans="1:7">
      <c r="A452" s="1">
        <v>45964.705555555556</v>
      </c>
      <c r="B452" s="2">
        <v>78.61</v>
      </c>
      <c r="C452" s="2">
        <v>22.42</v>
      </c>
      <c r="E452">
        <f t="shared" si="21"/>
        <v>-5.8771148708815724E-2</v>
      </c>
      <c r="F452">
        <f t="shared" si="22"/>
        <v>-9.8126672613738641E-3</v>
      </c>
      <c r="G452">
        <f t="shared" si="23"/>
        <v>-1.9195560230776097E-2</v>
      </c>
    </row>
    <row r="453" spans="1:7">
      <c r="A453" s="1">
        <v>45965.705555555556</v>
      </c>
      <c r="B453" s="2">
        <v>73.989999999999995</v>
      </c>
      <c r="C453" s="2">
        <v>22.2</v>
      </c>
      <c r="E453">
        <f t="shared" si="21"/>
        <v>3.392350317610493E-2</v>
      </c>
      <c r="F453">
        <f t="shared" si="22"/>
        <v>3.153153153153232E-3</v>
      </c>
      <c r="G453">
        <f t="shared" si="23"/>
        <v>9.0502907350519246E-3</v>
      </c>
    </row>
    <row r="454" spans="1:7">
      <c r="A454" s="1">
        <v>45966.705555555556</v>
      </c>
      <c r="B454" s="2">
        <v>76.5</v>
      </c>
      <c r="C454" s="2">
        <v>22.27</v>
      </c>
      <c r="E454">
        <f t="shared" si="21"/>
        <v>-3.37254901960784E-2</v>
      </c>
      <c r="F454">
        <f t="shared" si="22"/>
        <v>-3.1432420296363395E-3</v>
      </c>
      <c r="G454">
        <f t="shared" si="23"/>
        <v>-9.0043298907349599E-3</v>
      </c>
    </row>
    <row r="455" spans="1:7">
      <c r="A455" s="1">
        <v>45967.705555555556</v>
      </c>
      <c r="B455" s="2">
        <v>73.92</v>
      </c>
      <c r="C455" s="2">
        <v>22.2</v>
      </c>
      <c r="E455">
        <f t="shared" si="21"/>
        <v>3.490259740259738E-2</v>
      </c>
      <c r="F455">
        <f t="shared" si="22"/>
        <v>4.0540540540541237E-3</v>
      </c>
      <c r="G455">
        <f t="shared" si="23"/>
        <v>9.966177386802437E-3</v>
      </c>
    </row>
    <row r="456" spans="1:7">
      <c r="A456" s="1">
        <v>45968.705555555556</v>
      </c>
      <c r="B456" s="2">
        <v>76.5</v>
      </c>
      <c r="C456" s="2">
        <v>22.29</v>
      </c>
      <c r="E456">
        <f t="shared" si="21"/>
        <v>1.5163398692810359E-2</v>
      </c>
      <c r="F456">
        <f t="shared" si="22"/>
        <v>1.8842530282638048E-2</v>
      </c>
      <c r="G456">
        <f t="shared" si="23"/>
        <v>1.8137424713447571E-2</v>
      </c>
    </row>
    <row r="457" spans="1:7">
      <c r="A457" s="1">
        <v>45971.705555555556</v>
      </c>
      <c r="B457" s="2">
        <v>77.66</v>
      </c>
      <c r="C457" s="2">
        <v>22.71</v>
      </c>
      <c r="E457">
        <f t="shared" si="21"/>
        <v>-3.4251867113056833E-2</v>
      </c>
      <c r="F457">
        <f t="shared" si="22"/>
        <v>8.8066930867447546E-4</v>
      </c>
      <c r="G457">
        <f t="shared" si="23"/>
        <v>-5.8524812965503291E-3</v>
      </c>
    </row>
    <row r="458" spans="1:7">
      <c r="A458" s="1">
        <v>45972.705555555556</v>
      </c>
      <c r="B458" s="2">
        <v>75</v>
      </c>
      <c r="C458" s="2">
        <v>22.73</v>
      </c>
      <c r="E458">
        <f t="shared" si="21"/>
        <v>-5.0666666666665527E-3</v>
      </c>
      <c r="F458">
        <f t="shared" si="22"/>
        <v>1.9797624285085691E-2</v>
      </c>
      <c r="G458">
        <f t="shared" si="23"/>
        <v>1.5032382924182373E-2</v>
      </c>
    </row>
    <row r="459" spans="1:7">
      <c r="A459" s="1">
        <v>45973.705555555556</v>
      </c>
      <c r="B459" s="2">
        <v>74.62</v>
      </c>
      <c r="C459" s="2">
        <v>23.18</v>
      </c>
      <c r="E459">
        <f t="shared" si="21"/>
        <v>-4.0471723398552761E-2</v>
      </c>
      <c r="F459">
        <f t="shared" si="22"/>
        <v>-6.90250215703192E-3</v>
      </c>
      <c r="G459">
        <f t="shared" si="23"/>
        <v>-1.333604340796939E-2</v>
      </c>
    </row>
    <row r="460" spans="1:7">
      <c r="A460" s="1">
        <v>45974.705555555556</v>
      </c>
      <c r="B460" s="2">
        <v>71.599999999999994</v>
      </c>
      <c r="C460" s="2">
        <v>23.02</v>
      </c>
      <c r="E460">
        <f t="shared" si="21"/>
        <v>-3.1145251396647922E-2</v>
      </c>
      <c r="F460">
        <f t="shared" si="22"/>
        <v>-1.8679409209383158E-2</v>
      </c>
      <c r="G460">
        <f t="shared" si="23"/>
        <v>-2.1068487864572449E-2</v>
      </c>
    </row>
    <row r="461" spans="1:7">
      <c r="A461" s="1">
        <v>45975.705555555556</v>
      </c>
      <c r="B461" s="2">
        <v>69.37</v>
      </c>
      <c r="C461" s="2">
        <v>22.59</v>
      </c>
      <c r="E461">
        <f t="shared" si="21"/>
        <v>-3.3155542741819422E-2</v>
      </c>
      <c r="F461">
        <f t="shared" si="22"/>
        <v>-5.7547587428065095E-3</v>
      </c>
      <c r="G461">
        <f t="shared" si="23"/>
        <v>-1.1006118996217333E-2</v>
      </c>
    </row>
    <row r="462" spans="1:7">
      <c r="A462" s="1">
        <v>45978.705555555556</v>
      </c>
      <c r="B462" s="2">
        <v>67.069999999999993</v>
      </c>
      <c r="C462" s="2">
        <v>22.46</v>
      </c>
      <c r="E462">
        <f t="shared" si="21"/>
        <v>1.461159982108251E-2</v>
      </c>
      <c r="F462">
        <f t="shared" si="22"/>
        <v>6.6785396260016228E-3</v>
      </c>
      <c r="G462">
        <f t="shared" si="23"/>
        <v>8.1989106123888742E-3</v>
      </c>
    </row>
    <row r="463" spans="1:7">
      <c r="A463" s="1">
        <v>45979.705555555556</v>
      </c>
      <c r="B463" s="2">
        <v>68.05</v>
      </c>
      <c r="C463" s="2">
        <v>22.61</v>
      </c>
      <c r="E463">
        <f t="shared" si="21"/>
        <v>-3.6443791329904496E-2</v>
      </c>
      <c r="F463">
        <f t="shared" si="22"/>
        <v>3.5382574082265528E-3</v>
      </c>
      <c r="G463">
        <f t="shared" si="23"/>
        <v>-4.1243022324362628E-3</v>
      </c>
    </row>
    <row r="464" spans="1:7">
      <c r="A464" s="1">
        <v>45980.705555555556</v>
      </c>
      <c r="B464" s="2">
        <v>65.569999999999993</v>
      </c>
      <c r="C464" s="2">
        <v>22.69</v>
      </c>
      <c r="E464">
        <f t="shared" si="21"/>
        <v>-4.4837578160744074E-2</v>
      </c>
      <c r="F464">
        <f t="shared" si="22"/>
        <v>9.2551784927279446E-3</v>
      </c>
      <c r="G464">
        <f t="shared" si="23"/>
        <v>-1.1116983199099669E-3</v>
      </c>
    </row>
    <row r="465" spans="1:7">
      <c r="A465" s="1">
        <v>45982.705555555556</v>
      </c>
      <c r="B465" s="2">
        <v>62.63</v>
      </c>
      <c r="C465" s="2">
        <v>22.9</v>
      </c>
      <c r="E465">
        <f t="shared" si="21"/>
        <v>6.1791473734631897E-2</v>
      </c>
      <c r="F465">
        <f t="shared" si="22"/>
        <v>1.3537117903930307E-2</v>
      </c>
      <c r="G465">
        <f t="shared" si="23"/>
        <v>2.2785065198884267E-2</v>
      </c>
    </row>
    <row r="466" spans="1:7">
      <c r="A466" s="1">
        <v>45985.705555555556</v>
      </c>
      <c r="B466" s="2">
        <v>66.5</v>
      </c>
      <c r="C466" s="2">
        <v>23.21</v>
      </c>
      <c r="E466">
        <f t="shared" si="21"/>
        <v>-1.7293233082706805E-2</v>
      </c>
      <c r="F466">
        <f t="shared" si="22"/>
        <v>4.3084877208099392E-4</v>
      </c>
      <c r="G466">
        <f t="shared" si="23"/>
        <v>-2.9659715153890877E-3</v>
      </c>
    </row>
    <row r="467" spans="1:7">
      <c r="A467" s="1">
        <v>45986.705555555556</v>
      </c>
      <c r="B467" s="2">
        <v>65.349999999999994</v>
      </c>
      <c r="C467" s="2">
        <v>23.22</v>
      </c>
      <c r="E467">
        <f t="shared" si="21"/>
        <v>1.8668706962509551E-2</v>
      </c>
      <c r="F467">
        <f t="shared" si="22"/>
        <v>-2.1533161068043594E-3</v>
      </c>
      <c r="G467">
        <f t="shared" si="23"/>
        <v>1.8372246144296512E-3</v>
      </c>
    </row>
    <row r="468" spans="1:7">
      <c r="A468" s="1">
        <v>45987.705555555556</v>
      </c>
      <c r="B468" s="2">
        <v>66.569999999999993</v>
      </c>
      <c r="C468" s="2">
        <v>23.17</v>
      </c>
      <c r="E468">
        <f t="shared" si="21"/>
        <v>1.5322217214961853E-2</v>
      </c>
      <c r="F468">
        <f t="shared" si="22"/>
        <v>2.1579628830383779E-3</v>
      </c>
      <c r="G468">
        <f t="shared" si="23"/>
        <v>4.680892225751512E-3</v>
      </c>
    </row>
    <row r="469" spans="1:7">
      <c r="A469" s="1">
        <v>45988.705555555556</v>
      </c>
      <c r="B469" s="2">
        <v>67.59</v>
      </c>
      <c r="C469" s="2">
        <v>23.22</v>
      </c>
      <c r="E469">
        <f t="shared" si="21"/>
        <v>1.6274596833851795E-3</v>
      </c>
      <c r="F469">
        <f t="shared" si="22"/>
        <v>8.6132644272181036E-3</v>
      </c>
      <c r="G469">
        <f t="shared" si="23"/>
        <v>7.2744349480625241E-3</v>
      </c>
    </row>
    <row r="470" spans="1:7">
      <c r="A470" s="1">
        <v>45989.705555555556</v>
      </c>
      <c r="B470" s="2">
        <v>67.7</v>
      </c>
      <c r="C470" s="2">
        <v>23.42</v>
      </c>
      <c r="E470">
        <f t="shared" si="21"/>
        <v>-7.3855243722304231E-2</v>
      </c>
      <c r="F470">
        <f t="shared" si="22"/>
        <v>1.0674637062339842E-2</v>
      </c>
      <c r="G470">
        <f t="shared" si="23"/>
        <v>-5.5255145900371932E-3</v>
      </c>
    </row>
    <row r="471" spans="1:7">
      <c r="A471" s="1">
        <v>45992.705555555556</v>
      </c>
      <c r="B471" s="2">
        <v>62.7</v>
      </c>
      <c r="C471" s="2">
        <v>23.67</v>
      </c>
      <c r="E471">
        <f t="shared" si="21"/>
        <v>6.8580542264752742E-2</v>
      </c>
      <c r="F471">
        <f t="shared" si="22"/>
        <v>-1.1829319814110728E-2</v>
      </c>
      <c r="G471">
        <f t="shared" si="23"/>
        <v>3.5812302533034541E-3</v>
      </c>
    </row>
    <row r="472" spans="1:7">
      <c r="A472" s="1">
        <v>45993.705555555556</v>
      </c>
      <c r="B472" s="2">
        <v>67</v>
      </c>
      <c r="C472" s="2">
        <v>23.39</v>
      </c>
      <c r="E472">
        <f t="shared" si="21"/>
        <v>2.2388059701492491E-2</v>
      </c>
      <c r="F472">
        <f t="shared" si="22"/>
        <v>-4.2753313381793667E-4</v>
      </c>
      <c r="G472">
        <f t="shared" si="23"/>
        <v>3.9450752330693062E-3</v>
      </c>
    </row>
    <row r="473" spans="1:7">
      <c r="A473" s="1">
        <v>45994.705555555556</v>
      </c>
      <c r="B473" s="2">
        <v>68.5</v>
      </c>
      <c r="C473" s="2">
        <v>23.38</v>
      </c>
      <c r="E473">
        <f t="shared" si="21"/>
        <v>-7.2992700729926918E-3</v>
      </c>
      <c r="F473">
        <f t="shared" si="22"/>
        <v>-2.5662959794695572E-3</v>
      </c>
      <c r="G473">
        <f t="shared" si="23"/>
        <v>-3.4733704644932658E-3</v>
      </c>
    </row>
    <row r="474" spans="1:7">
      <c r="A474" s="1">
        <v>45995.705555555556</v>
      </c>
      <c r="B474" s="2">
        <v>68</v>
      </c>
      <c r="C474" s="2">
        <v>23.32</v>
      </c>
      <c r="E474">
        <f t="shared" si="21"/>
        <v>-1.5882352941176459E-2</v>
      </c>
      <c r="F474">
        <f t="shared" si="22"/>
        <v>2.3156089193824947E-2</v>
      </c>
      <c r="G474">
        <f t="shared" si="23"/>
        <v>1.5674371758651925E-2</v>
      </c>
    </row>
    <row r="475" spans="1:7">
      <c r="A475" s="1">
        <v>45996.705555555556</v>
      </c>
      <c r="B475" s="2">
        <v>66.92</v>
      </c>
      <c r="C475" s="2">
        <v>23.86</v>
      </c>
      <c r="E475">
        <f t="shared" si="21"/>
        <v>1.3150029886431547E-2</v>
      </c>
      <c r="F475">
        <f t="shared" si="22"/>
        <v>-4.191114836546439E-3</v>
      </c>
      <c r="G475">
        <f t="shared" si="23"/>
        <v>-8.6768445038770811E-4</v>
      </c>
    </row>
    <row r="476" spans="1:7">
      <c r="A476" s="1">
        <v>45999.705555555556</v>
      </c>
      <c r="B476" s="2">
        <v>67.8</v>
      </c>
      <c r="C476" s="2">
        <v>23.76</v>
      </c>
      <c r="E476">
        <f t="shared" si="21"/>
        <v>3.0973451327433787E-2</v>
      </c>
      <c r="F476">
        <f t="shared" si="22"/>
        <v>5.050505050504972E-3</v>
      </c>
      <c r="G476">
        <f t="shared" si="23"/>
        <v>1.0018637704478379E-2</v>
      </c>
    </row>
    <row r="477" spans="1:7">
      <c r="A477" s="1">
        <v>46000.705555555556</v>
      </c>
      <c r="B477" s="2">
        <v>69.900000000000006</v>
      </c>
      <c r="C477" s="2">
        <v>23.88</v>
      </c>
      <c r="E477">
        <f t="shared" si="21"/>
        <v>-5.7224606580841275E-4</v>
      </c>
      <c r="F477">
        <f t="shared" si="22"/>
        <v>1.0050251256281451E-2</v>
      </c>
      <c r="G477">
        <f t="shared" si="23"/>
        <v>8.0144496445029283E-3</v>
      </c>
    </row>
    <row r="478" spans="1:7">
      <c r="A478" s="1">
        <v>46001.705555555556</v>
      </c>
      <c r="B478" s="2">
        <v>69.86</v>
      </c>
      <c r="C478" s="2">
        <v>24.12</v>
      </c>
      <c r="E478">
        <f t="shared" si="21"/>
        <v>-2.9487546521614671E-2</v>
      </c>
      <c r="F478">
        <f t="shared" si="22"/>
        <v>6.6334991708125735E-3</v>
      </c>
      <c r="G478">
        <f t="shared" si="23"/>
        <v>-2.8909923614110766E-4</v>
      </c>
    </row>
    <row r="479" spans="1:7">
      <c r="A479" s="1">
        <v>46003.705555555556</v>
      </c>
      <c r="B479" s="2">
        <v>67.8</v>
      </c>
      <c r="C479" s="2">
        <v>24.28</v>
      </c>
      <c r="E479">
        <f t="shared" si="21"/>
        <v>-6.1799410029498514E-2</v>
      </c>
      <c r="F479">
        <f t="shared" si="22"/>
        <v>2.0593080724875534E-3</v>
      </c>
      <c r="G479">
        <f t="shared" si="23"/>
        <v>-1.0179215251758075E-2</v>
      </c>
    </row>
    <row r="480" spans="1:7">
      <c r="A480" s="1">
        <v>46006.705555555556</v>
      </c>
      <c r="B480" s="2">
        <v>63.61</v>
      </c>
      <c r="C480" s="2">
        <v>24.33</v>
      </c>
      <c r="E480">
        <f t="shared" si="21"/>
        <v>4.3389404181732427E-2</v>
      </c>
      <c r="F480">
        <f t="shared" si="22"/>
        <v>8.6313193588163362E-3</v>
      </c>
      <c r="G480">
        <f t="shared" si="23"/>
        <v>1.5292706315128204E-2</v>
      </c>
    </row>
    <row r="481" spans="1:7">
      <c r="A481" s="1">
        <v>46007.705555555556</v>
      </c>
      <c r="B481" s="2">
        <v>66.37</v>
      </c>
      <c r="C481" s="2">
        <v>24.54</v>
      </c>
      <c r="E481">
        <f t="shared" si="21"/>
        <v>-2.7874039475666801E-2</v>
      </c>
      <c r="F481">
        <f t="shared" si="22"/>
        <v>1.6299918500407573E-2</v>
      </c>
      <c r="G481">
        <f t="shared" si="23"/>
        <v>7.8339794542929206E-3</v>
      </c>
    </row>
    <row r="482" spans="1:7">
      <c r="A482" s="1">
        <v>46008.705555555556</v>
      </c>
      <c r="B482" s="2">
        <v>64.52</v>
      </c>
      <c r="C482" s="2">
        <v>24.94</v>
      </c>
      <c r="E482">
        <f t="shared" si="21"/>
        <v>-1.5499070055796538E-2</v>
      </c>
      <c r="F482">
        <f t="shared" si="22"/>
        <v>8.0192461908579205E-4</v>
      </c>
      <c r="G482">
        <f t="shared" si="23"/>
        <v>-2.3221610103554063E-3</v>
      </c>
    </row>
    <row r="483" spans="1:7">
      <c r="A483" s="1">
        <v>46009.705555555556</v>
      </c>
      <c r="B483" s="2">
        <v>63.52</v>
      </c>
      <c r="C483" s="2">
        <v>24.96</v>
      </c>
      <c r="E483">
        <f t="shared" si="21"/>
        <v>5.0062972292191477E-2</v>
      </c>
      <c r="F483">
        <f t="shared" si="22"/>
        <v>4.0064102564101312E-3</v>
      </c>
      <c r="G483">
        <f t="shared" si="23"/>
        <v>1.2833150370567627E-2</v>
      </c>
    </row>
    <row r="484" spans="1:7">
      <c r="A484" s="1">
        <v>46010.705555555556</v>
      </c>
      <c r="B484" s="2">
        <v>66.7</v>
      </c>
      <c r="C484" s="2">
        <v>25.06</v>
      </c>
      <c r="E484">
        <f t="shared" si="21"/>
        <v>4.0479760119940256E-3</v>
      </c>
      <c r="F484">
        <f t="shared" si="22"/>
        <v>3.2721468475658488E-2</v>
      </c>
      <c r="G484">
        <f t="shared" si="23"/>
        <v>2.7226193644997194E-2</v>
      </c>
    </row>
    <row r="485" spans="1:7">
      <c r="A485" s="1">
        <v>46013.705555555556</v>
      </c>
      <c r="B485" s="2">
        <v>66.97</v>
      </c>
      <c r="C485" s="2">
        <v>25.88</v>
      </c>
      <c r="E485">
        <f t="shared" si="21"/>
        <v>-1.9262356278930692E-2</v>
      </c>
      <c r="F485">
        <f t="shared" si="22"/>
        <v>1.5455950540959051E-3</v>
      </c>
      <c r="G485">
        <f t="shared" si="23"/>
        <v>-2.4422488188786421E-3</v>
      </c>
    </row>
    <row r="486" spans="1:7">
      <c r="A486" s="1">
        <v>46014.705555555556</v>
      </c>
      <c r="B486" s="2">
        <v>65.680000000000007</v>
      </c>
      <c r="C486" s="2">
        <v>25.92</v>
      </c>
      <c r="E486">
        <f t="shared" si="21"/>
        <v>-8.8306942752742756E-3</v>
      </c>
      <c r="F486">
        <f t="shared" si="22"/>
        <v>1.0416666666666741E-2</v>
      </c>
      <c r="G486">
        <f t="shared" si="23"/>
        <v>6.7279099421437448E-3</v>
      </c>
    </row>
    <row r="487" spans="1:7">
      <c r="A487" s="1">
        <v>46017.705555555556</v>
      </c>
      <c r="B487" s="2">
        <v>65.099999999999994</v>
      </c>
      <c r="C487" s="2">
        <v>26.19</v>
      </c>
      <c r="E487">
        <f t="shared" si="21"/>
        <v>1.6129032258064724E-2</v>
      </c>
      <c r="F487">
        <f t="shared" si="22"/>
        <v>-3.8564337533409709E-2</v>
      </c>
      <c r="G487">
        <f t="shared" si="23"/>
        <v>-2.8082353212873636E-2</v>
      </c>
    </row>
    <row r="488" spans="1:7">
      <c r="A488" s="1">
        <v>46020.705555555556</v>
      </c>
      <c r="B488" s="2">
        <v>66.150000000000006</v>
      </c>
      <c r="C488" s="2">
        <v>25.18</v>
      </c>
      <c r="E488">
        <f t="shared" si="21"/>
        <v>-6.046863189720364E-3</v>
      </c>
      <c r="F488">
        <f t="shared" si="22"/>
        <v>-1.6282764098490832E-2</v>
      </c>
      <c r="G488">
        <f t="shared" si="23"/>
        <v>-1.4321053689324972E-2</v>
      </c>
    </row>
    <row r="489" spans="1:7">
      <c r="A489" s="1">
        <v>46021.705555555556</v>
      </c>
      <c r="B489" s="2">
        <v>65.75</v>
      </c>
      <c r="C489" s="2">
        <v>24.77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Docentes CT</cp:lastModifiedBy>
  <dcterms:created xsi:type="dcterms:W3CDTF">2026-01-02T03:59:28Z</dcterms:created>
  <dcterms:modified xsi:type="dcterms:W3CDTF">2026-06-19T13:09:44Z</dcterms:modified>
</cp:coreProperties>
</file>