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"/>
    </mc:Choice>
  </mc:AlternateContent>
  <xr:revisionPtr revIDLastSave="0" documentId="13_ncr:1_{9CACD135-0D55-448B-9661-A7FBEB660082}" xr6:coauthVersionLast="47" xr6:coauthVersionMax="47" xr10:uidLastSave="{00000000-0000-0000-0000-000000000000}"/>
  <bookViews>
    <workbookView xWindow="-120" yWindow="-120" windowWidth="20640" windowHeight="11760" xr2:uid="{351F6CBB-80DC-4611-907C-66971EF2A0A4}"/>
  </bookViews>
  <sheets>
    <sheet name="Sheet1" sheetId="1" r:id="rId1"/>
  </sheets>
  <definedNames>
    <definedName name="solver_adj" localSheetId="0" hidden="1">Sheet1!$T$47:$T$49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Sheet1!$T$50</definedName>
    <definedName name="solver_lhs2" localSheetId="0" hidden="1">Sheet1!$T$54</definedName>
    <definedName name="solver_lhs3" localSheetId="0" hidden="1">Sheet1!$T$55</definedName>
    <definedName name="solver_mip" localSheetId="0" hidden="1">2147483647</definedName>
    <definedName name="solver_mni" localSheetId="0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Sheet1!$T$52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hs1" localSheetId="0" hidden="1">1</definedName>
    <definedName name="solver_rhs2" localSheetId="0" hidden="1">Sheet1!$T$55</definedName>
    <definedName name="solver_rhs3" localSheetId="0" hidden="1">Sheet1!$T$56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44" i="1"/>
  <c r="W49" i="1"/>
  <c r="V34" i="1"/>
  <c r="T23" i="1" a="1"/>
  <c r="T23" i="1"/>
  <c r="T32" i="1" a="1"/>
  <c r="T32" i="1"/>
  <c r="T22" i="1" a="1"/>
  <c r="T22" i="1"/>
  <c r="V22" i="1"/>
  <c r="X3" i="1"/>
  <c r="U47" i="1"/>
  <c r="M12" i="1"/>
  <c r="L13" i="1"/>
  <c r="L11" i="1"/>
  <c r="M11" i="1"/>
  <c r="K13" i="1"/>
  <c r="K12" i="1"/>
  <c r="W47" i="1"/>
  <c r="V33" i="1"/>
  <c r="V43" i="1"/>
  <c r="V42" i="1"/>
  <c r="W48" i="1"/>
  <c r="V32" i="1"/>
  <c r="V23" i="1"/>
  <c r="T60" i="1"/>
  <c r="T58" i="1" a="1"/>
  <c r="T58" i="1" s="1"/>
  <c r="T59" i="1" a="1"/>
  <c r="T59" i="1" s="1"/>
  <c r="T43" i="1" a="1"/>
  <c r="T43" i="1" s="1"/>
  <c r="T52" i="1" a="1"/>
  <c r="T52" i="1" s="1"/>
  <c r="U48" i="1"/>
  <c r="U49" i="1"/>
  <c r="X334" i="1"/>
  <c r="X336" i="1"/>
  <c r="X498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5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T50" i="1"/>
  <c r="T42" i="1" a="1"/>
  <c r="T42" i="1" s="1"/>
  <c r="T40" i="1"/>
  <c r="T24" i="1"/>
  <c r="T33" i="1" a="1"/>
  <c r="T33" i="1" s="1"/>
  <c r="T20" i="1"/>
  <c r="T18" i="1"/>
  <c r="T19" i="1"/>
  <c r="T17" i="1"/>
  <c r="T3" i="1" a="1"/>
  <c r="T3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3" i="1"/>
  <c r="L6" i="1"/>
  <c r="M6" i="1"/>
  <c r="K6" i="1"/>
  <c r="L5" i="1"/>
  <c r="M5" i="1"/>
  <c r="K5" i="1"/>
  <c r="L4" i="1"/>
  <c r="M4" i="1"/>
  <c r="K4" i="1"/>
  <c r="L3" i="1"/>
  <c r="M3" i="1"/>
  <c r="K3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3" i="1"/>
  <c r="T44" i="1" l="1"/>
  <c r="T53" i="1"/>
  <c r="T54" i="1"/>
  <c r="T55" i="1"/>
  <c r="T56" i="1"/>
  <c r="T34" i="1"/>
  <c r="T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<sst xmlns="http://schemas.openxmlformats.org/spreadsheetml/2006/main" count="90" uniqueCount="31">
  <si>
    <t>Data</t>
  </si>
  <si>
    <t>BOVA11</t>
  </si>
  <si>
    <t>IVVB11</t>
  </si>
  <si>
    <t>GOLD11</t>
  </si>
  <si>
    <t>Retornos</t>
  </si>
  <si>
    <t>Retorno Diário</t>
  </si>
  <si>
    <t>Variância Diária</t>
  </si>
  <si>
    <t>Retorno Anual</t>
  </si>
  <si>
    <t>Variância Anual</t>
  </si>
  <si>
    <t>Estatísticas</t>
  </si>
  <si>
    <t>Retornos Excedentes</t>
  </si>
  <si>
    <t>Matriz Variância-Covariância</t>
  </si>
  <si>
    <t>CDI</t>
  </si>
  <si>
    <t>Retornos Anuais</t>
  </si>
  <si>
    <t>Pesos Iguais</t>
  </si>
  <si>
    <t>Soma</t>
  </si>
  <si>
    <t>E[R]</t>
  </si>
  <si>
    <t>E[SD]</t>
  </si>
  <si>
    <t>Sharpe</t>
  </si>
  <si>
    <t>Markowitz</t>
  </si>
  <si>
    <t>Min Var</t>
  </si>
  <si>
    <t>Risk Parity</t>
  </si>
  <si>
    <t>Portfolio</t>
  </si>
  <si>
    <t>Risk-Parity</t>
  </si>
  <si>
    <t>RC1</t>
  </si>
  <si>
    <t>RC2</t>
  </si>
  <si>
    <t>RC3</t>
  </si>
  <si>
    <t>VAR 95</t>
  </si>
  <si>
    <t>VAR 99</t>
  </si>
  <si>
    <t>Correlações</t>
  </si>
  <si>
    <t>VAR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</si>
</sst>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1" applyNumberFormat="1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209A-1EB0-4ACB-9ABB-49114ED99BA6}">
  <dimension ref="A1:X498"/>
  <sheetViews>
    <sheetView tabSelected="1" topLeftCell="G1" workbookViewId="0">
      <selection activeCell="W47" sqref="W47:W49"/>
    </sheetView>
  </sheetViews>
  <sheetFormatPr defaultRowHeight="15" x14ac:dyDescent="0.25"/>
  <cols>
    <col min="1" max="1" width="15.5703125" bestFit="1" customWidth="1"/>
    <col min="2" max="4" width="9.140625" style="2"/>
    <col min="6" max="8" width="9.140625" style="2"/>
    <col min="10" max="10" width="15.5703125" bestFit="1" customWidth="1"/>
    <col min="11" max="11" width="8.7109375" style="2" bestFit="1" customWidth="1"/>
    <col min="12" max="12" width="7.85546875" style="2" bestFit="1" customWidth="1"/>
    <col min="13" max="13" width="9" style="2" bestFit="1" customWidth="1"/>
    <col min="15" max="17" width="9.140625" style="2"/>
    <col min="20" max="20" width="12.7109375" bestFit="1" customWidth="1"/>
    <col min="22" max="22" width="12.7109375" bestFit="1" customWidth="1"/>
    <col min="23" max="23" width="11" customWidth="1"/>
    <col min="24" max="24" width="12" bestFit="1" customWidth="1"/>
  </cols>
  <sheetData>
    <row r="1" spans="1:24" x14ac:dyDescent="0.25">
      <c r="A1" s="2" t="s">
        <v>0</v>
      </c>
      <c r="B1" s="7" t="s">
        <v>1</v>
      </c>
      <c r="C1" s="7" t="s">
        <v>2</v>
      </c>
      <c r="D1" s="7" t="s">
        <v>3</v>
      </c>
      <c r="F1" s="15" t="s">
        <v>4</v>
      </c>
      <c r="G1" s="15"/>
      <c r="H1" s="15"/>
      <c r="K1" s="15" t="s">
        <v>9</v>
      </c>
      <c r="L1" s="15"/>
      <c r="M1" s="15"/>
      <c r="O1" s="15" t="s">
        <v>10</v>
      </c>
      <c r="P1" s="15"/>
      <c r="Q1" s="15"/>
      <c r="S1" s="15" t="s">
        <v>11</v>
      </c>
      <c r="T1" s="15"/>
      <c r="U1" s="15"/>
      <c r="V1" s="15"/>
      <c r="W1" s="9"/>
      <c r="X1" s="9" t="s">
        <v>22</v>
      </c>
    </row>
    <row r="2" spans="1:24" x14ac:dyDescent="0.25">
      <c r="A2" s="1">
        <v>45293.705555555556</v>
      </c>
      <c r="B2" s="2">
        <v>128.88</v>
      </c>
      <c r="C2" s="2">
        <v>259</v>
      </c>
      <c r="D2" s="2">
        <v>10.67</v>
      </c>
      <c r="F2" s="7" t="s">
        <v>1</v>
      </c>
      <c r="G2" s="7" t="s">
        <v>2</v>
      </c>
      <c r="H2" s="7" t="s">
        <v>3</v>
      </c>
      <c r="K2" s="7" t="s">
        <v>1</v>
      </c>
      <c r="L2" s="7" t="s">
        <v>2</v>
      </c>
      <c r="M2" s="7" t="s">
        <v>3</v>
      </c>
      <c r="O2" s="7" t="s">
        <v>1</v>
      </c>
      <c r="P2" s="7" t="s">
        <v>2</v>
      </c>
      <c r="Q2" s="7" t="s">
        <v>3</v>
      </c>
      <c r="T2" s="7" t="s">
        <v>1</v>
      </c>
      <c r="U2" s="7" t="s">
        <v>2</v>
      </c>
      <c r="V2" s="7" t="s">
        <v>3</v>
      </c>
      <c r="X2" s="7" t="s">
        <v>23</v>
      </c>
    </row>
    <row r="3" spans="1:24" x14ac:dyDescent="0.25">
      <c r="A3" s="1">
        <v>45294.705555555556</v>
      </c>
      <c r="B3" s="2">
        <v>128.93</v>
      </c>
      <c r="C3" s="2">
        <v>257.10000000000002</v>
      </c>
      <c r="D3" s="2">
        <v>10.6</v>
      </c>
      <c r="F3" s="2">
        <f>(B3/B2)-1</f>
        <v>3.8795779019240584E-4</v>
      </c>
      <c r="G3" s="2">
        <f t="shared" ref="G3:H18" si="0">(C3/C2)-1</f>
        <v>-7.3359073359072768E-3</v>
      </c>
      <c r="H3" s="2">
        <f t="shared" si="0"/>
        <v>-6.5604498594189486E-3</v>
      </c>
      <c r="J3" t="s">
        <v>5</v>
      </c>
      <c r="K3" s="4">
        <f>AVERAGE(F3:F498)</f>
        <v>4.4922944751402642E-4</v>
      </c>
      <c r="L3" s="4">
        <f t="shared" ref="L3:M3" si="1">AVERAGE(G3:G498)</f>
        <v>1.0457437221505132E-3</v>
      </c>
      <c r="M3" s="4">
        <f t="shared" si="1"/>
        <v>1.7658021986365069E-3</v>
      </c>
      <c r="O3" s="6">
        <f>F3-$K$3</f>
        <v>-6.1271657321620586E-5</v>
      </c>
      <c r="P3" s="6">
        <f>G3-$L$3</f>
        <v>-8.3816510580577899E-3</v>
      </c>
      <c r="Q3" s="6">
        <f>H3-$M$3</f>
        <v>-8.3262520580554555E-3</v>
      </c>
      <c r="S3" s="8" t="s">
        <v>1</v>
      </c>
      <c r="T3" cm="1">
        <f t="array" ref="T3:V5">MMULT(TRANSPOSE(F3:H498),F3:H498)*252/497</f>
        <v>1.9309323496440361E-2</v>
      </c>
      <c r="U3">
        <v>-1.9877216686729361E-3</v>
      </c>
      <c r="V3">
        <v>-5.9105141298418096E-3</v>
      </c>
      <c r="X3" s="14">
        <f>$T$47*O3+$T$48*P3+$T$49*Q3</f>
        <v>-4.831112902769389E-3</v>
      </c>
    </row>
    <row r="4" spans="1:24" x14ac:dyDescent="0.25">
      <c r="A4" s="1">
        <v>45295.705555555556</v>
      </c>
      <c r="B4" s="2">
        <v>127.42</v>
      </c>
      <c r="C4" s="2">
        <v>254.9</v>
      </c>
      <c r="D4" s="2">
        <v>10.57</v>
      </c>
      <c r="F4" s="2">
        <f t="shared" ref="F4:F67" si="2">(B4/B3)-1</f>
        <v>-1.1711781586907666E-2</v>
      </c>
      <c r="G4" s="2">
        <f t="shared" si="0"/>
        <v>-8.556981719175516E-3</v>
      </c>
      <c r="H4" s="2">
        <f t="shared" si="0"/>
        <v>-2.8301886792452269E-3</v>
      </c>
      <c r="J4" t="s">
        <v>6</v>
      </c>
      <c r="K4" s="4">
        <f>_xlfn.VAR.S(F3:F498)</f>
        <v>7.6731677931083945E-5</v>
      </c>
      <c r="L4" s="4">
        <f t="shared" ref="L4:M4" si="3">_xlfn.VAR.S(G3:G498)</f>
        <v>1.0121114132998013E-4</v>
      </c>
      <c r="M4" s="4">
        <f t="shared" si="3"/>
        <v>1.3300013022310742E-4</v>
      </c>
      <c r="O4" s="6">
        <f t="shared" ref="O4:O67" si="4">F4-$K$3</f>
        <v>-1.2161011034421692E-2</v>
      </c>
      <c r="P4" s="6">
        <f t="shared" ref="P4:P67" si="5">G4-$L$3</f>
        <v>-9.602725441326029E-3</v>
      </c>
      <c r="Q4" s="6">
        <f t="shared" ref="Q4:Q67" si="6">H4-$M$3</f>
        <v>-4.5959908778817338E-3</v>
      </c>
      <c r="S4" s="8" t="s">
        <v>2</v>
      </c>
      <c r="T4">
        <v>-1.9877216686729361E-3</v>
      </c>
      <c r="U4">
        <v>2.5677598616527995E-2</v>
      </c>
      <c r="V4">
        <v>6.2230095058324348E-3</v>
      </c>
      <c r="X4" s="14">
        <f t="shared" ref="X4:X67" si="7">$T$47*O4+$T$48*P4+$T$49*Q4</f>
        <v>-9.3128426531817032E-3</v>
      </c>
    </row>
    <row r="5" spans="1:24" x14ac:dyDescent="0.25">
      <c r="A5" s="1">
        <v>45296.705555555556</v>
      </c>
      <c r="B5" s="2">
        <v>128.13</v>
      </c>
      <c r="C5" s="2">
        <v>253.95</v>
      </c>
      <c r="D5" s="2">
        <v>10.51</v>
      </c>
      <c r="F5" s="2">
        <f t="shared" si="2"/>
        <v>5.5721236854495704E-3</v>
      </c>
      <c r="G5" s="2">
        <f t="shared" si="0"/>
        <v>-3.7269517457827472E-3</v>
      </c>
      <c r="H5" s="2">
        <f t="shared" si="0"/>
        <v>-5.6764427625355385E-3</v>
      </c>
      <c r="J5" t="s">
        <v>7</v>
      </c>
      <c r="K5" s="4">
        <f>((1+K3)^252)-1</f>
        <v>0.11983393354412697</v>
      </c>
      <c r="L5" s="4">
        <f t="shared" ref="L5:M5" si="8">((1+L3)^252)-1</f>
        <v>0.30133377971050845</v>
      </c>
      <c r="M5" s="4">
        <f t="shared" si="8"/>
        <v>0.5598501215323366</v>
      </c>
      <c r="O5" s="6">
        <f t="shared" si="4"/>
        <v>5.1228942379355439E-3</v>
      </c>
      <c r="P5" s="6">
        <f t="shared" si="5"/>
        <v>-4.7726954679332603E-3</v>
      </c>
      <c r="Q5" s="6">
        <f t="shared" si="6"/>
        <v>-7.4422449611720454E-3</v>
      </c>
      <c r="S5" s="8" t="s">
        <v>3</v>
      </c>
      <c r="T5">
        <v>-5.9105141298418096E-3</v>
      </c>
      <c r="U5">
        <v>6.2230095058324348E-3</v>
      </c>
      <c r="V5">
        <v>3.4165328923862918E-2</v>
      </c>
      <c r="X5" s="14">
        <f t="shared" si="7"/>
        <v>-1.3022370817495667E-3</v>
      </c>
    </row>
    <row r="6" spans="1:24" x14ac:dyDescent="0.25">
      <c r="A6" s="1">
        <v>45299.705555555556</v>
      </c>
      <c r="B6" s="2">
        <v>128.53</v>
      </c>
      <c r="C6" s="2">
        <v>257.11</v>
      </c>
      <c r="D6" s="2">
        <v>10.42</v>
      </c>
      <c r="F6" s="2">
        <f t="shared" si="2"/>
        <v>3.1218293920238782E-3</v>
      </c>
      <c r="G6" s="2">
        <f t="shared" si="0"/>
        <v>1.2443394368970351E-2</v>
      </c>
      <c r="H6" s="2">
        <f t="shared" si="0"/>
        <v>-8.5632730732635443E-3</v>
      </c>
      <c r="J6" t="s">
        <v>8</v>
      </c>
      <c r="K6" s="4">
        <f>K4*252</f>
        <v>1.9336382838633155E-2</v>
      </c>
      <c r="L6" s="4">
        <f t="shared" ref="L6:M6" si="9">L4*252</f>
        <v>2.5505207615154991E-2</v>
      </c>
      <c r="M6" s="4">
        <f t="shared" si="9"/>
        <v>3.3516032816223069E-2</v>
      </c>
      <c r="O6" s="6">
        <f t="shared" si="4"/>
        <v>2.6725999445098517E-3</v>
      </c>
      <c r="P6" s="6">
        <f t="shared" si="5"/>
        <v>1.1397650646819838E-2</v>
      </c>
      <c r="Q6" s="6">
        <f t="shared" si="6"/>
        <v>-1.0329075271900051E-2</v>
      </c>
      <c r="X6" s="14">
        <f t="shared" si="7"/>
        <v>1.7153883530498888E-3</v>
      </c>
    </row>
    <row r="7" spans="1:24" x14ac:dyDescent="0.25">
      <c r="A7" s="1">
        <v>45300.705555555556</v>
      </c>
      <c r="B7" s="2">
        <v>127.61</v>
      </c>
      <c r="C7" s="2">
        <v>258.85000000000002</v>
      </c>
      <c r="D7" s="2">
        <v>10.49</v>
      </c>
      <c r="F7" s="2">
        <f t="shared" si="2"/>
        <v>-7.1578619777483699E-3</v>
      </c>
      <c r="G7" s="2">
        <f t="shared" si="0"/>
        <v>6.7675314067909831E-3</v>
      </c>
      <c r="H7" s="2">
        <f t="shared" si="0"/>
        <v>6.7178502879079449E-3</v>
      </c>
      <c r="O7" s="6">
        <f t="shared" si="4"/>
        <v>-7.6070914252623963E-3</v>
      </c>
      <c r="P7" s="6">
        <f t="shared" si="5"/>
        <v>5.7217876846404701E-3</v>
      </c>
      <c r="Q7" s="6">
        <f t="shared" si="6"/>
        <v>4.952048089271438E-3</v>
      </c>
      <c r="X7" s="14">
        <f t="shared" si="7"/>
        <v>-1.5329535022546572E-4</v>
      </c>
    </row>
    <row r="8" spans="1:24" x14ac:dyDescent="0.25">
      <c r="A8" s="1">
        <v>45301.705555555556</v>
      </c>
      <c r="B8" s="2">
        <v>127.02</v>
      </c>
      <c r="C8" s="2">
        <v>259.27999999999997</v>
      </c>
      <c r="D8" s="2">
        <v>10.44</v>
      </c>
      <c r="F8" s="2">
        <f t="shared" si="2"/>
        <v>-4.6234621111198582E-3</v>
      </c>
      <c r="G8" s="2">
        <f t="shared" si="0"/>
        <v>1.6611937415489386E-3</v>
      </c>
      <c r="H8" s="2">
        <f t="shared" si="0"/>
        <v>-4.7664442326025291E-3</v>
      </c>
      <c r="O8" s="6">
        <f t="shared" si="4"/>
        <v>-5.0726915586338846E-3</v>
      </c>
      <c r="P8" s="6">
        <f t="shared" si="5"/>
        <v>6.1545001939842538E-4</v>
      </c>
      <c r="Q8" s="6">
        <f t="shared" si="6"/>
        <v>-6.532246431239036E-3</v>
      </c>
      <c r="S8" s="8" t="s">
        <v>12</v>
      </c>
      <c r="T8" s="5">
        <v>9.5000000000000001E-2</v>
      </c>
      <c r="X8" s="14">
        <f t="shared" si="7"/>
        <v>-3.7670945923445184E-3</v>
      </c>
    </row>
    <row r="9" spans="1:24" x14ac:dyDescent="0.25">
      <c r="A9" s="1">
        <v>45302.705555555556</v>
      </c>
      <c r="B9" s="2">
        <v>126.82</v>
      </c>
      <c r="C9" s="2">
        <v>258.2</v>
      </c>
      <c r="D9" s="2">
        <v>10.42</v>
      </c>
      <c r="F9" s="2">
        <f t="shared" si="2"/>
        <v>-1.57455518815941E-3</v>
      </c>
      <c r="G9" s="2">
        <f t="shared" si="0"/>
        <v>-4.1653810552297887E-3</v>
      </c>
      <c r="H9" s="2">
        <f t="shared" si="0"/>
        <v>-1.9157088122604415E-3</v>
      </c>
      <c r="K9" s="15" t="s">
        <v>29</v>
      </c>
      <c r="L9" s="15"/>
      <c r="M9" s="15"/>
      <c r="O9" s="6">
        <f t="shared" si="4"/>
        <v>-2.0237846356734365E-3</v>
      </c>
      <c r="P9" s="6">
        <f t="shared" si="5"/>
        <v>-5.2111247773803018E-3</v>
      </c>
      <c r="Q9" s="6">
        <f t="shared" si="6"/>
        <v>-3.6815110108969484E-3</v>
      </c>
      <c r="X9" s="14">
        <f t="shared" si="7"/>
        <v>-3.436178508544609E-3</v>
      </c>
    </row>
    <row r="10" spans="1:24" x14ac:dyDescent="0.25">
      <c r="A10" s="1">
        <v>45303.705555555556</v>
      </c>
      <c r="B10" s="2">
        <v>127.14</v>
      </c>
      <c r="C10" s="2">
        <v>257.48</v>
      </c>
      <c r="D10" s="2">
        <v>10.48</v>
      </c>
      <c r="F10" s="2">
        <f t="shared" si="2"/>
        <v>2.5232613152499361E-3</v>
      </c>
      <c r="G10" s="2">
        <f t="shared" si="0"/>
        <v>-2.788536018590082E-3</v>
      </c>
      <c r="H10" s="2">
        <f t="shared" si="0"/>
        <v>5.7581573896352545E-3</v>
      </c>
      <c r="K10" s="7" t="s">
        <v>1</v>
      </c>
      <c r="L10" s="7" t="s">
        <v>2</v>
      </c>
      <c r="M10" s="7" t="s">
        <v>3</v>
      </c>
      <c r="O10" s="6">
        <f t="shared" si="4"/>
        <v>2.0740318677359097E-3</v>
      </c>
      <c r="P10" s="6">
        <f t="shared" si="5"/>
        <v>-3.8342797407405951E-3</v>
      </c>
      <c r="Q10" s="6">
        <f t="shared" si="6"/>
        <v>3.9923551909987476E-3</v>
      </c>
      <c r="S10" s="15" t="s">
        <v>13</v>
      </c>
      <c r="T10" s="15"/>
      <c r="X10" s="14">
        <f t="shared" si="7"/>
        <v>8.2852769631725951E-4</v>
      </c>
    </row>
    <row r="11" spans="1:24" x14ac:dyDescent="0.25">
      <c r="A11" s="1">
        <v>45306.705555555556</v>
      </c>
      <c r="B11" s="2">
        <v>127.65</v>
      </c>
      <c r="C11" s="2">
        <v>258.11</v>
      </c>
      <c r="D11" s="2">
        <v>10.64</v>
      </c>
      <c r="F11" s="2">
        <f t="shared" si="2"/>
        <v>4.0113260972156617E-3</v>
      </c>
      <c r="G11" s="2">
        <f t="shared" si="0"/>
        <v>2.4467919838433438E-3</v>
      </c>
      <c r="H11" s="2">
        <f t="shared" si="0"/>
        <v>1.5267175572519109E-2</v>
      </c>
      <c r="J11" s="8" t="s">
        <v>1</v>
      </c>
      <c r="K11" s="2">
        <v>1</v>
      </c>
      <c r="L11" s="13">
        <f>K12</f>
        <v>-9.5209488810649889E-2</v>
      </c>
      <c r="M11" s="13">
        <f>K13</f>
        <v>-0.24097903494251138</v>
      </c>
      <c r="O11" s="6">
        <f t="shared" si="4"/>
        <v>3.5620966497016352E-3</v>
      </c>
      <c r="P11" s="6">
        <f t="shared" si="5"/>
        <v>1.4010482616928306E-3</v>
      </c>
      <c r="Q11" s="6">
        <f t="shared" si="6"/>
        <v>1.3501373373882603E-2</v>
      </c>
      <c r="S11" s="8" t="s">
        <v>1</v>
      </c>
      <c r="T11" s="10">
        <v>0.12</v>
      </c>
      <c r="X11" s="14">
        <f t="shared" si="7"/>
        <v>5.6469528277369296E-3</v>
      </c>
    </row>
    <row r="12" spans="1:24" x14ac:dyDescent="0.25">
      <c r="A12" s="1">
        <v>45307.705555555556</v>
      </c>
      <c r="B12" s="2">
        <v>125.56</v>
      </c>
      <c r="C12" s="2">
        <v>260.27999999999997</v>
      </c>
      <c r="D12" s="2">
        <v>10.53</v>
      </c>
      <c r="F12" s="2">
        <f t="shared" si="2"/>
        <v>-1.6372894633764234E-2</v>
      </c>
      <c r="G12" s="2">
        <f t="shared" si="0"/>
        <v>8.4072682189761938E-3</v>
      </c>
      <c r="H12" s="2">
        <f t="shared" si="0"/>
        <v>-1.0338345864661758E-2</v>
      </c>
      <c r="J12" s="8" t="s">
        <v>2</v>
      </c>
      <c r="K12" s="13">
        <f>CORREL(F3:F498,G3:G498)</f>
        <v>-9.5209488810649889E-2</v>
      </c>
      <c r="L12" s="2">
        <v>1</v>
      </c>
      <c r="M12" s="13">
        <f>L13</f>
        <v>0.19775524411121573</v>
      </c>
      <c r="O12" s="6">
        <f t="shared" si="4"/>
        <v>-1.6822124081278259E-2</v>
      </c>
      <c r="P12" s="6">
        <f t="shared" si="5"/>
        <v>7.3615244968256808E-3</v>
      </c>
      <c r="Q12" s="6">
        <f t="shared" si="6"/>
        <v>-1.2104148063298265E-2</v>
      </c>
      <c r="S12" s="8" t="s">
        <v>2</v>
      </c>
      <c r="T12" s="10">
        <v>0.15</v>
      </c>
      <c r="X12" s="14">
        <f t="shared" si="7"/>
        <v>-8.2672403967180112E-3</v>
      </c>
    </row>
    <row r="13" spans="1:24" x14ac:dyDescent="0.25">
      <c r="A13" s="1">
        <v>45308.705555555556</v>
      </c>
      <c r="B13" s="2">
        <v>124.77</v>
      </c>
      <c r="C13" s="2">
        <v>259</v>
      </c>
      <c r="D13" s="2">
        <v>10.44</v>
      </c>
      <c r="F13" s="2">
        <f t="shared" si="2"/>
        <v>-6.2918126791972062E-3</v>
      </c>
      <c r="G13" s="2">
        <f t="shared" si="0"/>
        <v>-4.9177808513907184E-3</v>
      </c>
      <c r="H13" s="2">
        <f t="shared" si="0"/>
        <v>-8.5470085470085166E-3</v>
      </c>
      <c r="J13" s="8" t="s">
        <v>3</v>
      </c>
      <c r="K13" s="13">
        <f>CORREL(F3:F498,H3:H498)</f>
        <v>-0.24097903494251138</v>
      </c>
      <c r="L13" s="13">
        <f>CORREL(G3:G498,H3:H498)</f>
        <v>0.19775524411121573</v>
      </c>
      <c r="M13" s="2">
        <v>1</v>
      </c>
      <c r="O13" s="6">
        <f t="shared" si="4"/>
        <v>-6.7410421267112327E-3</v>
      </c>
      <c r="P13" s="6">
        <f t="shared" si="5"/>
        <v>-5.9635245735412314E-3</v>
      </c>
      <c r="Q13" s="6">
        <f t="shared" si="6"/>
        <v>-1.0312810745645024E-2</v>
      </c>
      <c r="S13" s="8" t="s">
        <v>3</v>
      </c>
      <c r="T13" s="10">
        <v>0.1</v>
      </c>
      <c r="X13" s="14">
        <f t="shared" si="7"/>
        <v>-7.4899762804845433E-3</v>
      </c>
    </row>
    <row r="14" spans="1:24" x14ac:dyDescent="0.25">
      <c r="A14" s="1">
        <v>45309.705555555556</v>
      </c>
      <c r="B14" s="2">
        <v>123.61</v>
      </c>
      <c r="C14" s="2">
        <v>261.02</v>
      </c>
      <c r="D14" s="2">
        <v>10.51</v>
      </c>
      <c r="F14" s="2">
        <f t="shared" si="2"/>
        <v>-9.2971066762843613E-3</v>
      </c>
      <c r="G14" s="2">
        <f t="shared" si="0"/>
        <v>7.7992277992278147E-3</v>
      </c>
      <c r="H14" s="2">
        <f t="shared" si="0"/>
        <v>6.7049808429118229E-3</v>
      </c>
      <c r="O14" s="6">
        <f t="shared" si="4"/>
        <v>-9.7463361237983877E-3</v>
      </c>
      <c r="P14" s="6">
        <f t="shared" si="5"/>
        <v>6.7534840770773017E-3</v>
      </c>
      <c r="Q14" s="6">
        <f t="shared" si="6"/>
        <v>4.9391786442753161E-3</v>
      </c>
      <c r="X14" s="14">
        <f t="shared" si="7"/>
        <v>-7.561854329988973E-4</v>
      </c>
    </row>
    <row r="15" spans="1:24" x14ac:dyDescent="0.25">
      <c r="A15" s="1">
        <v>45310.705555555556</v>
      </c>
      <c r="B15" s="2">
        <v>123.88</v>
      </c>
      <c r="C15" s="2">
        <v>264.43</v>
      </c>
      <c r="D15" s="2">
        <v>10.54</v>
      </c>
      <c r="F15" s="2">
        <f t="shared" si="2"/>
        <v>2.1842892969823335E-3</v>
      </c>
      <c r="G15" s="2">
        <f t="shared" si="0"/>
        <v>1.3064133016627233E-2</v>
      </c>
      <c r="H15" s="2">
        <f t="shared" si="0"/>
        <v>2.8544243577544037E-3</v>
      </c>
      <c r="O15" s="6">
        <f t="shared" si="4"/>
        <v>1.7350598494683071E-3</v>
      </c>
      <c r="P15" s="6">
        <f t="shared" si="5"/>
        <v>1.201838929447672E-2</v>
      </c>
      <c r="Q15" s="6">
        <f t="shared" si="6"/>
        <v>1.0886221591178968E-3</v>
      </c>
      <c r="X15" s="14">
        <f t="shared" si="7"/>
        <v>4.6432654764817852E-3</v>
      </c>
    </row>
    <row r="16" spans="1:24" x14ac:dyDescent="0.25">
      <c r="A16" s="1">
        <v>45313.705555555556</v>
      </c>
      <c r="B16" s="2">
        <v>122.91</v>
      </c>
      <c r="C16" s="2">
        <v>268.32</v>
      </c>
      <c r="D16" s="2">
        <v>10.61</v>
      </c>
      <c r="F16" s="2">
        <f t="shared" si="2"/>
        <v>-7.8301582176300011E-3</v>
      </c>
      <c r="G16" s="2">
        <f t="shared" si="0"/>
        <v>1.4710887569489017E-2</v>
      </c>
      <c r="H16" s="2">
        <f t="shared" si="0"/>
        <v>6.6413662239088733E-3</v>
      </c>
      <c r="O16" s="6">
        <f t="shared" si="4"/>
        <v>-8.2793876651440276E-3</v>
      </c>
      <c r="P16" s="6">
        <f t="shared" si="5"/>
        <v>1.3665143847338504E-2</v>
      </c>
      <c r="Q16" s="6">
        <f t="shared" si="6"/>
        <v>4.8755640252723664E-3</v>
      </c>
      <c r="S16" s="15" t="s">
        <v>14</v>
      </c>
      <c r="T16" s="15"/>
      <c r="X16" s="14">
        <f t="shared" si="7"/>
        <v>1.9237798641884487E-3</v>
      </c>
    </row>
    <row r="17" spans="1:24" x14ac:dyDescent="0.25">
      <c r="A17" s="1">
        <v>45314.705555555556</v>
      </c>
      <c r="B17" s="2">
        <v>124.45</v>
      </c>
      <c r="C17" s="2">
        <v>267.48</v>
      </c>
      <c r="D17" s="2">
        <v>10.58</v>
      </c>
      <c r="F17" s="2">
        <f t="shared" si="2"/>
        <v>1.2529493125050806E-2</v>
      </c>
      <c r="G17" s="2">
        <f t="shared" si="0"/>
        <v>-3.1305903398926027E-3</v>
      </c>
      <c r="H17" s="2">
        <f t="shared" si="0"/>
        <v>-2.827521206408945E-3</v>
      </c>
      <c r="O17" s="6">
        <f t="shared" si="4"/>
        <v>1.2080263677536779E-2</v>
      </c>
      <c r="P17" s="6">
        <f t="shared" si="5"/>
        <v>-4.1763340620431157E-3</v>
      </c>
      <c r="Q17" s="6">
        <f t="shared" si="6"/>
        <v>-4.5933234050454519E-3</v>
      </c>
      <c r="S17" s="8" t="s">
        <v>1</v>
      </c>
      <c r="T17">
        <f>0.9/3</f>
        <v>0.3</v>
      </c>
      <c r="X17" s="14">
        <f t="shared" si="7"/>
        <v>2.6163678688630064E-3</v>
      </c>
    </row>
    <row r="18" spans="1:24" x14ac:dyDescent="0.25">
      <c r="A18" s="1">
        <v>45315.705555555556</v>
      </c>
      <c r="B18" s="2">
        <v>124.08</v>
      </c>
      <c r="C18" s="2">
        <v>266.35000000000002</v>
      </c>
      <c r="D18" s="2">
        <v>10.46</v>
      </c>
      <c r="F18" s="2">
        <f t="shared" si="2"/>
        <v>-2.9730815588590032E-3</v>
      </c>
      <c r="G18" s="2">
        <f t="shared" si="0"/>
        <v>-4.224614924480341E-3</v>
      </c>
      <c r="H18" s="2">
        <f t="shared" si="0"/>
        <v>-1.1342155009451682E-2</v>
      </c>
      <c r="O18" s="6">
        <f t="shared" si="4"/>
        <v>-3.4223110063730296E-3</v>
      </c>
      <c r="P18" s="6">
        <f t="shared" si="5"/>
        <v>-5.2703586466308541E-3</v>
      </c>
      <c r="Q18" s="6">
        <f t="shared" si="6"/>
        <v>-1.3107957208088189E-2</v>
      </c>
      <c r="S18" s="8" t="s">
        <v>2</v>
      </c>
      <c r="T18">
        <f t="shared" ref="T18:T19" si="10">0.9/3</f>
        <v>0.3</v>
      </c>
      <c r="X18" s="14">
        <f t="shared" si="7"/>
        <v>-6.6405285454104943E-3</v>
      </c>
    </row>
    <row r="19" spans="1:24" x14ac:dyDescent="0.25">
      <c r="A19" s="1">
        <v>45316.705555555556</v>
      </c>
      <c r="B19" s="2">
        <v>124.39</v>
      </c>
      <c r="C19" s="2">
        <v>267.08</v>
      </c>
      <c r="D19" s="2">
        <v>10.47</v>
      </c>
      <c r="F19" s="2">
        <f t="shared" si="2"/>
        <v>2.4983881366860139E-3</v>
      </c>
      <c r="G19" s="2">
        <f t="shared" ref="G19:G82" si="11">(C19/C18)-1</f>
        <v>2.7407546461422072E-3</v>
      </c>
      <c r="H19" s="2">
        <f t="shared" ref="H19:H82" si="12">(D19/D18)-1</f>
        <v>9.5602294455066072E-4</v>
      </c>
      <c r="O19" s="6">
        <f t="shared" si="4"/>
        <v>2.0491586891719874E-3</v>
      </c>
      <c r="P19" s="6">
        <f t="shared" si="5"/>
        <v>1.695010923991694E-3</v>
      </c>
      <c r="Q19" s="6">
        <f t="shared" si="6"/>
        <v>-8.0977925408584617E-4</v>
      </c>
      <c r="S19" s="8" t="s">
        <v>3</v>
      </c>
      <c r="T19">
        <f t="shared" si="10"/>
        <v>0.3</v>
      </c>
      <c r="X19" s="14">
        <f t="shared" si="7"/>
        <v>1.1566507464949556E-3</v>
      </c>
    </row>
    <row r="20" spans="1:24" x14ac:dyDescent="0.25">
      <c r="A20" s="1">
        <v>45317.705555555556</v>
      </c>
      <c r="B20" s="2">
        <v>125.16</v>
      </c>
      <c r="C20" s="2">
        <v>266.83</v>
      </c>
      <c r="D20" s="2">
        <v>10.45</v>
      </c>
      <c r="F20" s="2">
        <f t="shared" si="2"/>
        <v>6.190208216094506E-3</v>
      </c>
      <c r="G20" s="2">
        <f t="shared" si="11"/>
        <v>-9.360491238580293E-4</v>
      </c>
      <c r="H20" s="2">
        <f t="shared" si="12"/>
        <v>-1.9102196752628364E-3</v>
      </c>
      <c r="O20" s="6">
        <f t="shared" si="4"/>
        <v>5.7409787685804795E-3</v>
      </c>
      <c r="P20" s="6">
        <f t="shared" si="5"/>
        <v>-1.9817928460085423E-3</v>
      </c>
      <c r="Q20" s="6">
        <f t="shared" si="6"/>
        <v>-3.6760218738993433E-3</v>
      </c>
      <c r="S20" t="s">
        <v>15</v>
      </c>
      <c r="T20">
        <f>SUM(T17:T19)</f>
        <v>0.89999999999999991</v>
      </c>
      <c r="X20" s="14">
        <f t="shared" si="7"/>
        <v>8.3366255947491539E-4</v>
      </c>
    </row>
    <row r="21" spans="1:24" x14ac:dyDescent="0.25">
      <c r="A21" s="1">
        <v>45320.705555555556</v>
      </c>
      <c r="B21" s="2">
        <v>124.74</v>
      </c>
      <c r="C21" s="2">
        <v>270.5</v>
      </c>
      <c r="D21" s="2">
        <v>10.6</v>
      </c>
      <c r="F21" s="2">
        <f t="shared" si="2"/>
        <v>-3.3557046979866278E-3</v>
      </c>
      <c r="G21" s="2">
        <f t="shared" si="11"/>
        <v>1.3754075628677587E-2</v>
      </c>
      <c r="H21" s="2">
        <f t="shared" si="12"/>
        <v>1.4354066985645897E-2</v>
      </c>
      <c r="O21" s="6">
        <f t="shared" si="4"/>
        <v>-3.8049341455006543E-3</v>
      </c>
      <c r="P21" s="6">
        <f t="shared" si="5"/>
        <v>1.2708331906527074E-2</v>
      </c>
      <c r="Q21" s="6">
        <f t="shared" si="6"/>
        <v>1.258826478700939E-2</v>
      </c>
      <c r="X21" s="14">
        <f t="shared" si="7"/>
        <v>5.6588777849916685E-3</v>
      </c>
    </row>
    <row r="22" spans="1:24" x14ac:dyDescent="0.25">
      <c r="A22" s="1">
        <v>45321.705555555556</v>
      </c>
      <c r="B22" s="2">
        <v>123.7</v>
      </c>
      <c r="C22" s="2">
        <v>270.13</v>
      </c>
      <c r="D22" s="2">
        <v>10.62</v>
      </c>
      <c r="F22" s="2">
        <f t="shared" si="2"/>
        <v>-8.3373416706749026E-3</v>
      </c>
      <c r="G22" s="2">
        <f t="shared" si="11"/>
        <v>-1.367837338262512E-3</v>
      </c>
      <c r="H22" s="2">
        <f t="shared" si="12"/>
        <v>1.8867924528300772E-3</v>
      </c>
      <c r="O22" s="6">
        <f t="shared" si="4"/>
        <v>-8.7865711181889291E-3</v>
      </c>
      <c r="P22" s="6">
        <f t="shared" si="5"/>
        <v>-2.413581060413025E-3</v>
      </c>
      <c r="Q22" s="6">
        <f t="shared" si="6"/>
        <v>1.2099025419357035E-4</v>
      </c>
      <c r="S22" s="3" t="s">
        <v>16</v>
      </c>
      <c r="T22" s="4" cm="1">
        <f t="array" ref="T22">MMULT(TRANSPOSE(T17:T19),T11:T13)+0.1*T8</f>
        <v>0.1205</v>
      </c>
      <c r="U22" t="s">
        <v>27</v>
      </c>
      <c r="V22" s="6">
        <f>T22-1.65*T23</f>
        <v>-1.5784025716775091E-2</v>
      </c>
      <c r="X22" s="14">
        <f t="shared" si="7"/>
        <v>-4.4244179796850431E-3</v>
      </c>
    </row>
    <row r="23" spans="1:24" x14ac:dyDescent="0.25">
      <c r="A23" s="1">
        <v>45322.705555555556</v>
      </c>
      <c r="B23" s="2">
        <v>123.99</v>
      </c>
      <c r="C23" s="2">
        <v>266.62</v>
      </c>
      <c r="D23" s="2">
        <v>10.64</v>
      </c>
      <c r="F23" s="2">
        <f t="shared" si="2"/>
        <v>2.3443815683104052E-3</v>
      </c>
      <c r="G23" s="2">
        <f t="shared" si="11"/>
        <v>-1.2993743753007769E-2</v>
      </c>
      <c r="H23" s="2">
        <f t="shared" si="12"/>
        <v>1.8832391713747842E-3</v>
      </c>
      <c r="O23" s="6">
        <f t="shared" si="4"/>
        <v>1.8951521207963788E-3</v>
      </c>
      <c r="P23" s="6">
        <f t="shared" si="5"/>
        <v>-1.4039487475158282E-2</v>
      </c>
      <c r="Q23" s="6">
        <f t="shared" si="6"/>
        <v>1.1743697273827736E-4</v>
      </c>
      <c r="S23" s="3" t="s">
        <v>17</v>
      </c>
      <c r="T23" s="4" cm="1">
        <f t="array" ref="T23">SQRT(MMULT(MMULT(TRANSPOSE(T17:T19),_xlfn.ANCHORARRAY(T3)),T17:T19))</f>
        <v>8.2596379222287936E-2</v>
      </c>
      <c r="U23" t="s">
        <v>28</v>
      </c>
      <c r="V23" s="6">
        <f>T22-2.33*T23</f>
        <v>-7.1949563587930893E-2</v>
      </c>
      <c r="X23" s="14">
        <f t="shared" si="7"/>
        <v>-3.3756468377281581E-3</v>
      </c>
    </row>
    <row r="24" spans="1:24" x14ac:dyDescent="0.25">
      <c r="A24" s="1">
        <v>45323.705555555556</v>
      </c>
      <c r="B24" s="2">
        <v>124.7</v>
      </c>
      <c r="C24" s="2">
        <v>267.45</v>
      </c>
      <c r="D24" s="2">
        <v>10.64</v>
      </c>
      <c r="F24" s="2">
        <f t="shared" si="2"/>
        <v>5.7262682474392701E-3</v>
      </c>
      <c r="G24" s="2">
        <f t="shared" si="11"/>
        <v>3.1130447828369157E-3</v>
      </c>
      <c r="H24" s="2">
        <f t="shared" si="12"/>
        <v>0</v>
      </c>
      <c r="O24" s="6">
        <f t="shared" si="4"/>
        <v>5.2770387999252436E-3</v>
      </c>
      <c r="P24" s="6">
        <f t="shared" si="5"/>
        <v>2.0673010606864026E-3</v>
      </c>
      <c r="Q24" s="6">
        <f t="shared" si="6"/>
        <v>-1.7658021986365069E-3</v>
      </c>
      <c r="S24" s="3" t="s">
        <v>18</v>
      </c>
      <c r="T24" s="11">
        <f>(T22-T8)/T23</f>
        <v>0.30873024023695989</v>
      </c>
      <c r="U24" t="s">
        <v>30</v>
      </c>
      <c r="V24" s="6">
        <f>T22-T23*3.09</f>
        <v>-0.13472281179686973</v>
      </c>
      <c r="X24" s="14">
        <f t="shared" si="7"/>
        <v>2.3769758189081305E-3</v>
      </c>
    </row>
    <row r="25" spans="1:24" x14ac:dyDescent="0.25">
      <c r="A25" s="1">
        <v>45324.705555555556</v>
      </c>
      <c r="B25" s="2">
        <v>123.48</v>
      </c>
      <c r="C25" s="2">
        <v>273.01</v>
      </c>
      <c r="D25" s="2">
        <v>10.65</v>
      </c>
      <c r="F25" s="2">
        <f t="shared" si="2"/>
        <v>-9.7834803528468184E-3</v>
      </c>
      <c r="G25" s="2">
        <f t="shared" si="11"/>
        <v>2.0788932510749758E-2</v>
      </c>
      <c r="H25" s="2">
        <f t="shared" si="12"/>
        <v>9.3984962406024053E-4</v>
      </c>
      <c r="O25" s="6">
        <f t="shared" si="4"/>
        <v>-1.0232709800360845E-2</v>
      </c>
      <c r="P25" s="6">
        <f t="shared" si="5"/>
        <v>1.9743188788599243E-2</v>
      </c>
      <c r="Q25" s="6">
        <f t="shared" si="6"/>
        <v>-8.2595257457626636E-4</v>
      </c>
      <c r="V25" s="6"/>
      <c r="X25" s="14">
        <f t="shared" si="7"/>
        <v>1.3498527483532077E-3</v>
      </c>
    </row>
    <row r="26" spans="1:24" x14ac:dyDescent="0.25">
      <c r="A26" s="1">
        <v>45327.705555555556</v>
      </c>
      <c r="B26" s="2">
        <v>123.84</v>
      </c>
      <c r="C26" s="2">
        <v>273.44</v>
      </c>
      <c r="D26" s="2">
        <v>10.63</v>
      </c>
      <c r="F26" s="2">
        <f t="shared" si="2"/>
        <v>2.9154518950438302E-3</v>
      </c>
      <c r="G26" s="2">
        <f t="shared" si="11"/>
        <v>1.5750338815427867E-3</v>
      </c>
      <c r="H26" s="2">
        <f t="shared" si="12"/>
        <v>-1.87793427230043E-3</v>
      </c>
      <c r="O26" s="6">
        <f t="shared" si="4"/>
        <v>2.4662224475298037E-3</v>
      </c>
      <c r="P26" s="6">
        <f t="shared" si="5"/>
        <v>5.2929015939227344E-4</v>
      </c>
      <c r="Q26" s="6">
        <f t="shared" si="6"/>
        <v>-3.6437364709369369E-3</v>
      </c>
      <c r="S26" s="15" t="s">
        <v>19</v>
      </c>
      <c r="T26" s="15"/>
      <c r="V26" s="6"/>
      <c r="X26" s="14">
        <f t="shared" si="7"/>
        <v>2.0467236377305306E-4</v>
      </c>
    </row>
    <row r="27" spans="1:24" x14ac:dyDescent="0.25">
      <c r="A27" s="1">
        <v>45328.705555555556</v>
      </c>
      <c r="B27" s="2">
        <v>126.52</v>
      </c>
      <c r="C27" s="2">
        <v>272.75</v>
      </c>
      <c r="D27" s="2">
        <v>10.64</v>
      </c>
      <c r="F27" s="2">
        <f t="shared" si="2"/>
        <v>2.1640826873384977E-2</v>
      </c>
      <c r="G27" s="2">
        <f t="shared" si="11"/>
        <v>-2.5234055002925082E-3</v>
      </c>
      <c r="H27" s="2">
        <f t="shared" si="12"/>
        <v>9.4073377234238365E-4</v>
      </c>
      <c r="O27" s="6">
        <f t="shared" si="4"/>
        <v>2.1191597425870953E-2</v>
      </c>
      <c r="P27" s="6">
        <f t="shared" si="5"/>
        <v>-3.5691492224430212E-3</v>
      </c>
      <c r="Q27" s="6">
        <f t="shared" si="6"/>
        <v>-8.2506842629412325E-4</v>
      </c>
      <c r="S27" s="8" t="s">
        <v>1</v>
      </c>
      <c r="T27" s="12">
        <v>0.40000000000000008</v>
      </c>
      <c r="V27" s="6"/>
      <c r="X27" s="14">
        <f t="shared" si="7"/>
        <v>7.7062572546785692E-3</v>
      </c>
    </row>
    <row r="28" spans="1:24" x14ac:dyDescent="0.25">
      <c r="A28" s="1">
        <v>45329.705555555556</v>
      </c>
      <c r="B28" s="2">
        <v>126.15</v>
      </c>
      <c r="C28" s="2">
        <v>275.25</v>
      </c>
      <c r="D28" s="2">
        <v>10.66</v>
      </c>
      <c r="F28" s="2">
        <f t="shared" si="2"/>
        <v>-2.9244388239012542E-3</v>
      </c>
      <c r="G28" s="2">
        <f t="shared" si="11"/>
        <v>9.1659028414299293E-3</v>
      </c>
      <c r="H28" s="2">
        <f t="shared" si="12"/>
        <v>1.879699248120259E-3</v>
      </c>
      <c r="O28" s="6">
        <f t="shared" si="4"/>
        <v>-3.3736682714152807E-3</v>
      </c>
      <c r="P28" s="6">
        <f t="shared" si="5"/>
        <v>8.1201591192794163E-3</v>
      </c>
      <c r="Q28" s="6">
        <f t="shared" si="6"/>
        <v>1.1389704948375212E-4</v>
      </c>
      <c r="S28" s="8" t="s">
        <v>2</v>
      </c>
      <c r="T28" s="12">
        <v>0.4</v>
      </c>
      <c r="V28" s="6"/>
      <c r="X28" s="14">
        <f t="shared" si="7"/>
        <v>1.0346847787748861E-3</v>
      </c>
    </row>
    <row r="29" spans="1:24" x14ac:dyDescent="0.25">
      <c r="A29" s="1">
        <v>45330.705555555556</v>
      </c>
      <c r="B29" s="2">
        <v>124.49</v>
      </c>
      <c r="C29" s="2">
        <v>277.14999999999998</v>
      </c>
      <c r="D29" s="2">
        <v>10.7</v>
      </c>
      <c r="F29" s="2">
        <f t="shared" si="2"/>
        <v>-1.3158937772493107E-2</v>
      </c>
      <c r="G29" s="2">
        <f t="shared" si="11"/>
        <v>6.9028156221615511E-3</v>
      </c>
      <c r="H29" s="2">
        <f t="shared" si="12"/>
        <v>3.7523452157597337E-3</v>
      </c>
      <c r="O29" s="6">
        <f t="shared" si="4"/>
        <v>-1.3608167220007133E-2</v>
      </c>
      <c r="P29" s="6">
        <f t="shared" si="5"/>
        <v>5.8570719000110381E-3</v>
      </c>
      <c r="Q29" s="6">
        <f t="shared" si="6"/>
        <v>1.9865430171232268E-3</v>
      </c>
      <c r="S29" s="8" t="s">
        <v>3</v>
      </c>
      <c r="T29" s="12">
        <v>0.10000000017786305</v>
      </c>
      <c r="V29" s="6"/>
      <c r="X29" s="14">
        <f t="shared" si="7"/>
        <v>-3.4780719390998076E-3</v>
      </c>
    </row>
    <row r="30" spans="1:24" x14ac:dyDescent="0.25">
      <c r="A30" s="1">
        <v>45331.705555555556</v>
      </c>
      <c r="B30" s="2">
        <v>124.27</v>
      </c>
      <c r="C30" s="2">
        <v>276.25</v>
      </c>
      <c r="D30" s="2">
        <v>10.58</v>
      </c>
      <c r="F30" s="2">
        <f t="shared" si="2"/>
        <v>-1.7672102176881088E-3</v>
      </c>
      <c r="G30" s="2">
        <f t="shared" si="11"/>
        <v>-3.2473389861085167E-3</v>
      </c>
      <c r="H30" s="2">
        <f t="shared" si="12"/>
        <v>-1.121495327102795E-2</v>
      </c>
      <c r="O30" s="6">
        <f t="shared" si="4"/>
        <v>-2.2164396652021353E-3</v>
      </c>
      <c r="P30" s="6">
        <f t="shared" si="5"/>
        <v>-4.2930827082590297E-3</v>
      </c>
      <c r="Q30" s="6">
        <f t="shared" si="6"/>
        <v>-1.2980755469664457E-2</v>
      </c>
      <c r="S30" t="s">
        <v>15</v>
      </c>
      <c r="T30">
        <f>SUM(T27:T29)</f>
        <v>0.90000000017786308</v>
      </c>
      <c r="V30" s="6"/>
      <c r="X30" s="14">
        <f t="shared" si="7"/>
        <v>-5.7999000439061593E-3</v>
      </c>
    </row>
    <row r="31" spans="1:24" x14ac:dyDescent="0.25">
      <c r="A31" s="1">
        <v>45336.705555555556</v>
      </c>
      <c r="B31" s="2">
        <v>123.31</v>
      </c>
      <c r="C31" s="2">
        <v>275.85000000000002</v>
      </c>
      <c r="D31" s="2">
        <v>10.44</v>
      </c>
      <c r="F31" s="2">
        <f t="shared" si="2"/>
        <v>-7.7251146696708517E-3</v>
      </c>
      <c r="G31" s="2">
        <f t="shared" si="11"/>
        <v>-1.44796380090495E-3</v>
      </c>
      <c r="H31" s="2">
        <f t="shared" si="12"/>
        <v>-1.3232514177693777E-2</v>
      </c>
      <c r="O31" s="6">
        <f t="shared" si="4"/>
        <v>-8.1743441171848782E-3</v>
      </c>
      <c r="P31" s="6">
        <f t="shared" si="5"/>
        <v>-2.493707523055463E-3</v>
      </c>
      <c r="Q31" s="6">
        <f t="shared" si="6"/>
        <v>-1.4998316376330284E-2</v>
      </c>
      <c r="V31" s="6"/>
      <c r="X31" s="14">
        <f t="shared" si="7"/>
        <v>-8.34625515430008E-3</v>
      </c>
    </row>
    <row r="32" spans="1:24" x14ac:dyDescent="0.25">
      <c r="A32" s="1">
        <v>45337.705555555556</v>
      </c>
      <c r="B32" s="2">
        <v>124.03</v>
      </c>
      <c r="C32" s="2">
        <v>277.7</v>
      </c>
      <c r="D32" s="2">
        <v>10.51</v>
      </c>
      <c r="F32" s="2">
        <f t="shared" si="2"/>
        <v>5.8389425026357245E-3</v>
      </c>
      <c r="G32" s="2">
        <f t="shared" si="11"/>
        <v>6.7065434112740796E-3</v>
      </c>
      <c r="H32" s="2">
        <f t="shared" si="12"/>
        <v>6.7049808429118229E-3</v>
      </c>
      <c r="O32" s="6">
        <f t="shared" si="4"/>
        <v>5.389713055121698E-3</v>
      </c>
      <c r="P32" s="6">
        <f t="shared" si="5"/>
        <v>5.6607996891235666E-3</v>
      </c>
      <c r="Q32" s="6">
        <f t="shared" si="6"/>
        <v>4.9391786442753161E-3</v>
      </c>
      <c r="S32" s="3" t="s">
        <v>16</v>
      </c>
      <c r="T32" s="4" cm="1">
        <f t="array" ref="T32">MMULT(TRANSPOSE(T27:T29),T11:T13)+0.1*T8</f>
        <v>0.12750000001778633</v>
      </c>
      <c r="U32" t="s">
        <v>27</v>
      </c>
      <c r="V32" s="6">
        <f>T32-1.65*T33</f>
        <v>-9.841955447154993E-3</v>
      </c>
      <c r="X32" s="14">
        <f t="shared" si="7"/>
        <v>5.3471645279595725E-3</v>
      </c>
    </row>
    <row r="33" spans="1:24" x14ac:dyDescent="0.25">
      <c r="A33" s="1">
        <v>45338.705555555556</v>
      </c>
      <c r="B33" s="2">
        <v>124.91</v>
      </c>
      <c r="C33" s="2">
        <v>276.35000000000002</v>
      </c>
      <c r="D33" s="2">
        <v>10.54</v>
      </c>
      <c r="F33" s="2">
        <f t="shared" si="2"/>
        <v>7.0950576473434168E-3</v>
      </c>
      <c r="G33" s="2">
        <f t="shared" si="11"/>
        <v>-4.8613611811305635E-3</v>
      </c>
      <c r="H33" s="2">
        <f t="shared" si="12"/>
        <v>2.8544243577544037E-3</v>
      </c>
      <c r="O33" s="6">
        <f t="shared" si="4"/>
        <v>6.6458281998293903E-3</v>
      </c>
      <c r="P33" s="6">
        <f t="shared" si="5"/>
        <v>-5.9071049032810765E-3</v>
      </c>
      <c r="Q33" s="6">
        <f t="shared" si="6"/>
        <v>1.0886221591178968E-3</v>
      </c>
      <c r="S33" s="3" t="s">
        <v>17</v>
      </c>
      <c r="T33" s="4" cm="1">
        <f t="array" ref="T33">SQRT(MMULT(MMULT(TRANSPOSE(T27:T29),_xlfn.ANCHORARRAY(T3)),T27:T29))</f>
        <v>8.3237548766631114E-2</v>
      </c>
      <c r="U33" t="s">
        <v>28</v>
      </c>
      <c r="V33" s="6">
        <f>T32-2.33*T33</f>
        <v>-6.6443488608464163E-2</v>
      </c>
      <c r="X33" s="14">
        <f t="shared" si="7"/>
        <v>1.3504752669148087E-3</v>
      </c>
    </row>
    <row r="34" spans="1:24" x14ac:dyDescent="0.25">
      <c r="A34" s="1">
        <v>45341.705555555556</v>
      </c>
      <c r="B34" s="2">
        <v>125.23</v>
      </c>
      <c r="C34" s="2">
        <v>276.7</v>
      </c>
      <c r="D34" s="2">
        <v>10.58</v>
      </c>
      <c r="F34" s="2">
        <f t="shared" si="2"/>
        <v>2.5618445280601865E-3</v>
      </c>
      <c r="G34" s="2">
        <f t="shared" si="11"/>
        <v>1.2665098606838843E-3</v>
      </c>
      <c r="H34" s="2">
        <f t="shared" si="12"/>
        <v>3.7950664136623402E-3</v>
      </c>
      <c r="O34" s="6">
        <f t="shared" si="4"/>
        <v>2.11261508054616E-3</v>
      </c>
      <c r="P34" s="6">
        <f t="shared" si="5"/>
        <v>2.2076613853337103E-4</v>
      </c>
      <c r="Q34" s="6">
        <f t="shared" si="6"/>
        <v>2.0292642150258333E-3</v>
      </c>
      <c r="S34" s="3" t="s">
        <v>18</v>
      </c>
      <c r="T34" s="11">
        <f>(T32-T8)/T33</f>
        <v>0.39044878782897519</v>
      </c>
      <c r="U34" t="s">
        <v>30</v>
      </c>
      <c r="V34" s="6">
        <f>T32-3.09*T33</f>
        <v>-0.12970402567110378</v>
      </c>
      <c r="X34" s="14">
        <f t="shared" si="7"/>
        <v>1.5219575933602533E-3</v>
      </c>
    </row>
    <row r="35" spans="1:24" x14ac:dyDescent="0.25">
      <c r="A35" s="1">
        <v>45342.705555555556</v>
      </c>
      <c r="B35" s="2">
        <v>126.08</v>
      </c>
      <c r="C35" s="2">
        <v>272.3</v>
      </c>
      <c r="D35" s="2">
        <v>10.51</v>
      </c>
      <c r="F35" s="2">
        <f t="shared" si="2"/>
        <v>6.7875109797970179E-3</v>
      </c>
      <c r="G35" s="2">
        <f t="shared" si="11"/>
        <v>-1.5901698590531144E-2</v>
      </c>
      <c r="H35" s="2">
        <f t="shared" si="12"/>
        <v>-6.6162570888469441E-3</v>
      </c>
      <c r="O35" s="6">
        <f t="shared" si="4"/>
        <v>6.3382815322829914E-3</v>
      </c>
      <c r="P35" s="6">
        <f t="shared" si="5"/>
        <v>-1.6947442312681658E-2</v>
      </c>
      <c r="Q35" s="6">
        <f t="shared" si="6"/>
        <v>-8.382059287483451E-3</v>
      </c>
      <c r="V35" s="6"/>
      <c r="X35" s="14">
        <f t="shared" si="7"/>
        <v>-4.6978657639207434E-3</v>
      </c>
    </row>
    <row r="36" spans="1:24" x14ac:dyDescent="0.25">
      <c r="A36" s="1">
        <v>45343.705555555556</v>
      </c>
      <c r="B36" s="2">
        <v>126.21</v>
      </c>
      <c r="C36" s="2">
        <v>273.8</v>
      </c>
      <c r="D36" s="2">
        <v>10.52</v>
      </c>
      <c r="F36" s="2">
        <f t="shared" si="2"/>
        <v>1.0310913705582347E-3</v>
      </c>
      <c r="G36" s="2">
        <f t="shared" si="11"/>
        <v>5.5086301872935284E-3</v>
      </c>
      <c r="H36" s="2">
        <f t="shared" si="12"/>
        <v>9.5147478591806056E-4</v>
      </c>
      <c r="O36" s="6">
        <f t="shared" si="4"/>
        <v>5.8186192304420827E-4</v>
      </c>
      <c r="P36" s="6">
        <f t="shared" si="5"/>
        <v>4.4628864651430154E-3</v>
      </c>
      <c r="Q36" s="6">
        <f t="shared" si="6"/>
        <v>-8.1432741271844633E-4</v>
      </c>
      <c r="S36" s="15" t="s">
        <v>20</v>
      </c>
      <c r="T36" s="15"/>
      <c r="V36" s="6"/>
      <c r="X36" s="14">
        <f t="shared" si="7"/>
        <v>1.36257719849215E-3</v>
      </c>
    </row>
    <row r="37" spans="1:24" x14ac:dyDescent="0.25">
      <c r="A37" s="1">
        <v>45344.705555555556</v>
      </c>
      <c r="B37" s="2">
        <v>126.41</v>
      </c>
      <c r="C37" s="2">
        <v>280.3</v>
      </c>
      <c r="D37" s="2">
        <v>10.6</v>
      </c>
      <c r="F37" s="2">
        <f t="shared" si="2"/>
        <v>1.5846604864908631E-3</v>
      </c>
      <c r="G37" s="2">
        <f t="shared" si="11"/>
        <v>2.3739956172388554E-2</v>
      </c>
      <c r="H37" s="2">
        <f t="shared" si="12"/>
        <v>7.6045627376426506E-3</v>
      </c>
      <c r="O37" s="6">
        <f t="shared" si="4"/>
        <v>1.1354310389768366E-3</v>
      </c>
      <c r="P37" s="6">
        <f t="shared" si="5"/>
        <v>2.269421245023804E-2</v>
      </c>
      <c r="Q37" s="6">
        <f t="shared" si="6"/>
        <v>5.8387605390061437E-3</v>
      </c>
      <c r="S37" s="8" t="s">
        <v>1</v>
      </c>
      <c r="T37" s="12">
        <v>0.4</v>
      </c>
      <c r="V37" s="6"/>
      <c r="X37" s="14">
        <f t="shared" si="7"/>
        <v>8.8985759834615853E-3</v>
      </c>
    </row>
    <row r="38" spans="1:24" x14ac:dyDescent="0.25">
      <c r="A38" s="1">
        <v>45345.705555555556</v>
      </c>
      <c r="B38" s="2">
        <v>125.64</v>
      </c>
      <c r="C38" s="2">
        <v>282.2</v>
      </c>
      <c r="D38" s="2">
        <v>10.72</v>
      </c>
      <c r="F38" s="2">
        <f t="shared" si="2"/>
        <v>-6.0912902460248386E-3</v>
      </c>
      <c r="G38" s="2">
        <f t="shared" si="11"/>
        <v>6.7784516589368682E-3</v>
      </c>
      <c r="H38" s="2">
        <f t="shared" si="12"/>
        <v>1.132075471698113E-2</v>
      </c>
      <c r="O38" s="6">
        <f t="shared" si="4"/>
        <v>-6.5405196935388651E-3</v>
      </c>
      <c r="P38" s="6">
        <f t="shared" si="5"/>
        <v>5.7327079367863552E-3</v>
      </c>
      <c r="Q38" s="6">
        <f t="shared" si="6"/>
        <v>9.5549525183446227E-3</v>
      </c>
      <c r="S38" s="8" t="s">
        <v>2</v>
      </c>
      <c r="T38" s="12">
        <v>0.26166353746975279</v>
      </c>
      <c r="V38" s="6"/>
      <c r="X38" s="14">
        <f t="shared" si="7"/>
        <v>1.5689986450765656E-3</v>
      </c>
    </row>
    <row r="39" spans="1:24" x14ac:dyDescent="0.25">
      <c r="A39" s="1">
        <v>45348.705555555556</v>
      </c>
      <c r="B39" s="2">
        <v>125.8</v>
      </c>
      <c r="C39" s="2">
        <v>280.42</v>
      </c>
      <c r="D39" s="2">
        <v>10.65</v>
      </c>
      <c r="F39" s="2">
        <f t="shared" si="2"/>
        <v>1.2734797835083356E-3</v>
      </c>
      <c r="G39" s="2">
        <f t="shared" si="11"/>
        <v>-6.3075832742734983E-3</v>
      </c>
      <c r="H39" s="2">
        <f t="shared" si="12"/>
        <v>-6.5298507462686617E-3</v>
      </c>
      <c r="O39" s="6">
        <f t="shared" si="4"/>
        <v>8.2425033599430909E-4</v>
      </c>
      <c r="P39" s="6">
        <f t="shared" si="5"/>
        <v>-7.3533269964240113E-3</v>
      </c>
      <c r="Q39" s="6">
        <f t="shared" si="6"/>
        <v>-8.2956529449051686E-3</v>
      </c>
      <c r="S39" s="8" t="s">
        <v>3</v>
      </c>
      <c r="T39" s="12">
        <v>0.23833646295415981</v>
      </c>
      <c r="V39" s="6"/>
      <c r="X39" s="14">
        <f t="shared" si="7"/>
        <v>-4.1378469785775989E-3</v>
      </c>
    </row>
    <row r="40" spans="1:24" x14ac:dyDescent="0.25">
      <c r="A40" s="1">
        <v>45349.705555555556</v>
      </c>
      <c r="B40" s="2">
        <v>127.77</v>
      </c>
      <c r="C40" s="2">
        <v>278.2</v>
      </c>
      <c r="D40" s="2">
        <v>10.55</v>
      </c>
      <c r="F40" s="2">
        <f t="shared" si="2"/>
        <v>1.5659777424483323E-2</v>
      </c>
      <c r="G40" s="2">
        <f t="shared" si="11"/>
        <v>-7.9166963839955029E-3</v>
      </c>
      <c r="H40" s="2">
        <f t="shared" si="12"/>
        <v>-9.3896713615022609E-3</v>
      </c>
      <c r="O40" s="6">
        <f t="shared" si="4"/>
        <v>1.5210547976969297E-2</v>
      </c>
      <c r="P40" s="6">
        <f t="shared" si="5"/>
        <v>-8.9624401061460159E-3</v>
      </c>
      <c r="Q40" s="6">
        <f t="shared" si="6"/>
        <v>-1.1155473560138768E-2</v>
      </c>
      <c r="S40" t="s">
        <v>15</v>
      </c>
      <c r="T40">
        <f>SUM(T37:T39)</f>
        <v>0.90000000042391259</v>
      </c>
      <c r="V40" s="6"/>
      <c r="X40" s="14">
        <f t="shared" si="7"/>
        <v>7.0548544515723621E-4</v>
      </c>
    </row>
    <row r="41" spans="1:24" x14ac:dyDescent="0.25">
      <c r="A41" s="1">
        <v>45350.705555555556</v>
      </c>
      <c r="B41" s="2">
        <v>126.38</v>
      </c>
      <c r="C41" s="2">
        <v>279.95</v>
      </c>
      <c r="D41" s="2">
        <v>10.64</v>
      </c>
      <c r="F41" s="2">
        <f t="shared" si="2"/>
        <v>-1.0878923064882251E-2</v>
      </c>
      <c r="G41" s="2">
        <f t="shared" si="11"/>
        <v>6.2904385334292545E-3</v>
      </c>
      <c r="H41" s="2">
        <f t="shared" si="12"/>
        <v>8.5308056872037685E-3</v>
      </c>
      <c r="O41" s="6">
        <f t="shared" si="4"/>
        <v>-1.1328152512396278E-2</v>
      </c>
      <c r="P41" s="6">
        <f t="shared" si="5"/>
        <v>5.2446948112787415E-3</v>
      </c>
      <c r="Q41" s="6">
        <f t="shared" si="6"/>
        <v>6.7650034885672616E-3</v>
      </c>
      <c r="V41" s="6"/>
      <c r="X41" s="14">
        <f t="shared" si="7"/>
        <v>-1.3789593204078302E-3</v>
      </c>
    </row>
    <row r="42" spans="1:24" x14ac:dyDescent="0.25">
      <c r="A42" s="1">
        <v>45351.705555555556</v>
      </c>
      <c r="B42" s="2">
        <v>125.27</v>
      </c>
      <c r="C42" s="2">
        <v>281.10000000000002</v>
      </c>
      <c r="D42" s="2">
        <v>10.7</v>
      </c>
      <c r="F42" s="2">
        <f t="shared" si="2"/>
        <v>-8.7830352903940367E-3</v>
      </c>
      <c r="G42" s="2">
        <f t="shared" si="11"/>
        <v>4.1078764065012319E-3</v>
      </c>
      <c r="H42" s="2">
        <f t="shared" si="12"/>
        <v>5.639097744360777E-3</v>
      </c>
      <c r="O42" s="6">
        <f t="shared" si="4"/>
        <v>-9.2322647379080632E-3</v>
      </c>
      <c r="P42" s="6">
        <f t="shared" si="5"/>
        <v>3.0621326843507189E-3</v>
      </c>
      <c r="Q42" s="6">
        <f t="shared" si="6"/>
        <v>3.8732955457242702E-3</v>
      </c>
      <c r="S42" s="3" t="s">
        <v>16</v>
      </c>
      <c r="T42" s="4" cm="1">
        <f t="array" ref="T42">MMULT(TRANSPOSE(T37:T39),T11:T13)+0.1*T8</f>
        <v>0.12058317691587891</v>
      </c>
      <c r="U42" t="s">
        <v>27</v>
      </c>
      <c r="V42" s="6">
        <f>T42-1.65*T43</f>
        <v>-7.4535908766221182E-3</v>
      </c>
      <c r="X42" s="14">
        <f t="shared" si="7"/>
        <v>-1.9386420776142954E-3</v>
      </c>
    </row>
    <row r="43" spans="1:24" x14ac:dyDescent="0.25">
      <c r="A43" s="1">
        <v>45352.705555555556</v>
      </c>
      <c r="B43" s="2">
        <v>125.39</v>
      </c>
      <c r="C43" s="2">
        <v>282.74</v>
      </c>
      <c r="D43" s="2">
        <v>10.87</v>
      </c>
      <c r="F43" s="2">
        <f t="shared" si="2"/>
        <v>9.5793086932238758E-4</v>
      </c>
      <c r="G43" s="2">
        <f t="shared" si="11"/>
        <v>5.8342226965493182E-3</v>
      </c>
      <c r="H43" s="2">
        <f t="shared" si="12"/>
        <v>1.5887850467289688E-2</v>
      </c>
      <c r="O43" s="6">
        <f t="shared" si="4"/>
        <v>5.087014218083611E-4</v>
      </c>
      <c r="P43" s="6">
        <f t="shared" si="5"/>
        <v>4.7884789743988052E-3</v>
      </c>
      <c r="Q43" s="6">
        <f t="shared" si="6"/>
        <v>1.4122048268653181E-2</v>
      </c>
      <c r="S43" s="3" t="s">
        <v>17</v>
      </c>
      <c r="T43" s="4" cm="1">
        <f t="array" ref="T43">SQRT(MMULT(MMULT(TRANSPOSE(T37:T39),_xlfn.ANCHORARRAY(T3)),T37:T39))</f>
        <v>7.7598041086364269E-2</v>
      </c>
      <c r="U43" t="s">
        <v>28</v>
      </c>
      <c r="V43" s="6">
        <f>T42-2.33*T43</f>
        <v>-6.0220258815349842E-2</v>
      </c>
      <c r="X43" s="14">
        <f t="shared" si="7"/>
        <v>5.5368178788605575E-3</v>
      </c>
    </row>
    <row r="44" spans="1:24" x14ac:dyDescent="0.25">
      <c r="A44" s="1">
        <v>45355.705555555556</v>
      </c>
      <c r="B44" s="2">
        <v>124.61</v>
      </c>
      <c r="C44" s="2">
        <v>282.33999999999997</v>
      </c>
      <c r="D44" s="2">
        <v>11.04</v>
      </c>
      <c r="F44" s="2">
        <f t="shared" si="2"/>
        <v>-6.220591753728355E-3</v>
      </c>
      <c r="G44" s="2">
        <f t="shared" si="11"/>
        <v>-1.4147273113108705E-3</v>
      </c>
      <c r="H44" s="2">
        <f t="shared" si="12"/>
        <v>1.5639374425022945E-2</v>
      </c>
      <c r="O44" s="6">
        <f t="shared" si="4"/>
        <v>-6.6698212012423815E-3</v>
      </c>
      <c r="P44" s="6">
        <f t="shared" si="5"/>
        <v>-2.4604710334613835E-3</v>
      </c>
      <c r="Q44" s="6">
        <f t="shared" si="6"/>
        <v>1.3873572226386438E-2</v>
      </c>
      <c r="S44" s="3" t="s">
        <v>18</v>
      </c>
      <c r="T44" s="11">
        <f>(T42-T8)/T43</f>
        <v>0.32968843746204385</v>
      </c>
      <c r="U44" t="s">
        <v>30</v>
      </c>
      <c r="V44" s="6">
        <f>T42-3.09*T43</f>
        <v>-0.11919477004098666</v>
      </c>
      <c r="X44" s="14">
        <f t="shared" si="7"/>
        <v>2.4297610315966332E-4</v>
      </c>
    </row>
    <row r="45" spans="1:24" x14ac:dyDescent="0.25">
      <c r="A45" s="1">
        <v>45356.705555555556</v>
      </c>
      <c r="B45" s="2">
        <v>124.35</v>
      </c>
      <c r="C45" s="2">
        <v>279.86</v>
      </c>
      <c r="D45" s="2">
        <v>11.14</v>
      </c>
      <c r="F45" s="2">
        <f t="shared" si="2"/>
        <v>-2.0865099109220742E-3</v>
      </c>
      <c r="G45" s="2">
        <f t="shared" si="11"/>
        <v>-8.7837359212296073E-3</v>
      </c>
      <c r="H45" s="2">
        <f t="shared" si="12"/>
        <v>9.0579710144929049E-3</v>
      </c>
      <c r="O45" s="6">
        <f t="shared" si="4"/>
        <v>-2.5357393584361006E-3</v>
      </c>
      <c r="P45" s="6">
        <f t="shared" si="5"/>
        <v>-9.8294796433801204E-3</v>
      </c>
      <c r="Q45" s="6">
        <f t="shared" si="6"/>
        <v>7.292168815856398E-3</v>
      </c>
      <c r="X45" s="14">
        <f t="shared" si="7"/>
        <v>-2.0218081452940146E-3</v>
      </c>
    </row>
    <row r="46" spans="1:24" x14ac:dyDescent="0.25">
      <c r="A46" s="1">
        <v>45357.705555555556</v>
      </c>
      <c r="B46" s="2">
        <v>125.09</v>
      </c>
      <c r="C46" s="2">
        <v>280.42</v>
      </c>
      <c r="D46" s="2">
        <v>11.19</v>
      </c>
      <c r="F46" s="2">
        <f t="shared" si="2"/>
        <v>5.9509449135506376E-3</v>
      </c>
      <c r="G46" s="2">
        <f t="shared" si="11"/>
        <v>2.0010005002502051E-3</v>
      </c>
      <c r="H46" s="2">
        <f t="shared" si="12"/>
        <v>4.488330341112956E-3</v>
      </c>
      <c r="O46" s="6">
        <f t="shared" si="4"/>
        <v>5.5017154660366111E-3</v>
      </c>
      <c r="P46" s="6">
        <f t="shared" si="5"/>
        <v>9.5525677809969191E-4</v>
      </c>
      <c r="Q46" s="6">
        <f t="shared" si="6"/>
        <v>2.7225281424764491E-3</v>
      </c>
      <c r="S46" s="15" t="s">
        <v>21</v>
      </c>
      <c r="T46" s="15"/>
      <c r="X46" s="14">
        <f t="shared" si="7"/>
        <v>3.3730458936866536E-3</v>
      </c>
    </row>
    <row r="47" spans="1:24" x14ac:dyDescent="0.25">
      <c r="A47" s="1">
        <v>45358.705555555556</v>
      </c>
      <c r="B47" s="2">
        <v>124.6</v>
      </c>
      <c r="C47" s="2">
        <v>282.62</v>
      </c>
      <c r="D47" s="2">
        <v>11.23</v>
      </c>
      <c r="F47" s="2">
        <f t="shared" si="2"/>
        <v>-3.9171796306659568E-3</v>
      </c>
      <c r="G47" s="2">
        <f t="shared" si="11"/>
        <v>7.8453747949502883E-3</v>
      </c>
      <c r="H47" s="2">
        <f t="shared" si="12"/>
        <v>3.5746201966042612E-3</v>
      </c>
      <c r="O47" s="6">
        <f t="shared" si="4"/>
        <v>-4.3664090781799832E-3</v>
      </c>
      <c r="P47" s="6">
        <f t="shared" si="5"/>
        <v>6.7996310727997753E-3</v>
      </c>
      <c r="Q47" s="6">
        <f t="shared" si="6"/>
        <v>1.8088179979677543E-3</v>
      </c>
      <c r="S47" s="8" t="s">
        <v>1</v>
      </c>
      <c r="T47" s="12">
        <v>0.42489685103275365</v>
      </c>
      <c r="U47" s="13">
        <f>T47*0.9</f>
        <v>0.38240716592947832</v>
      </c>
      <c r="V47" t="s">
        <v>27</v>
      </c>
      <c r="W47" s="6">
        <f>T58-T59*1.65</f>
        <v>-8.1353759883815158E-3</v>
      </c>
      <c r="X47" s="14">
        <f t="shared" si="7"/>
        <v>6.8270402453585242E-4</v>
      </c>
    </row>
    <row r="48" spans="1:24" x14ac:dyDescent="0.25">
      <c r="A48" s="1">
        <v>45359.705555555556</v>
      </c>
      <c r="B48" s="2">
        <v>123.38</v>
      </c>
      <c r="C48" s="2">
        <v>283.75</v>
      </c>
      <c r="D48" s="2">
        <v>11.43</v>
      </c>
      <c r="F48" s="2">
        <f t="shared" si="2"/>
        <v>-9.7913322632423583E-3</v>
      </c>
      <c r="G48" s="2">
        <f t="shared" si="11"/>
        <v>3.9983016063973587E-3</v>
      </c>
      <c r="H48" s="2">
        <f t="shared" si="12"/>
        <v>1.780943900267129E-2</v>
      </c>
      <c r="O48" s="6">
        <f t="shared" si="4"/>
        <v>-1.0240561710756385E-2</v>
      </c>
      <c r="P48" s="6">
        <f t="shared" si="5"/>
        <v>2.9525578842468456E-3</v>
      </c>
      <c r="Q48" s="6">
        <f t="shared" si="6"/>
        <v>1.6043636804034783E-2</v>
      </c>
      <c r="S48" s="8" t="s">
        <v>2</v>
      </c>
      <c r="T48" s="12">
        <v>0.30009550411500435</v>
      </c>
      <c r="U48" s="13">
        <f t="shared" ref="U48:U49" si="13">T48*0.9</f>
        <v>0.27008595370350391</v>
      </c>
      <c r="V48" t="s">
        <v>28</v>
      </c>
      <c r="W48" s="6">
        <f>T58-2.33*T59</f>
        <v>-6.1211567233629693E-2</v>
      </c>
      <c r="X48" s="14">
        <f t="shared" si="7"/>
        <v>9.4698969533716683E-4</v>
      </c>
    </row>
    <row r="49" spans="1:24" x14ac:dyDescent="0.25">
      <c r="A49" s="1">
        <v>45362.705555555556</v>
      </c>
      <c r="B49" s="2">
        <v>122.45</v>
      </c>
      <c r="C49" s="2">
        <v>283.25</v>
      </c>
      <c r="D49" s="2">
        <v>11.44</v>
      </c>
      <c r="F49" s="2">
        <f t="shared" si="2"/>
        <v>-7.5376884422110324E-3</v>
      </c>
      <c r="G49" s="2">
        <f t="shared" si="11"/>
        <v>-1.7621145374449032E-3</v>
      </c>
      <c r="H49" s="2">
        <f t="shared" si="12"/>
        <v>8.7489063867018935E-4</v>
      </c>
      <c r="O49" s="6">
        <f t="shared" si="4"/>
        <v>-7.9869178897250589E-3</v>
      </c>
      <c r="P49" s="6">
        <f t="shared" si="5"/>
        <v>-2.8078582595954162E-3</v>
      </c>
      <c r="Q49" s="6">
        <f t="shared" si="6"/>
        <v>-8.9091155996631755E-4</v>
      </c>
      <c r="S49" s="8" t="s">
        <v>3</v>
      </c>
      <c r="T49" s="12">
        <v>0.27500764485224194</v>
      </c>
      <c r="U49" s="13">
        <f t="shared" si="13"/>
        <v>0.24750688036701776</v>
      </c>
      <c r="V49" t="s">
        <v>30</v>
      </c>
      <c r="W49" s="6">
        <f>T52-3.09*T53</f>
        <v>-0.14058142016164821</v>
      </c>
      <c r="X49" s="14">
        <f t="shared" si="7"/>
        <v>-4.4812493905760833E-3</v>
      </c>
    </row>
    <row r="50" spans="1:24" x14ac:dyDescent="0.25">
      <c r="A50" s="1">
        <v>45363.705555555556</v>
      </c>
      <c r="B50" s="2">
        <v>123.89</v>
      </c>
      <c r="C50" s="2">
        <v>286.24</v>
      </c>
      <c r="D50" s="2">
        <v>11.3</v>
      </c>
      <c r="F50" s="2">
        <f t="shared" si="2"/>
        <v>1.1759902000816558E-2</v>
      </c>
      <c r="G50" s="2">
        <f t="shared" si="11"/>
        <v>1.0556045895851796E-2</v>
      </c>
      <c r="H50" s="2">
        <f t="shared" si="12"/>
        <v>-1.2237762237762184E-2</v>
      </c>
      <c r="O50" s="6">
        <f t="shared" si="4"/>
        <v>1.1310672553302531E-2</v>
      </c>
      <c r="P50" s="6">
        <f t="shared" si="5"/>
        <v>9.5103021737012825E-3</v>
      </c>
      <c r="Q50" s="6">
        <f t="shared" si="6"/>
        <v>-1.4003564436398691E-2</v>
      </c>
      <c r="S50" t="s">
        <v>15</v>
      </c>
      <c r="T50">
        <f>SUM(T47:T49)</f>
        <v>0.99999999999999989</v>
      </c>
      <c r="X50" s="14">
        <f t="shared" si="7"/>
        <v>3.8087808008731325E-3</v>
      </c>
    </row>
    <row r="51" spans="1:24" x14ac:dyDescent="0.25">
      <c r="A51" s="1">
        <v>45364.705555555556</v>
      </c>
      <c r="B51" s="2">
        <v>124.24</v>
      </c>
      <c r="C51" s="2">
        <v>285.57</v>
      </c>
      <c r="D51" s="2">
        <v>11.39</v>
      </c>
      <c r="F51" s="2">
        <f t="shared" si="2"/>
        <v>2.8250867705221783E-3</v>
      </c>
      <c r="G51" s="2">
        <f t="shared" si="11"/>
        <v>-2.3406931246506835E-3</v>
      </c>
      <c r="H51" s="2">
        <f t="shared" si="12"/>
        <v>7.964601769911539E-3</v>
      </c>
      <c r="O51" s="6">
        <f t="shared" si="4"/>
        <v>2.3758573230081518E-3</v>
      </c>
      <c r="P51" s="6">
        <f t="shared" si="5"/>
        <v>-3.3864368468011965E-3</v>
      </c>
      <c r="Q51" s="6">
        <f t="shared" si="6"/>
        <v>6.1987995712750321E-3</v>
      </c>
      <c r="X51" s="14">
        <f t="shared" si="7"/>
        <v>1.6979570933622744E-3</v>
      </c>
    </row>
    <row r="52" spans="1:24" x14ac:dyDescent="0.25">
      <c r="A52" s="1">
        <v>45365.705555555556</v>
      </c>
      <c r="B52" s="2">
        <v>123.95</v>
      </c>
      <c r="C52" s="2">
        <v>285.75</v>
      </c>
      <c r="D52" s="2">
        <v>11.37</v>
      </c>
      <c r="F52" s="2">
        <f t="shared" si="2"/>
        <v>-2.3341918866709443E-3</v>
      </c>
      <c r="G52" s="2">
        <f t="shared" si="11"/>
        <v>6.3031831074700229E-4</v>
      </c>
      <c r="H52" s="2">
        <f t="shared" si="12"/>
        <v>-1.7559262510975504E-3</v>
      </c>
      <c r="O52" s="6">
        <f t="shared" si="4"/>
        <v>-2.7834213341849708E-3</v>
      </c>
      <c r="P52" s="6">
        <f t="shared" si="5"/>
        <v>-4.1542541140351095E-4</v>
      </c>
      <c r="Q52" s="6">
        <f t="shared" si="6"/>
        <v>-3.5217284497340573E-3</v>
      </c>
      <c r="S52" s="3" t="s">
        <v>16</v>
      </c>
      <c r="T52" s="4" cm="1">
        <f t="array" ref="T52">MMULT(TRANSPOSE(T47:T49),T11:T13)</f>
        <v>0.12350271222640528</v>
      </c>
      <c r="X52" s="14">
        <f t="shared" si="7"/>
        <v>-2.2758365050203999E-3</v>
      </c>
    </row>
    <row r="53" spans="1:24" x14ac:dyDescent="0.25">
      <c r="A53" s="1">
        <v>45366.705555555556</v>
      </c>
      <c r="B53" s="2">
        <v>123.04</v>
      </c>
      <c r="C53" s="2">
        <v>284.39999999999998</v>
      </c>
      <c r="D53" s="2">
        <v>11.35</v>
      </c>
      <c r="F53" s="2">
        <f t="shared" si="2"/>
        <v>-7.3416700282371572E-3</v>
      </c>
      <c r="G53" s="2">
        <f t="shared" si="11"/>
        <v>-4.7244094488190225E-3</v>
      </c>
      <c r="H53" s="2">
        <f t="shared" si="12"/>
        <v>-1.7590149516270026E-3</v>
      </c>
      <c r="O53" s="6">
        <f t="shared" si="4"/>
        <v>-7.7908994757511837E-3</v>
      </c>
      <c r="P53" s="6">
        <f t="shared" si="5"/>
        <v>-5.7701531709695355E-3</v>
      </c>
      <c r="Q53" s="6">
        <f t="shared" si="6"/>
        <v>-3.5248171502635095E-3</v>
      </c>
      <c r="S53" s="3" t="s">
        <v>17</v>
      </c>
      <c r="T53" s="4">
        <f>_xlfn.STDEV.S(X3:X498)*SQRT(252)</f>
        <v>8.5464120513933178E-2</v>
      </c>
      <c r="X53" s="14">
        <f t="shared" si="7"/>
        <v>-6.0112773416510614E-3</v>
      </c>
    </row>
    <row r="54" spans="1:24" x14ac:dyDescent="0.25">
      <c r="A54" s="1">
        <v>45369.705555555556</v>
      </c>
      <c r="B54" s="2">
        <v>123.23</v>
      </c>
      <c r="C54" s="2">
        <v>288</v>
      </c>
      <c r="D54" s="2">
        <v>11.42</v>
      </c>
      <c r="F54" s="2">
        <f t="shared" si="2"/>
        <v>1.5442132639791328E-3</v>
      </c>
      <c r="G54" s="2">
        <f t="shared" si="11"/>
        <v>1.2658227848101333E-2</v>
      </c>
      <c r="H54" s="2">
        <f t="shared" si="12"/>
        <v>6.1674008810572722E-3</v>
      </c>
      <c r="O54" s="6">
        <f t="shared" si="4"/>
        <v>1.0949838164651064E-3</v>
      </c>
      <c r="P54" s="6">
        <f t="shared" si="5"/>
        <v>1.161248412595082E-2</v>
      </c>
      <c r="Q54" s="6">
        <f t="shared" si="6"/>
        <v>4.4015986824207654E-3</v>
      </c>
      <c r="S54" s="3" t="s">
        <v>24</v>
      </c>
      <c r="T54" s="4">
        <f>T47*((_xlfn.COVARIANCE.S(O3:O498,$X$3:$X$498)/_xlfn.VAR.S($X$3:$X$498))*T53)</f>
        <v>2.9304659221040065E-2</v>
      </c>
      <c r="X54" s="14">
        <f t="shared" si="7"/>
        <v>5.1605827405898138E-3</v>
      </c>
    </row>
    <row r="55" spans="1:24" x14ac:dyDescent="0.25">
      <c r="A55" s="1">
        <v>45370.705555555556</v>
      </c>
      <c r="B55" s="2">
        <v>123.78</v>
      </c>
      <c r="C55" s="2">
        <v>289.52</v>
      </c>
      <c r="D55" s="2">
        <v>11.43</v>
      </c>
      <c r="F55" s="2">
        <f t="shared" si="2"/>
        <v>4.4631988963725888E-3</v>
      </c>
      <c r="G55" s="2">
        <f t="shared" si="11"/>
        <v>5.2777777777777146E-3</v>
      </c>
      <c r="H55" s="2">
        <f t="shared" si="12"/>
        <v>8.756567425569628E-4</v>
      </c>
      <c r="O55" s="6">
        <f t="shared" si="4"/>
        <v>4.0139694488585623E-3</v>
      </c>
      <c r="P55" s="6">
        <f t="shared" si="5"/>
        <v>4.2320340556272016E-3</v>
      </c>
      <c r="Q55" s="6">
        <f t="shared" si="6"/>
        <v>-8.901454560795441E-4</v>
      </c>
      <c r="S55" s="3" t="s">
        <v>25</v>
      </c>
      <c r="T55" s="4">
        <f>T48*((_xlfn.COVARIANCE.S(P3:P498,$X$3:$X$498)/_xlfn.VAR.S($X$3:$X$498))*T53)</f>
        <v>2.9304659308129959E-2</v>
      </c>
      <c r="X55" s="14">
        <f t="shared" si="7"/>
        <v>2.7307405668646327E-3</v>
      </c>
    </row>
    <row r="56" spans="1:24" x14ac:dyDescent="0.25">
      <c r="A56" s="1">
        <v>45371.705555555556</v>
      </c>
      <c r="B56" s="2">
        <v>125.31</v>
      </c>
      <c r="C56" s="2">
        <v>288.75</v>
      </c>
      <c r="D56" s="2">
        <v>11.43</v>
      </c>
      <c r="F56" s="2">
        <f t="shared" si="2"/>
        <v>1.2360639844886112E-2</v>
      </c>
      <c r="G56" s="2">
        <f t="shared" si="11"/>
        <v>-2.6595744680850686E-3</v>
      </c>
      <c r="H56" s="2">
        <f t="shared" si="12"/>
        <v>0</v>
      </c>
      <c r="O56" s="6">
        <f t="shared" si="4"/>
        <v>1.1911410397372086E-2</v>
      </c>
      <c r="P56" s="6">
        <f t="shared" si="5"/>
        <v>-3.7053181902355816E-3</v>
      </c>
      <c r="Q56" s="6">
        <f t="shared" si="6"/>
        <v>-1.7658021986365069E-3</v>
      </c>
      <c r="S56" s="3" t="s">
        <v>26</v>
      </c>
      <c r="T56" s="4">
        <f>T48*((_xlfn.COVARIANCE.S(Q3:Q498,$X$3:$X$498)/_xlfn.VAR.S($X$3:$X$498))*T53)</f>
        <v>2.9304659308129925E-2</v>
      </c>
      <c r="X56" s="14">
        <f t="shared" si="7"/>
        <v>3.463562335075021E-3</v>
      </c>
    </row>
    <row r="57" spans="1:24" x14ac:dyDescent="0.25">
      <c r="A57" s="1">
        <v>45372.705555555556</v>
      </c>
      <c r="B57" s="2">
        <v>124.43</v>
      </c>
      <c r="C57" s="2">
        <v>289.3</v>
      </c>
      <c r="D57" s="2">
        <v>11.43</v>
      </c>
      <c r="F57" s="2">
        <f t="shared" si="2"/>
        <v>-7.0225839917005262E-3</v>
      </c>
      <c r="G57" s="2">
        <f t="shared" si="11"/>
        <v>1.9047619047618536E-3</v>
      </c>
      <c r="H57" s="2">
        <f t="shared" si="12"/>
        <v>0</v>
      </c>
      <c r="O57" s="6">
        <f t="shared" si="4"/>
        <v>-7.4718134392145526E-3</v>
      </c>
      <c r="P57" s="6">
        <f t="shared" si="5"/>
        <v>8.5901818261134035E-4</v>
      </c>
      <c r="Q57" s="6">
        <f t="shared" si="6"/>
        <v>-1.7658021986365069E-3</v>
      </c>
      <c r="X57" s="14">
        <f t="shared" si="7"/>
        <v>-3.4025716111937038E-3</v>
      </c>
    </row>
    <row r="58" spans="1:24" x14ac:dyDescent="0.25">
      <c r="A58" s="1">
        <v>45373.705555555556</v>
      </c>
      <c r="B58" s="2">
        <v>123.35</v>
      </c>
      <c r="C58" s="2">
        <v>290.62</v>
      </c>
      <c r="D58" s="2">
        <v>11.38</v>
      </c>
      <c r="F58" s="2">
        <f t="shared" si="2"/>
        <v>-8.6795788796915074E-3</v>
      </c>
      <c r="G58" s="2">
        <f t="shared" si="11"/>
        <v>4.5627376425856347E-3</v>
      </c>
      <c r="H58" s="2">
        <f t="shared" si="12"/>
        <v>-4.3744531933507247E-3</v>
      </c>
      <c r="O58" s="6">
        <f t="shared" si="4"/>
        <v>-9.1288083272055339E-3</v>
      </c>
      <c r="P58" s="6">
        <f t="shared" si="5"/>
        <v>3.5169939204351217E-3</v>
      </c>
      <c r="Q58" s="6">
        <f t="shared" si="6"/>
        <v>-6.1402553919872316E-3</v>
      </c>
      <c r="S58" s="3" t="s">
        <v>16</v>
      </c>
      <c r="T58" s="4" cm="1">
        <f t="array" ref="T58">MMULT(TRANSPOSE(U47:U49),T11:T13)+0.1*T8</f>
        <v>0.12065244100376477</v>
      </c>
      <c r="X58" s="14">
        <f t="shared" si="7"/>
        <v>-4.5119850225305153E-3</v>
      </c>
    </row>
    <row r="59" spans="1:24" x14ac:dyDescent="0.25">
      <c r="A59" s="1">
        <v>45376.705555555556</v>
      </c>
      <c r="B59" s="2">
        <v>123.23</v>
      </c>
      <c r="C59" s="2">
        <v>288.33</v>
      </c>
      <c r="D59" s="2">
        <v>11.37</v>
      </c>
      <c r="F59" s="2">
        <f t="shared" si="2"/>
        <v>-9.7284150790422075E-4</v>
      </c>
      <c r="G59" s="2">
        <f t="shared" si="11"/>
        <v>-7.8797054572982139E-3</v>
      </c>
      <c r="H59" s="2">
        <f t="shared" si="12"/>
        <v>-8.7873462214427267E-4</v>
      </c>
      <c r="O59" s="6">
        <f t="shared" si="4"/>
        <v>-1.4220709554182472E-3</v>
      </c>
      <c r="P59" s="6">
        <f t="shared" si="5"/>
        <v>-8.9254491794487269E-3</v>
      </c>
      <c r="Q59" s="6">
        <f t="shared" si="6"/>
        <v>-2.6445368207807796E-3</v>
      </c>
      <c r="S59" s="3" t="s">
        <v>17</v>
      </c>
      <c r="T59" s="4" cm="1">
        <f t="array" ref="T59">SQRT(MMULT(MMULT(TRANSPOSE(U47:U49),_xlfn.ANCHORARRAY(T3)),U47:U49))</f>
        <v>7.8053222419482593E-2</v>
      </c>
      <c r="X59" s="14">
        <f t="shared" si="7"/>
        <v>-4.0099884846698276E-3</v>
      </c>
    </row>
    <row r="60" spans="1:24" x14ac:dyDescent="0.25">
      <c r="A60" s="1">
        <v>45377.705555555556</v>
      </c>
      <c r="B60" s="2">
        <v>123.17</v>
      </c>
      <c r="C60" s="2">
        <v>288</v>
      </c>
      <c r="D60" s="2">
        <v>11.42</v>
      </c>
      <c r="F60" s="2">
        <f t="shared" si="2"/>
        <v>-4.8689442505889247E-4</v>
      </c>
      <c r="G60" s="2">
        <f t="shared" si="11"/>
        <v>-1.1445219019872166E-3</v>
      </c>
      <c r="H60" s="2">
        <f t="shared" si="12"/>
        <v>4.3975373790678951E-3</v>
      </c>
      <c r="O60" s="6">
        <f t="shared" si="4"/>
        <v>-9.3612387257291894E-4</v>
      </c>
      <c r="P60" s="6">
        <f t="shared" si="5"/>
        <v>-2.1902656241377296E-3</v>
      </c>
      <c r="Q60" s="6">
        <f t="shared" si="6"/>
        <v>2.6317351804313882E-3</v>
      </c>
      <c r="S60" s="3" t="s">
        <v>18</v>
      </c>
      <c r="T60" s="13">
        <f>(T58-T8)/T59</f>
        <v>0.32865319596800846</v>
      </c>
      <c r="X60" s="14">
        <f t="shared" si="7"/>
        <v>-3.3129765840897039E-4</v>
      </c>
    </row>
    <row r="61" spans="1:24" x14ac:dyDescent="0.25">
      <c r="A61" s="1">
        <v>45378.705555555556</v>
      </c>
      <c r="B61" s="2">
        <v>123.95</v>
      </c>
      <c r="C61" s="2">
        <v>290.66000000000003</v>
      </c>
      <c r="D61" s="2">
        <v>11.51</v>
      </c>
      <c r="F61" s="2">
        <f t="shared" si="2"/>
        <v>6.3327108873914018E-3</v>
      </c>
      <c r="G61" s="2">
        <f t="shared" si="11"/>
        <v>9.2361111111112226E-3</v>
      </c>
      <c r="H61" s="2">
        <f t="shared" si="12"/>
        <v>7.8809106830122211E-3</v>
      </c>
      <c r="O61" s="6">
        <f t="shared" si="4"/>
        <v>5.8834814398773753E-3</v>
      </c>
      <c r="P61" s="6">
        <f t="shared" si="5"/>
        <v>8.1903673889607096E-3</v>
      </c>
      <c r="Q61" s="6">
        <f t="shared" si="6"/>
        <v>6.1151084843757142E-3</v>
      </c>
      <c r="X61" s="14">
        <f t="shared" si="7"/>
        <v>6.6394667496949313E-3</v>
      </c>
    </row>
    <row r="62" spans="1:24" x14ac:dyDescent="0.25">
      <c r="A62" s="1">
        <v>45379.705555555556</v>
      </c>
      <c r="B62" s="2">
        <v>124.37</v>
      </c>
      <c r="C62" s="2">
        <v>292.60000000000002</v>
      </c>
      <c r="D62" s="2">
        <v>11.72</v>
      </c>
      <c r="F62" s="2">
        <f t="shared" si="2"/>
        <v>3.3884630899556623E-3</v>
      </c>
      <c r="G62" s="2">
        <f t="shared" si="11"/>
        <v>6.6744650106653758E-3</v>
      </c>
      <c r="H62" s="2">
        <f t="shared" si="12"/>
        <v>1.8245004344048743E-2</v>
      </c>
      <c r="O62" s="6">
        <f t="shared" si="4"/>
        <v>2.9392336424416358E-3</v>
      </c>
      <c r="P62" s="6">
        <f t="shared" si="5"/>
        <v>5.6287212885148628E-3</v>
      </c>
      <c r="Q62" s="6">
        <f t="shared" si="6"/>
        <v>1.6479202145412236E-2</v>
      </c>
      <c r="X62" s="14">
        <f t="shared" si="7"/>
        <v>7.4699316427765377E-3</v>
      </c>
    </row>
    <row r="63" spans="1:24" x14ac:dyDescent="0.25">
      <c r="A63" s="1">
        <v>45383.705555555556</v>
      </c>
      <c r="B63" s="2">
        <v>123.32</v>
      </c>
      <c r="C63" s="2">
        <v>294.7</v>
      </c>
      <c r="D63" s="2">
        <v>11.95</v>
      </c>
      <c r="F63" s="2">
        <f t="shared" si="2"/>
        <v>-8.4425504542897656E-3</v>
      </c>
      <c r="G63" s="2">
        <f t="shared" si="11"/>
        <v>7.1770334928229484E-3</v>
      </c>
      <c r="H63" s="2">
        <f t="shared" si="12"/>
        <v>1.9624573378839383E-2</v>
      </c>
      <c r="O63" s="6">
        <f t="shared" si="4"/>
        <v>-8.8917799018037921E-3</v>
      </c>
      <c r="P63" s="6">
        <f t="shared" si="5"/>
        <v>6.1312897706724354E-3</v>
      </c>
      <c r="Q63" s="6">
        <f t="shared" si="6"/>
        <v>1.7858771180202876E-2</v>
      </c>
      <c r="X63" s="14">
        <f t="shared" si="7"/>
        <v>2.9731818164750413E-3</v>
      </c>
    </row>
    <row r="64" spans="1:24" x14ac:dyDescent="0.25">
      <c r="A64" s="1">
        <v>45384.705555555556</v>
      </c>
      <c r="B64" s="2">
        <v>123.82</v>
      </c>
      <c r="C64" s="2">
        <v>292.7</v>
      </c>
      <c r="D64" s="2">
        <v>12.14</v>
      </c>
      <c r="F64" s="2">
        <f t="shared" si="2"/>
        <v>4.0544923775542863E-3</v>
      </c>
      <c r="G64" s="2">
        <f t="shared" si="11"/>
        <v>-6.7865626060400475E-3</v>
      </c>
      <c r="H64" s="2">
        <f t="shared" si="12"/>
        <v>1.58995815899583E-2</v>
      </c>
      <c r="O64" s="6">
        <f t="shared" si="4"/>
        <v>3.6052629300402598E-3</v>
      </c>
      <c r="P64" s="6">
        <f t="shared" si="5"/>
        <v>-7.8323063281905605E-3</v>
      </c>
      <c r="Q64" s="6">
        <f t="shared" si="6"/>
        <v>1.4133779391321794E-2</v>
      </c>
      <c r="X64" s="14">
        <f t="shared" si="7"/>
        <v>3.0683223334463001E-3</v>
      </c>
    </row>
    <row r="65" spans="1:24" x14ac:dyDescent="0.25">
      <c r="A65" s="1">
        <v>45385.705555555556</v>
      </c>
      <c r="B65" s="2">
        <v>123.62</v>
      </c>
      <c r="C65" s="2">
        <v>291.95</v>
      </c>
      <c r="D65" s="2">
        <v>12.16</v>
      </c>
      <c r="F65" s="2">
        <f t="shared" si="2"/>
        <v>-1.6152479405587838E-3</v>
      </c>
      <c r="G65" s="2">
        <f t="shared" si="11"/>
        <v>-2.5623505295524485E-3</v>
      </c>
      <c r="H65" s="2">
        <f t="shared" si="12"/>
        <v>1.6474464579900872E-3</v>
      </c>
      <c r="O65" s="6">
        <f t="shared" si="4"/>
        <v>-2.0644773880728103E-3</v>
      </c>
      <c r="P65" s="6">
        <f t="shared" si="5"/>
        <v>-3.6080942517029615E-3</v>
      </c>
      <c r="Q65" s="6">
        <f t="shared" si="6"/>
        <v>-1.1835574064641974E-4</v>
      </c>
      <c r="X65" s="14">
        <f t="shared" si="7"/>
        <v>-1.9925115380696255E-3</v>
      </c>
    </row>
    <row r="66" spans="1:24" x14ac:dyDescent="0.25">
      <c r="A66" s="1">
        <v>45386.705555555556</v>
      </c>
      <c r="B66" s="2">
        <v>123.72</v>
      </c>
      <c r="C66" s="2">
        <v>289.01</v>
      </c>
      <c r="D66" s="2">
        <v>12.16</v>
      </c>
      <c r="F66" s="2">
        <f t="shared" si="2"/>
        <v>8.0893059375508614E-4</v>
      </c>
      <c r="G66" s="2">
        <f t="shared" si="11"/>
        <v>-1.0070217502997081E-2</v>
      </c>
      <c r="H66" s="2">
        <f t="shared" si="12"/>
        <v>0</v>
      </c>
      <c r="O66" s="6">
        <f t="shared" si="4"/>
        <v>3.5970114624105971E-4</v>
      </c>
      <c r="P66" s="6">
        <f t="shared" si="5"/>
        <v>-1.1115961225147594E-2</v>
      </c>
      <c r="Q66" s="6">
        <f t="shared" si="6"/>
        <v>-1.7658021986365069E-3</v>
      </c>
      <c r="X66" s="14">
        <f t="shared" si="7"/>
        <v>-3.6686232071547467E-3</v>
      </c>
    </row>
    <row r="67" spans="1:24" x14ac:dyDescent="0.25">
      <c r="A67" s="1">
        <v>45387.705555555556</v>
      </c>
      <c r="B67" s="2">
        <v>123.12</v>
      </c>
      <c r="C67" s="2">
        <v>292.81</v>
      </c>
      <c r="D67" s="2">
        <v>12.43</v>
      </c>
      <c r="F67" s="2">
        <f t="shared" si="2"/>
        <v>-4.8496605237633439E-3</v>
      </c>
      <c r="G67" s="2">
        <f t="shared" si="11"/>
        <v>1.3148333967682779E-2</v>
      </c>
      <c r="H67" s="2">
        <f t="shared" si="12"/>
        <v>2.2203947368421018E-2</v>
      </c>
      <c r="O67" s="6">
        <f t="shared" si="4"/>
        <v>-5.2988899712773704E-3</v>
      </c>
      <c r="P67" s="6">
        <f t="shared" si="5"/>
        <v>1.2102590245532266E-2</v>
      </c>
      <c r="Q67" s="6">
        <f t="shared" si="6"/>
        <v>2.0438145169784511E-2</v>
      </c>
      <c r="X67" s="14">
        <f t="shared" si="7"/>
        <v>7.0010974263562085E-3</v>
      </c>
    </row>
    <row r="68" spans="1:24" x14ac:dyDescent="0.25">
      <c r="A68" s="1">
        <v>45390.705555555556</v>
      </c>
      <c r="B68" s="2">
        <v>125.06</v>
      </c>
      <c r="C68" s="2">
        <v>291</v>
      </c>
      <c r="D68" s="2">
        <v>12.4</v>
      </c>
      <c r="F68" s="2">
        <f t="shared" ref="F68:F131" si="14">(B68/B67)-1</f>
        <v>1.5756985055230599E-2</v>
      </c>
      <c r="G68" s="2">
        <f t="shared" si="11"/>
        <v>-6.1814828728526949E-3</v>
      </c>
      <c r="H68" s="2">
        <f t="shared" si="12"/>
        <v>-2.4135156878519748E-3</v>
      </c>
      <c r="O68" s="6">
        <f t="shared" ref="O68:O131" si="15">F68-$K$3</f>
        <v>1.5307755607716573E-2</v>
      </c>
      <c r="P68" s="6">
        <f t="shared" ref="P68:P131" si="16">G68-$L$3</f>
        <v>-7.227226595003208E-3</v>
      </c>
      <c r="Q68" s="6">
        <f t="shared" ref="Q68:Q131" si="17">H68-$M$3</f>
        <v>-4.1793178864884817E-3</v>
      </c>
      <c r="X68" s="14">
        <f t="shared" ref="X68:X131" si="18">$T$47*O68+$T$48*P68+$T$49*Q68</f>
        <v>3.1860145766648479E-3</v>
      </c>
    </row>
    <row r="69" spans="1:24" x14ac:dyDescent="0.25">
      <c r="A69" s="1">
        <v>45391.705555555556</v>
      </c>
      <c r="B69" s="2">
        <v>126.09</v>
      </c>
      <c r="C69" s="2">
        <v>290.2</v>
      </c>
      <c r="D69" s="2">
        <v>12.41</v>
      </c>
      <c r="F69" s="2">
        <f t="shared" si="14"/>
        <v>8.2360466975852642E-3</v>
      </c>
      <c r="G69" s="2">
        <f t="shared" si="11"/>
        <v>-2.7491408934707806E-3</v>
      </c>
      <c r="H69" s="2">
        <f t="shared" si="12"/>
        <v>8.0645161290315848E-4</v>
      </c>
      <c r="O69" s="6">
        <f t="shared" si="15"/>
        <v>7.7868172500712377E-3</v>
      </c>
      <c r="P69" s="6">
        <f t="shared" si="16"/>
        <v>-3.7948846156212936E-3</v>
      </c>
      <c r="Q69" s="6">
        <f t="shared" si="17"/>
        <v>-9.5935058573334842E-4</v>
      </c>
      <c r="X69" s="14">
        <f t="shared" si="18"/>
        <v>1.9059375721695016E-3</v>
      </c>
    </row>
    <row r="70" spans="1:24" x14ac:dyDescent="0.25">
      <c r="A70" s="1">
        <v>45392.705555555556</v>
      </c>
      <c r="B70" s="2">
        <v>124.37</v>
      </c>
      <c r="C70" s="2">
        <v>291</v>
      </c>
      <c r="D70" s="2">
        <v>12.44</v>
      </c>
      <c r="F70" s="2">
        <f t="shared" si="14"/>
        <v>-1.3641050043619596E-2</v>
      </c>
      <c r="G70" s="2">
        <f t="shared" si="11"/>
        <v>2.7567195037905279E-3</v>
      </c>
      <c r="H70" s="2">
        <f t="shared" si="12"/>
        <v>2.4174053182917099E-3</v>
      </c>
      <c r="O70" s="6">
        <f t="shared" si="15"/>
        <v>-1.4090279491133622E-2</v>
      </c>
      <c r="P70" s="6">
        <f t="shared" si="16"/>
        <v>1.7109757816400146E-3</v>
      </c>
      <c r="Q70" s="6">
        <f t="shared" si="17"/>
        <v>6.5160311965520301E-4</v>
      </c>
      <c r="X70" s="14">
        <f t="shared" si="18"/>
        <v>-5.2942634069194925E-3</v>
      </c>
    </row>
    <row r="71" spans="1:24" x14ac:dyDescent="0.25">
      <c r="A71" s="1">
        <v>45393.705555555556</v>
      </c>
      <c r="B71" s="2">
        <v>123.7</v>
      </c>
      <c r="C71" s="2">
        <v>294.10000000000002</v>
      </c>
      <c r="D71" s="2">
        <v>12.71</v>
      </c>
      <c r="F71" s="2">
        <f t="shared" si="14"/>
        <v>-5.387151242260968E-3</v>
      </c>
      <c r="G71" s="2">
        <f t="shared" si="11"/>
        <v>1.0652920962199497E-2</v>
      </c>
      <c r="H71" s="2">
        <f t="shared" si="12"/>
        <v>2.1704180064308742E-2</v>
      </c>
      <c r="O71" s="6">
        <f t="shared" si="15"/>
        <v>-5.8363806897749945E-3</v>
      </c>
      <c r="P71" s="6">
        <f t="shared" si="16"/>
        <v>9.6071772400489839E-3</v>
      </c>
      <c r="Q71" s="6">
        <f t="shared" si="17"/>
        <v>1.9938377865672235E-2</v>
      </c>
      <c r="X71" s="14">
        <f t="shared" si="18"/>
        <v>5.8864172594735222E-3</v>
      </c>
    </row>
    <row r="72" spans="1:24" x14ac:dyDescent="0.25">
      <c r="A72" s="1">
        <v>45394.705555555556</v>
      </c>
      <c r="B72" s="2">
        <v>122.31</v>
      </c>
      <c r="C72" s="2">
        <v>292.10000000000002</v>
      </c>
      <c r="D72" s="2">
        <v>12.64</v>
      </c>
      <c r="F72" s="2">
        <f t="shared" si="14"/>
        <v>-1.1236863379143092E-2</v>
      </c>
      <c r="G72" s="2">
        <f t="shared" si="11"/>
        <v>-6.8004080244814524E-3</v>
      </c>
      <c r="H72" s="2">
        <f t="shared" si="12"/>
        <v>-5.5074744295829925E-3</v>
      </c>
      <c r="O72" s="6">
        <f t="shared" si="15"/>
        <v>-1.1686092826657118E-2</v>
      </c>
      <c r="P72" s="6">
        <f t="shared" si="16"/>
        <v>-7.8461517466319654E-3</v>
      </c>
      <c r="Q72" s="6">
        <f t="shared" si="17"/>
        <v>-7.2732766282194994E-3</v>
      </c>
      <c r="X72" s="14">
        <f t="shared" si="18"/>
        <v>-9.3201855825769016E-3</v>
      </c>
    </row>
    <row r="73" spans="1:24" x14ac:dyDescent="0.25">
      <c r="A73" s="1">
        <v>45397.705555555556</v>
      </c>
      <c r="B73" s="2">
        <v>121.7</v>
      </c>
      <c r="C73" s="2">
        <v>291.55</v>
      </c>
      <c r="D73" s="2">
        <v>13.04</v>
      </c>
      <c r="F73" s="2">
        <f t="shared" si="14"/>
        <v>-4.9873272831330029E-3</v>
      </c>
      <c r="G73" s="2">
        <f t="shared" si="11"/>
        <v>-1.882916809311963E-3</v>
      </c>
      <c r="H73" s="2">
        <f t="shared" si="12"/>
        <v>3.1645569620253111E-2</v>
      </c>
      <c r="O73" s="6">
        <f t="shared" si="15"/>
        <v>-5.4365567306470294E-3</v>
      </c>
      <c r="P73" s="6">
        <f t="shared" si="16"/>
        <v>-2.9286605314624761E-3</v>
      </c>
      <c r="Q73" s="6">
        <f t="shared" si="17"/>
        <v>2.9879767421616604E-2</v>
      </c>
      <c r="X73" s="14">
        <f t="shared" si="18"/>
        <v>5.0283107734677345E-3</v>
      </c>
    </row>
    <row r="74" spans="1:24" x14ac:dyDescent="0.25">
      <c r="A74" s="1">
        <v>45398.705555555556</v>
      </c>
      <c r="B74" s="2">
        <v>120.79</v>
      </c>
      <c r="C74" s="2">
        <v>295.81</v>
      </c>
      <c r="D74" s="2">
        <v>13.26</v>
      </c>
      <c r="F74" s="2">
        <f t="shared" si="14"/>
        <v>-7.4774034511092546E-3</v>
      </c>
      <c r="G74" s="2">
        <f t="shared" si="11"/>
        <v>1.46115589092779E-2</v>
      </c>
      <c r="H74" s="2">
        <f t="shared" si="12"/>
        <v>1.6871165644171793E-2</v>
      </c>
      <c r="O74" s="6">
        <f t="shared" si="15"/>
        <v>-7.9266328986232811E-3</v>
      </c>
      <c r="P74" s="6">
        <f t="shared" si="16"/>
        <v>1.3565815187127387E-2</v>
      </c>
      <c r="Q74" s="6">
        <f t="shared" si="17"/>
        <v>1.5105363445535286E-2</v>
      </c>
      <c r="X74" s="14">
        <f t="shared" si="18"/>
        <v>4.8571292151881199E-3</v>
      </c>
    </row>
    <row r="75" spans="1:24" x14ac:dyDescent="0.25">
      <c r="A75" s="1">
        <v>45399.705555555556</v>
      </c>
      <c r="B75" s="2">
        <v>120.56</v>
      </c>
      <c r="C75" s="2">
        <v>292.39999999999998</v>
      </c>
      <c r="D75" s="2">
        <v>13.13</v>
      </c>
      <c r="F75" s="2">
        <f t="shared" si="14"/>
        <v>-1.904131136683529E-3</v>
      </c>
      <c r="G75" s="2">
        <f t="shared" si="11"/>
        <v>-1.1527669788039652E-2</v>
      </c>
      <c r="H75" s="2">
        <f t="shared" si="12"/>
        <v>-9.8039215686274161E-3</v>
      </c>
      <c r="O75" s="6">
        <f t="shared" si="15"/>
        <v>-2.3533605841975554E-3</v>
      </c>
      <c r="P75" s="6">
        <f t="shared" si="16"/>
        <v>-1.2573413510190165E-2</v>
      </c>
      <c r="Q75" s="6">
        <f t="shared" si="17"/>
        <v>-1.1569723767263923E-2</v>
      </c>
      <c r="X75" s="14">
        <f t="shared" si="18"/>
        <v>-7.9549228521833271E-3</v>
      </c>
    </row>
    <row r="76" spans="1:24" x14ac:dyDescent="0.25">
      <c r="A76" s="1">
        <v>45400.705555555556</v>
      </c>
      <c r="B76" s="2">
        <v>120.58</v>
      </c>
      <c r="C76" s="2">
        <v>292.3</v>
      </c>
      <c r="D76" s="2">
        <v>13.15</v>
      </c>
      <c r="F76" s="2">
        <f t="shared" si="14"/>
        <v>1.6589250165899294E-4</v>
      </c>
      <c r="G76" s="2">
        <f t="shared" si="11"/>
        <v>-3.419972640217317E-4</v>
      </c>
      <c r="H76" s="2">
        <f t="shared" si="12"/>
        <v>1.5232292460014563E-3</v>
      </c>
      <c r="O76" s="6">
        <f t="shared" si="15"/>
        <v>-2.8333694585503348E-4</v>
      </c>
      <c r="P76" s="6">
        <f t="shared" si="16"/>
        <v>-1.3877409861722449E-3</v>
      </c>
      <c r="Q76" s="6">
        <f t="shared" si="17"/>
        <v>-2.4257295263505063E-4</v>
      </c>
      <c r="X76" s="14">
        <f t="shared" si="18"/>
        <v>-6.0355322331047444E-4</v>
      </c>
    </row>
    <row r="77" spans="1:24" x14ac:dyDescent="0.25">
      <c r="A77" s="1">
        <v>45401.705555555556</v>
      </c>
      <c r="B77" s="2">
        <v>121.46</v>
      </c>
      <c r="C77" s="2">
        <v>287</v>
      </c>
      <c r="D77" s="2">
        <v>13.07</v>
      </c>
      <c r="F77" s="2">
        <f t="shared" si="14"/>
        <v>7.2980593796649895E-3</v>
      </c>
      <c r="G77" s="2">
        <f t="shared" si="11"/>
        <v>-1.8132056106739736E-2</v>
      </c>
      <c r="H77" s="2">
        <f t="shared" si="12"/>
        <v>-6.0836501901140316E-3</v>
      </c>
      <c r="O77" s="6">
        <f t="shared" si="15"/>
        <v>6.848829932150963E-3</v>
      </c>
      <c r="P77" s="6">
        <f t="shared" si="16"/>
        <v>-1.917779982889025E-2</v>
      </c>
      <c r="Q77" s="6">
        <f t="shared" si="17"/>
        <v>-7.8494523887505385E-3</v>
      </c>
      <c r="X77" s="14">
        <f t="shared" si="18"/>
        <v>-5.0037846508477419E-3</v>
      </c>
    </row>
    <row r="78" spans="1:24" x14ac:dyDescent="0.25">
      <c r="A78" s="1">
        <v>45404.705555555556</v>
      </c>
      <c r="B78" s="2">
        <v>121.91</v>
      </c>
      <c r="C78" s="2">
        <v>288.29000000000002</v>
      </c>
      <c r="D78" s="2">
        <v>12.67</v>
      </c>
      <c r="F78" s="2">
        <f t="shared" si="14"/>
        <v>3.7049234315824631E-3</v>
      </c>
      <c r="G78" s="2">
        <f t="shared" si="11"/>
        <v>4.4947735191638305E-3</v>
      </c>
      <c r="H78" s="2">
        <f t="shared" si="12"/>
        <v>-3.0604437643458327E-2</v>
      </c>
      <c r="O78" s="6">
        <f t="shared" si="15"/>
        <v>3.2556939840684366E-3</v>
      </c>
      <c r="P78" s="6">
        <f t="shared" si="16"/>
        <v>3.4490297970133175E-3</v>
      </c>
      <c r="Q78" s="6">
        <f t="shared" si="17"/>
        <v>-3.2370239842094833E-2</v>
      </c>
      <c r="X78" s="14">
        <f t="shared" si="18"/>
        <v>-6.4836909648773667E-3</v>
      </c>
    </row>
    <row r="79" spans="1:24" x14ac:dyDescent="0.25">
      <c r="A79" s="1">
        <v>45405.705555555556</v>
      </c>
      <c r="B79" s="2">
        <v>121.52</v>
      </c>
      <c r="C79" s="2">
        <v>289.7</v>
      </c>
      <c r="D79" s="2">
        <v>12.54</v>
      </c>
      <c r="F79" s="2">
        <f t="shared" si="14"/>
        <v>-3.1990812894758802E-3</v>
      </c>
      <c r="G79" s="2">
        <f t="shared" si="11"/>
        <v>4.8909084602308806E-3</v>
      </c>
      <c r="H79" s="2">
        <f t="shared" si="12"/>
        <v>-1.0260457774269982E-2</v>
      </c>
      <c r="O79" s="6">
        <f t="shared" si="15"/>
        <v>-3.6483107369899067E-3</v>
      </c>
      <c r="P79" s="6">
        <f t="shared" si="16"/>
        <v>3.8451647380803675E-3</v>
      </c>
      <c r="Q79" s="6">
        <f t="shared" si="17"/>
        <v>-1.2026259972906489E-2</v>
      </c>
      <c r="X79" s="14">
        <f t="shared" si="18"/>
        <v>-3.7035525247863296E-3</v>
      </c>
    </row>
    <row r="80" spans="1:24" x14ac:dyDescent="0.25">
      <c r="A80" s="1">
        <v>45406.705555555556</v>
      </c>
      <c r="B80" s="2">
        <v>121.12</v>
      </c>
      <c r="C80" s="2">
        <v>289.73</v>
      </c>
      <c r="D80" s="2">
        <v>12.57</v>
      </c>
      <c r="F80" s="2">
        <f t="shared" si="14"/>
        <v>-3.2916392363395719E-3</v>
      </c>
      <c r="G80" s="2">
        <f t="shared" si="11"/>
        <v>1.0355540214024295E-4</v>
      </c>
      <c r="H80" s="2">
        <f t="shared" si="12"/>
        <v>2.3923444976077235E-3</v>
      </c>
      <c r="O80" s="6">
        <f t="shared" si="15"/>
        <v>-3.7408686838535984E-3</v>
      </c>
      <c r="P80" s="6">
        <f t="shared" si="16"/>
        <v>-9.4218832001027029E-4</v>
      </c>
      <c r="Q80" s="6">
        <f t="shared" si="17"/>
        <v>6.265422989712166E-4</v>
      </c>
      <c r="X80" s="14">
        <f t="shared" si="18"/>
        <v>-1.6999258807208031E-3</v>
      </c>
    </row>
    <row r="81" spans="1:24" x14ac:dyDescent="0.25">
      <c r="A81" s="1">
        <v>45407.705555555556</v>
      </c>
      <c r="B81" s="2">
        <v>121.02</v>
      </c>
      <c r="C81" s="2">
        <v>290.51</v>
      </c>
      <c r="D81" s="2">
        <v>12.67</v>
      </c>
      <c r="F81" s="2">
        <f t="shared" si="14"/>
        <v>-8.2562747688252891E-4</v>
      </c>
      <c r="G81" s="2">
        <f t="shared" si="11"/>
        <v>2.6921616677595406E-3</v>
      </c>
      <c r="H81" s="2">
        <f t="shared" si="12"/>
        <v>7.9554494828957267E-3</v>
      </c>
      <c r="O81" s="6">
        <f t="shared" si="15"/>
        <v>-1.2748569243965554E-3</v>
      </c>
      <c r="P81" s="6">
        <f t="shared" si="16"/>
        <v>1.6464179456090273E-3</v>
      </c>
      <c r="Q81" s="6">
        <f t="shared" si="17"/>
        <v>6.1896472842592198E-3</v>
      </c>
      <c r="X81" s="14">
        <f t="shared" si="18"/>
        <v>1.6546002527883367E-3</v>
      </c>
    </row>
    <row r="82" spans="1:24" x14ac:dyDescent="0.25">
      <c r="A82" s="1">
        <v>45408.705555555556</v>
      </c>
      <c r="B82" s="2">
        <v>122.82</v>
      </c>
      <c r="C82" s="2">
        <v>289.8</v>
      </c>
      <c r="D82" s="2">
        <v>12.62</v>
      </c>
      <c r="F82" s="2">
        <f t="shared" si="14"/>
        <v>1.4873574615765994E-2</v>
      </c>
      <c r="G82" s="2">
        <f t="shared" si="11"/>
        <v>-2.4439778320882732E-3</v>
      </c>
      <c r="H82" s="2">
        <f t="shared" si="12"/>
        <v>-3.9463299131807794E-3</v>
      </c>
      <c r="O82" s="6">
        <f t="shared" si="15"/>
        <v>1.4424345168251968E-2</v>
      </c>
      <c r="P82" s="6">
        <f t="shared" si="16"/>
        <v>-3.4897215542387863E-3</v>
      </c>
      <c r="Q82" s="6">
        <f t="shared" si="17"/>
        <v>-5.7121321118172863E-3</v>
      </c>
      <c r="X82" s="14">
        <f t="shared" si="18"/>
        <v>3.5107290920037564E-3</v>
      </c>
    </row>
    <row r="83" spans="1:24" x14ac:dyDescent="0.25">
      <c r="A83" s="1">
        <v>45411.705555555556</v>
      </c>
      <c r="B83" s="2">
        <v>123.63</v>
      </c>
      <c r="C83" s="2">
        <v>290.95</v>
      </c>
      <c r="D83" s="2">
        <v>12.56</v>
      </c>
      <c r="F83" s="2">
        <f t="shared" si="14"/>
        <v>6.595017098192546E-3</v>
      </c>
      <c r="G83" s="2">
        <f t="shared" ref="G83:G146" si="19">(C83/C82)-1</f>
        <v>3.9682539682539542E-3</v>
      </c>
      <c r="H83" s="2">
        <f t="shared" ref="H83:H146" si="20">(D83/D82)-1</f>
        <v>-4.7543581616480424E-3</v>
      </c>
      <c r="O83" s="6">
        <f t="shared" si="15"/>
        <v>6.1457876506785195E-3</v>
      </c>
      <c r="P83" s="6">
        <f t="shared" si="16"/>
        <v>2.9225102461034411E-3</v>
      </c>
      <c r="Q83" s="6">
        <f t="shared" si="17"/>
        <v>-6.5201603602845493E-3</v>
      </c>
      <c r="X83" s="14">
        <f t="shared" si="18"/>
        <v>1.6952640607341663E-3</v>
      </c>
    </row>
    <row r="84" spans="1:24" x14ac:dyDescent="0.25">
      <c r="A84" s="1">
        <v>45412.705555555556</v>
      </c>
      <c r="B84" s="2">
        <v>122.29</v>
      </c>
      <c r="C84" s="2">
        <v>291</v>
      </c>
      <c r="D84" s="2">
        <v>12.51</v>
      </c>
      <c r="F84" s="2">
        <f t="shared" si="14"/>
        <v>-1.083879317317793E-2</v>
      </c>
      <c r="G84" s="2">
        <f t="shared" si="19"/>
        <v>1.7185083347648344E-4</v>
      </c>
      <c r="H84" s="2">
        <f t="shared" si="20"/>
        <v>-3.9808917197452498E-3</v>
      </c>
      <c r="O84" s="6">
        <f t="shared" si="15"/>
        <v>-1.1288022620691956E-2</v>
      </c>
      <c r="P84" s="6">
        <f t="shared" si="16"/>
        <v>-8.7389288867402979E-4</v>
      </c>
      <c r="Q84" s="6">
        <f t="shared" si="17"/>
        <v>-5.7466939183817567E-3</v>
      </c>
      <c r="X84" s="14">
        <f t="shared" si="18"/>
        <v>-6.6388813530685225E-3</v>
      </c>
    </row>
    <row r="85" spans="1:24" x14ac:dyDescent="0.25">
      <c r="A85" s="1">
        <v>45414.705555555556</v>
      </c>
      <c r="B85" s="2">
        <v>123.4</v>
      </c>
      <c r="C85" s="2">
        <v>288</v>
      </c>
      <c r="D85" s="2">
        <v>12.4</v>
      </c>
      <c r="F85" s="2">
        <f t="shared" si="14"/>
        <v>9.0767846921253614E-3</v>
      </c>
      <c r="G85" s="2">
        <f t="shared" si="19"/>
        <v>-1.0309278350515427E-2</v>
      </c>
      <c r="H85" s="2">
        <f t="shared" si="20"/>
        <v>-8.7929656274979839E-3</v>
      </c>
      <c r="O85" s="6">
        <f t="shared" si="15"/>
        <v>8.627555244611335E-3</v>
      </c>
      <c r="P85" s="6">
        <f t="shared" si="16"/>
        <v>-1.135502207266594E-2</v>
      </c>
      <c r="Q85" s="6">
        <f t="shared" si="17"/>
        <v>-1.0558767826134491E-2</v>
      </c>
      <c r="X85" s="14">
        <f t="shared" si="18"/>
        <v>-2.6455118899940846E-3</v>
      </c>
    </row>
    <row r="86" spans="1:24" x14ac:dyDescent="0.25">
      <c r="A86" s="1">
        <v>45415.705555555556</v>
      </c>
      <c r="B86" s="2">
        <v>124.78</v>
      </c>
      <c r="C86" s="2">
        <v>289.55</v>
      </c>
      <c r="D86" s="2">
        <v>12.28</v>
      </c>
      <c r="F86" s="2">
        <f t="shared" si="14"/>
        <v>1.1183144246353249E-2</v>
      </c>
      <c r="G86" s="2">
        <f t="shared" si="19"/>
        <v>5.3819444444445086E-3</v>
      </c>
      <c r="H86" s="2">
        <f t="shared" si="20"/>
        <v>-9.6774193548387899E-3</v>
      </c>
      <c r="O86" s="6">
        <f t="shared" si="15"/>
        <v>1.0733914798839223E-2</v>
      </c>
      <c r="P86" s="6">
        <f t="shared" si="16"/>
        <v>4.3362007222939956E-3</v>
      </c>
      <c r="Q86" s="6">
        <f t="shared" si="17"/>
        <v>-1.1443221553475297E-2</v>
      </c>
      <c r="X86" s="14">
        <f t="shared" si="18"/>
        <v>2.7151075300376674E-3</v>
      </c>
    </row>
    <row r="87" spans="1:24" x14ac:dyDescent="0.25">
      <c r="A87" s="1">
        <v>45418.705555555556</v>
      </c>
      <c r="B87" s="2">
        <v>124.73</v>
      </c>
      <c r="C87" s="2">
        <v>292.10000000000002</v>
      </c>
      <c r="D87" s="2">
        <v>12.4</v>
      </c>
      <c r="F87" s="2">
        <f t="shared" si="14"/>
        <v>-4.0070524122448603E-4</v>
      </c>
      <c r="G87" s="2">
        <f t="shared" si="19"/>
        <v>8.8067691245035107E-3</v>
      </c>
      <c r="H87" s="2">
        <f t="shared" si="20"/>
        <v>9.7719869706840434E-3</v>
      </c>
      <c r="O87" s="6">
        <f t="shared" si="15"/>
        <v>-8.4993468873851251E-4</v>
      </c>
      <c r="P87" s="6">
        <f t="shared" si="16"/>
        <v>7.7610254023529977E-3</v>
      </c>
      <c r="Q87" s="6">
        <f t="shared" si="17"/>
        <v>8.0061847720475365E-3</v>
      </c>
      <c r="X87" s="14">
        <f t="shared" si="18"/>
        <v>4.1696762761526569E-3</v>
      </c>
    </row>
    <row r="88" spans="1:24" x14ac:dyDescent="0.25">
      <c r="A88" s="1">
        <v>45419.705555555556</v>
      </c>
      <c r="B88" s="2">
        <v>125.43</v>
      </c>
      <c r="C88" s="2">
        <v>292.25</v>
      </c>
      <c r="D88" s="2">
        <v>12.34</v>
      </c>
      <c r="F88" s="2">
        <f t="shared" si="14"/>
        <v>5.6121221839173785E-3</v>
      </c>
      <c r="G88" s="2">
        <f t="shared" si="19"/>
        <v>5.1352276617588899E-4</v>
      </c>
      <c r="H88" s="2">
        <f t="shared" si="20"/>
        <v>-4.8387096774193949E-3</v>
      </c>
      <c r="O88" s="6">
        <f t="shared" si="15"/>
        <v>5.162892736403352E-3</v>
      </c>
      <c r="P88" s="6">
        <f t="shared" si="16"/>
        <v>-5.3222095597462425E-4</v>
      </c>
      <c r="Q88" s="6">
        <f t="shared" si="17"/>
        <v>-6.6045118760559018E-3</v>
      </c>
      <c r="X88" s="14">
        <f t="shared" si="18"/>
        <v>2.176884934010912E-4</v>
      </c>
    </row>
    <row r="89" spans="1:24" x14ac:dyDescent="0.25">
      <c r="A89" s="1">
        <v>45420.705555555556</v>
      </c>
      <c r="B89" s="2">
        <v>125.7</v>
      </c>
      <c r="C89" s="2">
        <v>293.39999999999998</v>
      </c>
      <c r="D89" s="2">
        <v>12.36</v>
      </c>
      <c r="F89" s="2">
        <f t="shared" si="14"/>
        <v>2.1525950729490706E-3</v>
      </c>
      <c r="G89" s="2">
        <f t="shared" si="19"/>
        <v>3.9349871685199211E-3</v>
      </c>
      <c r="H89" s="2">
        <f t="shared" si="20"/>
        <v>1.6207455429497752E-3</v>
      </c>
      <c r="O89" s="6">
        <f t="shared" si="15"/>
        <v>1.7033656254350441E-3</v>
      </c>
      <c r="P89" s="6">
        <f t="shared" si="16"/>
        <v>2.8892434463694081E-3</v>
      </c>
      <c r="Q89" s="6">
        <f t="shared" si="17"/>
        <v>-1.4505665568673165E-4</v>
      </c>
      <c r="X89" s="14">
        <f t="shared" si="18"/>
        <v>1.5509119697034368E-3</v>
      </c>
    </row>
    <row r="90" spans="1:24" x14ac:dyDescent="0.25">
      <c r="A90" s="1">
        <v>45421.705555555556</v>
      </c>
      <c r="B90" s="2">
        <v>124.48</v>
      </c>
      <c r="C90" s="2">
        <v>298.3</v>
      </c>
      <c r="D90" s="2">
        <v>12.66</v>
      </c>
      <c r="F90" s="2">
        <f t="shared" si="14"/>
        <v>-9.7056483691329021E-3</v>
      </c>
      <c r="G90" s="2">
        <f t="shared" si="19"/>
        <v>1.670074982958436E-2</v>
      </c>
      <c r="H90" s="2">
        <f t="shared" si="20"/>
        <v>2.4271844660194164E-2</v>
      </c>
      <c r="O90" s="6">
        <f t="shared" si="15"/>
        <v>-1.0154877816646929E-2</v>
      </c>
      <c r="P90" s="6">
        <f t="shared" si="16"/>
        <v>1.5655006107433846E-2</v>
      </c>
      <c r="Q90" s="6">
        <f t="shared" si="17"/>
        <v>2.2506042461557657E-2</v>
      </c>
      <c r="X90" s="14">
        <f t="shared" si="18"/>
        <v>6.5725550751157122E-3</v>
      </c>
    </row>
    <row r="91" spans="1:24" x14ac:dyDescent="0.25">
      <c r="A91" s="1">
        <v>45422.705555555556</v>
      </c>
      <c r="B91" s="2">
        <v>123.9</v>
      </c>
      <c r="C91" s="2">
        <v>299.35000000000002</v>
      </c>
      <c r="D91" s="2">
        <v>12.84</v>
      </c>
      <c r="F91" s="2">
        <f t="shared" si="14"/>
        <v>-4.6593830334190622E-3</v>
      </c>
      <c r="G91" s="2">
        <f t="shared" si="19"/>
        <v>3.5199463627222372E-3</v>
      </c>
      <c r="H91" s="2">
        <f t="shared" si="20"/>
        <v>1.4218009478673022E-2</v>
      </c>
      <c r="O91" s="6">
        <f t="shared" si="15"/>
        <v>-5.1086124809330887E-3</v>
      </c>
      <c r="P91" s="6">
        <f t="shared" si="16"/>
        <v>2.4742026405717241E-3</v>
      </c>
      <c r="Q91" s="6">
        <f t="shared" si="17"/>
        <v>1.2452207280036515E-2</v>
      </c>
      <c r="X91" s="14">
        <f t="shared" si="18"/>
        <v>1.996315929704737E-3</v>
      </c>
    </row>
    <row r="92" spans="1:24" x14ac:dyDescent="0.25">
      <c r="A92" s="1">
        <v>45425.705555555556</v>
      </c>
      <c r="B92" s="2">
        <v>124.41</v>
      </c>
      <c r="C92" s="2">
        <v>299.10000000000002</v>
      </c>
      <c r="D92" s="2">
        <v>12.68</v>
      </c>
      <c r="F92" s="2">
        <f t="shared" si="14"/>
        <v>4.1162227602904444E-3</v>
      </c>
      <c r="G92" s="2">
        <f t="shared" si="19"/>
        <v>-8.3514280942043051E-4</v>
      </c>
      <c r="H92" s="2">
        <f t="shared" si="20"/>
        <v>-1.2461059190031154E-2</v>
      </c>
      <c r="O92" s="6">
        <f t="shared" si="15"/>
        <v>3.6669933127764179E-3</v>
      </c>
      <c r="P92" s="6">
        <f t="shared" si="16"/>
        <v>-1.8808865315709437E-3</v>
      </c>
      <c r="Q92" s="6">
        <f t="shared" si="17"/>
        <v>-1.4226861388667661E-2</v>
      </c>
      <c r="X92" s="14">
        <f t="shared" si="18"/>
        <v>-2.9188473246548282E-3</v>
      </c>
    </row>
    <row r="93" spans="1:24" x14ac:dyDescent="0.25">
      <c r="A93" s="1">
        <v>45426.705555555556</v>
      </c>
      <c r="B93" s="2">
        <v>124.77</v>
      </c>
      <c r="C93" s="2">
        <v>299.3</v>
      </c>
      <c r="D93" s="2">
        <v>12.73</v>
      </c>
      <c r="F93" s="2">
        <f t="shared" si="14"/>
        <v>2.8936580660718914E-3</v>
      </c>
      <c r="G93" s="2">
        <f t="shared" si="19"/>
        <v>6.6867268472070585E-4</v>
      </c>
      <c r="H93" s="2">
        <f t="shared" si="20"/>
        <v>3.9432176656151174E-3</v>
      </c>
      <c r="O93" s="6">
        <f t="shared" si="15"/>
        <v>2.4444286185578649E-3</v>
      </c>
      <c r="P93" s="6">
        <f t="shared" si="16"/>
        <v>-3.7707103742980739E-4</v>
      </c>
      <c r="Q93" s="6">
        <f t="shared" si="17"/>
        <v>2.1774154669786105E-3</v>
      </c>
      <c r="X93" s="14">
        <f t="shared" si="18"/>
        <v>1.5242785989735474E-3</v>
      </c>
    </row>
    <row r="94" spans="1:24" x14ac:dyDescent="0.25">
      <c r="A94" s="1">
        <v>45427.705555555556</v>
      </c>
      <c r="B94" s="2">
        <v>124.32</v>
      </c>
      <c r="C94" s="2">
        <v>303.2</v>
      </c>
      <c r="D94" s="2">
        <v>12.91</v>
      </c>
      <c r="F94" s="2">
        <f t="shared" si="14"/>
        <v>-3.6066362106276229E-3</v>
      </c>
      <c r="G94" s="2">
        <f t="shared" si="19"/>
        <v>1.3030404276645369E-2</v>
      </c>
      <c r="H94" s="2">
        <f t="shared" si="20"/>
        <v>1.4139827179890041E-2</v>
      </c>
      <c r="O94" s="6">
        <f t="shared" si="15"/>
        <v>-4.0558656581416493E-3</v>
      </c>
      <c r="P94" s="6">
        <f t="shared" si="16"/>
        <v>1.1984660554494856E-2</v>
      </c>
      <c r="Q94" s="6">
        <f t="shared" si="17"/>
        <v>1.2374024981253534E-2</v>
      </c>
      <c r="X94" s="14">
        <f t="shared" si="18"/>
        <v>5.2761696718294088E-3</v>
      </c>
    </row>
    <row r="95" spans="1:24" x14ac:dyDescent="0.25">
      <c r="A95" s="1">
        <v>45428.705555555556</v>
      </c>
      <c r="B95" s="2">
        <v>124.54</v>
      </c>
      <c r="C95" s="2">
        <v>302.64999999999998</v>
      </c>
      <c r="D95" s="2">
        <v>12.85</v>
      </c>
      <c r="F95" s="2">
        <f t="shared" si="14"/>
        <v>1.7696267696267753E-3</v>
      </c>
      <c r="G95" s="2">
        <f t="shared" si="19"/>
        <v>-1.8139841688654679E-3</v>
      </c>
      <c r="H95" s="2">
        <f t="shared" si="20"/>
        <v>-4.6475600309837661E-3</v>
      </c>
      <c r="O95" s="6">
        <f t="shared" si="15"/>
        <v>1.3203973221127489E-3</v>
      </c>
      <c r="P95" s="6">
        <f t="shared" si="16"/>
        <v>-2.8597278910159809E-3</v>
      </c>
      <c r="Q95" s="6">
        <f t="shared" si="17"/>
        <v>-6.413362229620273E-3</v>
      </c>
      <c r="X95" s="14">
        <f t="shared" si="18"/>
        <v>-2.0608824611605863E-3</v>
      </c>
    </row>
    <row r="96" spans="1:24" x14ac:dyDescent="0.25">
      <c r="A96" s="1">
        <v>45429.705555555556</v>
      </c>
      <c r="B96" s="2">
        <v>124.42</v>
      </c>
      <c r="C96" s="2">
        <v>301.14</v>
      </c>
      <c r="D96" s="2">
        <v>12.98</v>
      </c>
      <c r="F96" s="2">
        <f t="shared" si="14"/>
        <v>-9.6354584872337945E-4</v>
      </c>
      <c r="G96" s="2">
        <f t="shared" si="19"/>
        <v>-4.9892615232115523E-3</v>
      </c>
      <c r="H96" s="2">
        <f t="shared" si="20"/>
        <v>1.0116731517509692E-2</v>
      </c>
      <c r="O96" s="6">
        <f t="shared" si="15"/>
        <v>-1.4127752962374059E-3</v>
      </c>
      <c r="P96" s="6">
        <f t="shared" si="16"/>
        <v>-6.0350052453620653E-3</v>
      </c>
      <c r="Q96" s="6">
        <f t="shared" si="17"/>
        <v>8.3509293188731848E-3</v>
      </c>
      <c r="X96" s="14">
        <f t="shared" si="18"/>
        <v>-1.1479231172091282E-4</v>
      </c>
    </row>
    <row r="97" spans="1:24" x14ac:dyDescent="0.25">
      <c r="A97" s="1">
        <v>45432.705555555556</v>
      </c>
      <c r="B97" s="2">
        <v>124.04</v>
      </c>
      <c r="C97" s="2">
        <v>301.7</v>
      </c>
      <c r="D97" s="2">
        <v>13.03</v>
      </c>
      <c r="F97" s="2">
        <f t="shared" si="14"/>
        <v>-3.0541713550875649E-3</v>
      </c>
      <c r="G97" s="2">
        <f t="shared" si="19"/>
        <v>1.8596001859600975E-3</v>
      </c>
      <c r="H97" s="2">
        <f t="shared" si="20"/>
        <v>3.8520801232664326E-3</v>
      </c>
      <c r="O97" s="6">
        <f t="shared" si="15"/>
        <v>-3.5034008026015914E-3</v>
      </c>
      <c r="P97" s="6">
        <f t="shared" si="16"/>
        <v>8.1385646380958423E-4</v>
      </c>
      <c r="Q97" s="6">
        <f t="shared" si="17"/>
        <v>2.0862779246299257E-3</v>
      </c>
      <c r="X97" s="14">
        <f t="shared" si="18"/>
        <v>-6.7060692458714699E-4</v>
      </c>
    </row>
    <row r="98" spans="1:24" x14ac:dyDescent="0.25">
      <c r="A98" s="1">
        <v>45433.705555555556</v>
      </c>
      <c r="B98" s="2">
        <v>123.71</v>
      </c>
      <c r="C98" s="2">
        <v>303.08999999999997</v>
      </c>
      <c r="D98" s="2">
        <v>13.06</v>
      </c>
      <c r="F98" s="2">
        <f t="shared" si="14"/>
        <v>-2.6604321186715074E-3</v>
      </c>
      <c r="G98" s="2">
        <f t="shared" si="19"/>
        <v>4.6072257209148759E-3</v>
      </c>
      <c r="H98" s="2">
        <f t="shared" si="20"/>
        <v>2.3023791250960102E-3</v>
      </c>
      <c r="O98" s="6">
        <f t="shared" si="15"/>
        <v>-3.1096615661855339E-3</v>
      </c>
      <c r="P98" s="6">
        <f t="shared" si="16"/>
        <v>3.5614819987643629E-3</v>
      </c>
      <c r="Q98" s="6">
        <f t="shared" si="17"/>
        <v>5.3657692645950328E-4</v>
      </c>
      <c r="X98" s="14">
        <f t="shared" si="18"/>
        <v>-1.0493791460642677E-4</v>
      </c>
    </row>
    <row r="99" spans="1:24" x14ac:dyDescent="0.25">
      <c r="A99" s="1">
        <v>45434.705555555556</v>
      </c>
      <c r="B99" s="2">
        <v>122.02</v>
      </c>
      <c r="C99" s="2">
        <v>304.61</v>
      </c>
      <c r="D99" s="2">
        <v>12.91</v>
      </c>
      <c r="F99" s="2">
        <f t="shared" si="14"/>
        <v>-1.366098132729765E-2</v>
      </c>
      <c r="G99" s="2">
        <f t="shared" si="19"/>
        <v>5.0150120426277756E-3</v>
      </c>
      <c r="H99" s="2">
        <f t="shared" si="20"/>
        <v>-1.1485451761102605E-2</v>
      </c>
      <c r="O99" s="6">
        <f t="shared" si="15"/>
        <v>-1.4110210774811676E-2</v>
      </c>
      <c r="P99" s="6">
        <f t="shared" si="16"/>
        <v>3.9692683204772625E-3</v>
      </c>
      <c r="Q99" s="6">
        <f t="shared" si="17"/>
        <v>-1.3251253959739112E-2</v>
      </c>
      <c r="X99" s="14">
        <f t="shared" si="18"/>
        <v>-8.4484206908313712E-3</v>
      </c>
    </row>
    <row r="100" spans="1:24" x14ac:dyDescent="0.25">
      <c r="A100" s="1">
        <v>45435.705555555556</v>
      </c>
      <c r="B100" s="2">
        <v>121.11</v>
      </c>
      <c r="C100" s="2">
        <v>302.25</v>
      </c>
      <c r="D100" s="2">
        <v>12.65</v>
      </c>
      <c r="F100" s="2">
        <f t="shared" si="14"/>
        <v>-7.4577938042943437E-3</v>
      </c>
      <c r="G100" s="2">
        <f t="shared" si="19"/>
        <v>-7.7476117002068801E-3</v>
      </c>
      <c r="H100" s="2">
        <f t="shared" si="20"/>
        <v>-2.0139426800929505E-2</v>
      </c>
      <c r="O100" s="6">
        <f t="shared" si="15"/>
        <v>-7.9070232518083702E-3</v>
      </c>
      <c r="P100" s="6">
        <f t="shared" si="16"/>
        <v>-8.7933554223573931E-3</v>
      </c>
      <c r="Q100" s="6">
        <f t="shared" si="17"/>
        <v>-2.1905228999566012E-2</v>
      </c>
      <c r="X100" s="14">
        <f t="shared" si="18"/>
        <v>-1.2022621146190571E-2</v>
      </c>
    </row>
    <row r="101" spans="1:24" x14ac:dyDescent="0.25">
      <c r="A101" s="1">
        <v>45436.705555555556</v>
      </c>
      <c r="B101" s="2">
        <v>120.69</v>
      </c>
      <c r="C101" s="2">
        <v>304.55</v>
      </c>
      <c r="D101" s="2">
        <v>12.69</v>
      </c>
      <c r="F101" s="2">
        <f t="shared" si="14"/>
        <v>-3.4679217240525251E-3</v>
      </c>
      <c r="G101" s="2">
        <f t="shared" si="19"/>
        <v>7.6095947063690161E-3</v>
      </c>
      <c r="H101" s="2">
        <f t="shared" si="20"/>
        <v>3.1620553359683612E-3</v>
      </c>
      <c r="O101" s="6">
        <f t="shared" si="15"/>
        <v>-3.9171511715665516E-3</v>
      </c>
      <c r="P101" s="6">
        <f t="shared" si="16"/>
        <v>6.5638509842185031E-3</v>
      </c>
      <c r="Q101" s="6">
        <f t="shared" si="17"/>
        <v>1.3962531373318543E-3</v>
      </c>
      <c r="X101" s="14">
        <f t="shared" si="18"/>
        <v>6.8937725914211686E-4</v>
      </c>
    </row>
    <row r="102" spans="1:24" x14ac:dyDescent="0.25">
      <c r="A102" s="1">
        <v>45439.705555555556</v>
      </c>
      <c r="B102" s="2">
        <v>120.86</v>
      </c>
      <c r="C102" s="2">
        <v>306.12</v>
      </c>
      <c r="D102" s="2">
        <v>12.85</v>
      </c>
      <c r="F102" s="2">
        <f t="shared" si="14"/>
        <v>1.4085674040931195E-3</v>
      </c>
      <c r="G102" s="2">
        <f t="shared" si="19"/>
        <v>5.1551469381054815E-3</v>
      </c>
      <c r="H102" s="2">
        <f t="shared" si="20"/>
        <v>1.2608353033884967E-2</v>
      </c>
      <c r="O102" s="6">
        <f t="shared" si="15"/>
        <v>9.5933795657909306E-4</v>
      </c>
      <c r="P102" s="6">
        <f t="shared" si="16"/>
        <v>4.1094032159549685E-3</v>
      </c>
      <c r="Q102" s="6">
        <f t="shared" si="17"/>
        <v>1.084255083524846E-2</v>
      </c>
      <c r="X102" s="14">
        <f t="shared" si="18"/>
        <v>4.622617475922867E-3</v>
      </c>
    </row>
    <row r="103" spans="1:24" x14ac:dyDescent="0.25">
      <c r="A103" s="1">
        <v>45440.705555555556</v>
      </c>
      <c r="B103" s="2">
        <v>120.18</v>
      </c>
      <c r="C103" s="2">
        <v>304.61</v>
      </c>
      <c r="D103" s="2">
        <v>12.8</v>
      </c>
      <c r="F103" s="2">
        <f t="shared" si="14"/>
        <v>-5.6263445308620819E-3</v>
      </c>
      <c r="G103" s="2">
        <f t="shared" si="19"/>
        <v>-4.9327061283156448E-3</v>
      </c>
      <c r="H103" s="2">
        <f t="shared" si="20"/>
        <v>-3.8910505836574627E-3</v>
      </c>
      <c r="O103" s="6">
        <f t="shared" si="15"/>
        <v>-6.0755739783761083E-3</v>
      </c>
      <c r="P103" s="6">
        <f t="shared" si="16"/>
        <v>-5.9784498504661578E-3</v>
      </c>
      <c r="Q103" s="6">
        <f t="shared" si="17"/>
        <v>-5.6568527822939696E-3</v>
      </c>
      <c r="X103" s="14">
        <f t="shared" si="18"/>
        <v>-5.9312759342649785E-3</v>
      </c>
    </row>
    <row r="104" spans="1:24" x14ac:dyDescent="0.25">
      <c r="A104" s="1">
        <v>45441.705555555556</v>
      </c>
      <c r="B104" s="2">
        <v>119.15</v>
      </c>
      <c r="C104" s="2">
        <v>305.45</v>
      </c>
      <c r="D104" s="2">
        <v>12.8</v>
      </c>
      <c r="F104" s="2">
        <f t="shared" si="14"/>
        <v>-8.5704776169079899E-3</v>
      </c>
      <c r="G104" s="2">
        <f t="shared" si="19"/>
        <v>2.7576245034632851E-3</v>
      </c>
      <c r="H104" s="2">
        <f t="shared" si="20"/>
        <v>0</v>
      </c>
      <c r="O104" s="6">
        <f t="shared" si="15"/>
        <v>-9.0197070644220164E-3</v>
      </c>
      <c r="P104" s="6">
        <f t="shared" si="16"/>
        <v>1.7118807813127719E-3</v>
      </c>
      <c r="Q104" s="6">
        <f t="shared" si="17"/>
        <v>-1.7658021986365069E-3</v>
      </c>
      <c r="X104" s="14">
        <f t="shared" si="18"/>
        <v>-3.8043265067798896E-3</v>
      </c>
    </row>
    <row r="105" spans="1:24" x14ac:dyDescent="0.25">
      <c r="A105" s="1">
        <v>45443.705555555556</v>
      </c>
      <c r="B105" s="2">
        <v>118.55</v>
      </c>
      <c r="C105" s="2">
        <v>308.2</v>
      </c>
      <c r="D105" s="2">
        <v>12.87</v>
      </c>
      <c r="F105" s="2">
        <f t="shared" si="14"/>
        <v>-5.0356693243811534E-3</v>
      </c>
      <c r="G105" s="2">
        <f t="shared" si="19"/>
        <v>9.0031101653298418E-3</v>
      </c>
      <c r="H105" s="2">
        <f t="shared" si="20"/>
        <v>5.4687499999999112E-3</v>
      </c>
      <c r="O105" s="6">
        <f t="shared" si="15"/>
        <v>-5.4848987718951799E-3</v>
      </c>
      <c r="P105" s="6">
        <f t="shared" si="16"/>
        <v>7.9573664431793287E-3</v>
      </c>
      <c r="Q105" s="6">
        <f t="shared" si="17"/>
        <v>3.7029478013634043E-3</v>
      </c>
      <c r="X105" s="14">
        <f t="shared" si="18"/>
        <v>1.0757926316457772E-3</v>
      </c>
    </row>
    <row r="106" spans="1:24" x14ac:dyDescent="0.25">
      <c r="A106" s="1">
        <v>45446.705555555556</v>
      </c>
      <c r="B106" s="2">
        <v>118.48</v>
      </c>
      <c r="C106" s="2">
        <v>308</v>
      </c>
      <c r="D106" s="2">
        <v>12.93</v>
      </c>
      <c r="F106" s="2">
        <f t="shared" si="14"/>
        <v>-5.904681568957848E-4</v>
      </c>
      <c r="G106" s="2">
        <f t="shared" si="19"/>
        <v>-6.489292667098967E-4</v>
      </c>
      <c r="H106" s="2">
        <f t="shared" si="20"/>
        <v>4.6620046620047262E-3</v>
      </c>
      <c r="O106" s="6">
        <f t="shared" si="15"/>
        <v>-1.0396976044098113E-3</v>
      </c>
      <c r="P106" s="6">
        <f t="shared" si="16"/>
        <v>-1.6946729888604099E-3</v>
      </c>
      <c r="Q106" s="6">
        <f t="shared" si="17"/>
        <v>2.8962024633682193E-3</v>
      </c>
      <c r="X106" s="14">
        <f t="shared" si="18"/>
        <v>-1.5385016457601685E-4</v>
      </c>
    </row>
    <row r="107" spans="1:24" x14ac:dyDescent="0.25">
      <c r="A107" s="1">
        <v>45447.705555555556</v>
      </c>
      <c r="B107" s="2">
        <v>118.23</v>
      </c>
      <c r="C107" s="2">
        <v>311.3</v>
      </c>
      <c r="D107" s="2">
        <v>12.92</v>
      </c>
      <c r="F107" s="2">
        <f t="shared" si="14"/>
        <v>-2.1100607697501772E-3</v>
      </c>
      <c r="G107" s="2">
        <f t="shared" si="19"/>
        <v>1.0714285714285676E-2</v>
      </c>
      <c r="H107" s="2">
        <f t="shared" si="20"/>
        <v>-7.7339520494967839E-4</v>
      </c>
      <c r="O107" s="6">
        <f t="shared" si="15"/>
        <v>-2.5592902172642037E-3</v>
      </c>
      <c r="P107" s="6">
        <f t="shared" si="16"/>
        <v>9.6685419921351632E-3</v>
      </c>
      <c r="Q107" s="6">
        <f t="shared" si="17"/>
        <v>-2.5391974035861853E-3</v>
      </c>
      <c r="X107" s="14">
        <f t="shared" si="18"/>
        <v>1.1157529312172336E-3</v>
      </c>
    </row>
    <row r="108" spans="1:24" x14ac:dyDescent="0.25">
      <c r="A108" s="1">
        <v>45448.705555555556</v>
      </c>
      <c r="B108" s="2">
        <v>117.88</v>
      </c>
      <c r="C108" s="2">
        <v>315.58</v>
      </c>
      <c r="D108" s="2">
        <v>13.13</v>
      </c>
      <c r="F108" s="2">
        <f t="shared" si="14"/>
        <v>-2.9603315571344879E-3</v>
      </c>
      <c r="G108" s="2">
        <f t="shared" si="19"/>
        <v>1.3748795374237011E-2</v>
      </c>
      <c r="H108" s="2">
        <f t="shared" si="20"/>
        <v>1.6253869969040213E-2</v>
      </c>
      <c r="O108" s="6">
        <f t="shared" si="15"/>
        <v>-3.4095610046485144E-3</v>
      </c>
      <c r="P108" s="6">
        <f t="shared" si="16"/>
        <v>1.2703051652086498E-2</v>
      </c>
      <c r="Q108" s="6">
        <f t="shared" si="17"/>
        <v>1.4488067770403706E-2</v>
      </c>
      <c r="X108" s="14">
        <f t="shared" si="18"/>
        <v>6.3477463510510064E-3</v>
      </c>
    </row>
    <row r="109" spans="1:24" x14ac:dyDescent="0.25">
      <c r="A109" s="1">
        <v>45449.705555555556</v>
      </c>
      <c r="B109" s="2">
        <v>119.3</v>
      </c>
      <c r="C109" s="2">
        <v>312.89999999999998</v>
      </c>
      <c r="D109" s="2">
        <v>13.1</v>
      </c>
      <c r="F109" s="2">
        <f t="shared" si="14"/>
        <v>1.2046148625721065E-2</v>
      </c>
      <c r="G109" s="2">
        <f t="shared" si="19"/>
        <v>-8.4922998922618564E-3</v>
      </c>
      <c r="H109" s="2">
        <f t="shared" si="20"/>
        <v>-2.2848438690024064E-3</v>
      </c>
      <c r="O109" s="6">
        <f t="shared" si="15"/>
        <v>1.1596919178207038E-2</v>
      </c>
      <c r="P109" s="6">
        <f t="shared" si="16"/>
        <v>-9.5380436144123695E-3</v>
      </c>
      <c r="Q109" s="6">
        <f t="shared" si="17"/>
        <v>-4.0506460676389133E-3</v>
      </c>
      <c r="X109" s="14">
        <f t="shared" si="18"/>
        <v>9.5121179857216931E-4</v>
      </c>
    </row>
    <row r="110" spans="1:24" x14ac:dyDescent="0.25">
      <c r="A110" s="1">
        <v>45450.705555555556</v>
      </c>
      <c r="B110" s="2">
        <v>117.29</v>
      </c>
      <c r="C110" s="2">
        <v>317.02999999999997</v>
      </c>
      <c r="D110" s="2">
        <v>12.86</v>
      </c>
      <c r="F110" s="2">
        <f t="shared" si="14"/>
        <v>-1.6848281642916962E-2</v>
      </c>
      <c r="G110" s="2">
        <f t="shared" si="19"/>
        <v>1.3199105145413892E-2</v>
      </c>
      <c r="H110" s="2">
        <f t="shared" si="20"/>
        <v>-1.8320610687022953E-2</v>
      </c>
      <c r="O110" s="6">
        <f t="shared" si="15"/>
        <v>-1.7297511090430987E-2</v>
      </c>
      <c r="P110" s="6">
        <f t="shared" si="16"/>
        <v>1.2153361423263379E-2</v>
      </c>
      <c r="Q110" s="6">
        <f t="shared" si="17"/>
        <v>-2.008641288565946E-2</v>
      </c>
      <c r="X110" s="14">
        <f t="shared" si="18"/>
        <v>-9.226405971237122E-3</v>
      </c>
    </row>
    <row r="111" spans="1:24" x14ac:dyDescent="0.25">
      <c r="A111" s="1">
        <v>45453.705555555556</v>
      </c>
      <c r="B111" s="2">
        <v>117.24</v>
      </c>
      <c r="C111" s="2">
        <v>320</v>
      </c>
      <c r="D111" s="2">
        <v>13.01</v>
      </c>
      <c r="F111" s="2">
        <f t="shared" si="14"/>
        <v>-4.2629380168823783E-4</v>
      </c>
      <c r="G111" s="2">
        <f t="shared" si="19"/>
        <v>9.3681985931932665E-3</v>
      </c>
      <c r="H111" s="2">
        <f t="shared" si="20"/>
        <v>1.1664074650077794E-2</v>
      </c>
      <c r="O111" s="6">
        <f t="shared" si="15"/>
        <v>-8.7552324920226431E-4</v>
      </c>
      <c r="P111" s="6">
        <f t="shared" si="16"/>
        <v>8.3224548710427535E-3</v>
      </c>
      <c r="Q111" s="6">
        <f t="shared" si="17"/>
        <v>9.8982724514412868E-3</v>
      </c>
      <c r="X111" s="14">
        <f t="shared" si="18"/>
        <v>4.8476248133846375E-3</v>
      </c>
    </row>
    <row r="112" spans="1:24" x14ac:dyDescent="0.25">
      <c r="A112" s="1">
        <v>45454.705555555556</v>
      </c>
      <c r="B112" s="2">
        <v>118.08</v>
      </c>
      <c r="C112" s="2">
        <v>320.52</v>
      </c>
      <c r="D112" s="2">
        <v>13.05</v>
      </c>
      <c r="F112" s="2">
        <f t="shared" si="14"/>
        <v>7.164790174002178E-3</v>
      </c>
      <c r="G112" s="2">
        <f t="shared" si="19"/>
        <v>1.6249999999999876E-3</v>
      </c>
      <c r="H112" s="2">
        <f t="shared" si="20"/>
        <v>3.0745580322828481E-3</v>
      </c>
      <c r="O112" s="6">
        <f t="shared" si="15"/>
        <v>6.7155607264881515E-3</v>
      </c>
      <c r="P112" s="6">
        <f t="shared" si="16"/>
        <v>5.7925627784947433E-4</v>
      </c>
      <c r="Q112" s="6">
        <f t="shared" si="17"/>
        <v>1.3087558336463412E-3</v>
      </c>
      <c r="X112" s="14">
        <f t="shared" si="18"/>
        <v>3.3871706698147793E-3</v>
      </c>
    </row>
    <row r="113" spans="1:24" x14ac:dyDescent="0.25">
      <c r="A113" s="1">
        <v>45455.705555555556</v>
      </c>
      <c r="B113" s="2">
        <v>116.52</v>
      </c>
      <c r="C113" s="2">
        <v>326</v>
      </c>
      <c r="D113" s="2">
        <v>13.21</v>
      </c>
      <c r="F113" s="2">
        <f t="shared" si="14"/>
        <v>-1.3211382113821113E-2</v>
      </c>
      <c r="G113" s="2">
        <f t="shared" si="19"/>
        <v>1.7097217022338684E-2</v>
      </c>
      <c r="H113" s="2">
        <f t="shared" si="20"/>
        <v>1.2260536398467359E-2</v>
      </c>
      <c r="O113" s="6">
        <f t="shared" si="15"/>
        <v>-1.3660611561335139E-2</v>
      </c>
      <c r="P113" s="6">
        <f t="shared" si="16"/>
        <v>1.605147330018817E-2</v>
      </c>
      <c r="Q113" s="6">
        <f t="shared" si="17"/>
        <v>1.0494734199830852E-2</v>
      </c>
      <c r="X113" s="14">
        <f t="shared" si="18"/>
        <v>1.8987562718613331E-3</v>
      </c>
    </row>
    <row r="114" spans="1:24" x14ac:dyDescent="0.25">
      <c r="A114" s="1">
        <v>45456.705555555556</v>
      </c>
      <c r="B114" s="2">
        <v>116.14</v>
      </c>
      <c r="C114" s="2">
        <v>324.7</v>
      </c>
      <c r="D114" s="2">
        <v>13</v>
      </c>
      <c r="F114" s="2">
        <f t="shared" si="14"/>
        <v>-3.2612427051149639E-3</v>
      </c>
      <c r="G114" s="2">
        <f t="shared" si="19"/>
        <v>-3.9877300613497813E-3</v>
      </c>
      <c r="H114" s="2">
        <f t="shared" si="20"/>
        <v>-1.5897047691143085E-2</v>
      </c>
      <c r="O114" s="6">
        <f t="shared" si="15"/>
        <v>-3.7104721526289904E-3</v>
      </c>
      <c r="P114" s="6">
        <f t="shared" si="16"/>
        <v>-5.0334737835002943E-3</v>
      </c>
      <c r="Q114" s="6">
        <f t="shared" si="17"/>
        <v>-1.7662849889779592E-2</v>
      </c>
      <c r="X114" s="14">
        <f t="shared" si="18"/>
        <v>-7.9445095355729252E-3</v>
      </c>
    </row>
    <row r="115" spans="1:24" x14ac:dyDescent="0.25">
      <c r="A115" s="1">
        <v>45457.705555555556</v>
      </c>
      <c r="B115" s="2">
        <v>116.23</v>
      </c>
      <c r="C115" s="2">
        <v>325.38</v>
      </c>
      <c r="D115" s="2">
        <v>13.19</v>
      </c>
      <c r="F115" s="2">
        <f t="shared" si="14"/>
        <v>7.7492681246771333E-4</v>
      </c>
      <c r="G115" s="2">
        <f t="shared" si="19"/>
        <v>2.0942408376962707E-3</v>
      </c>
      <c r="H115" s="2">
        <f t="shared" si="20"/>
        <v>1.4615384615384475E-2</v>
      </c>
      <c r="O115" s="6">
        <f t="shared" si="15"/>
        <v>3.2569736495368691E-4</v>
      </c>
      <c r="P115" s="6">
        <f t="shared" si="16"/>
        <v>1.0484971155457574E-3</v>
      </c>
      <c r="Q115" s="6">
        <f t="shared" si="17"/>
        <v>1.2849582416747968E-2</v>
      </c>
      <c r="X115" s="14">
        <f t="shared" si="18"/>
        <v>3.9867704529759568E-3</v>
      </c>
    </row>
    <row r="116" spans="1:24" x14ac:dyDescent="0.25">
      <c r="A116" s="1">
        <v>45460.705555555556</v>
      </c>
      <c r="B116" s="2">
        <v>115.74</v>
      </c>
      <c r="C116" s="2">
        <v>330.1</v>
      </c>
      <c r="D116" s="2">
        <v>13.21</v>
      </c>
      <c r="F116" s="2">
        <f t="shared" si="14"/>
        <v>-4.215779058762914E-3</v>
      </c>
      <c r="G116" s="2">
        <f t="shared" si="19"/>
        <v>1.4506115925994267E-2</v>
      </c>
      <c r="H116" s="2">
        <f t="shared" si="20"/>
        <v>1.5163002274451998E-3</v>
      </c>
      <c r="O116" s="6">
        <f t="shared" si="15"/>
        <v>-4.6650085062769405E-3</v>
      </c>
      <c r="P116" s="6">
        <f t="shared" si="16"/>
        <v>1.3460372203843754E-2</v>
      </c>
      <c r="Q116" s="6">
        <f t="shared" si="17"/>
        <v>-2.4950197119130713E-4</v>
      </c>
      <c r="X116" s="14">
        <f t="shared" si="18"/>
        <v>1.9886348082466883E-3</v>
      </c>
    </row>
    <row r="117" spans="1:24" x14ac:dyDescent="0.25">
      <c r="A117" s="1">
        <v>45461.705555555556</v>
      </c>
      <c r="B117" s="2">
        <v>116.22</v>
      </c>
      <c r="C117" s="2">
        <v>331.93</v>
      </c>
      <c r="D117" s="2">
        <v>13.3</v>
      </c>
      <c r="F117" s="2">
        <f t="shared" si="14"/>
        <v>4.147226542249971E-3</v>
      </c>
      <c r="G117" s="2">
        <f t="shared" si="19"/>
        <v>5.5437746137534383E-3</v>
      </c>
      <c r="H117" s="2">
        <f t="shared" si="20"/>
        <v>6.8130204390612903E-3</v>
      </c>
      <c r="O117" s="6">
        <f t="shared" si="15"/>
        <v>3.6979970947359445E-3</v>
      </c>
      <c r="P117" s="6">
        <f t="shared" si="16"/>
        <v>4.4980308916029253E-3</v>
      </c>
      <c r="Q117" s="6">
        <f t="shared" si="17"/>
        <v>5.0472182404247834E-3</v>
      </c>
      <c r="X117" s="14">
        <f t="shared" si="18"/>
        <v>4.3091297699765132E-3</v>
      </c>
    </row>
    <row r="118" spans="1:24" x14ac:dyDescent="0.25">
      <c r="A118" s="1">
        <v>45462.705555555556</v>
      </c>
      <c r="B118" s="2">
        <v>116.83</v>
      </c>
      <c r="C118" s="2">
        <v>332.75</v>
      </c>
      <c r="D118" s="2">
        <v>13.36</v>
      </c>
      <c r="F118" s="2">
        <f t="shared" si="14"/>
        <v>5.2486663224917685E-3</v>
      </c>
      <c r="G118" s="2">
        <f t="shared" si="19"/>
        <v>2.4704003856235168E-3</v>
      </c>
      <c r="H118" s="2">
        <f t="shared" si="20"/>
        <v>4.5112781954885772E-3</v>
      </c>
      <c r="O118" s="6">
        <f t="shared" si="15"/>
        <v>4.799436874977742E-3</v>
      </c>
      <c r="P118" s="6">
        <f t="shared" si="16"/>
        <v>1.4246566634730036E-3</v>
      </c>
      <c r="Q118" s="6">
        <f t="shared" si="17"/>
        <v>2.7454759968520703E-3</v>
      </c>
      <c r="X118" s="14">
        <f t="shared" si="18"/>
        <v>3.2218255624169023E-3</v>
      </c>
    </row>
    <row r="119" spans="1:24" x14ac:dyDescent="0.25">
      <c r="A119" s="1">
        <v>45463.705555555556</v>
      </c>
      <c r="B119" s="2">
        <v>117.02</v>
      </c>
      <c r="C119" s="2">
        <v>332.68</v>
      </c>
      <c r="D119" s="2">
        <v>13.54</v>
      </c>
      <c r="F119" s="2">
        <f t="shared" si="14"/>
        <v>1.6262946161087477E-3</v>
      </c>
      <c r="G119" s="2">
        <f t="shared" si="19"/>
        <v>-2.1036814425245964E-4</v>
      </c>
      <c r="H119" s="2">
        <f t="shared" si="20"/>
        <v>1.3473053892215647E-2</v>
      </c>
      <c r="O119" s="6">
        <f t="shared" si="15"/>
        <v>1.1770651685947212E-3</v>
      </c>
      <c r="P119" s="6">
        <f t="shared" si="16"/>
        <v>-1.2561118664029729E-3</v>
      </c>
      <c r="Q119" s="6">
        <f t="shared" si="17"/>
        <v>1.170725169357914E-2</v>
      </c>
      <c r="X119" s="14">
        <f t="shared" si="18"/>
        <v>3.3427614757668154E-3</v>
      </c>
    </row>
    <row r="120" spans="1:24" x14ac:dyDescent="0.25">
      <c r="A120" s="1">
        <v>45464.705555555556</v>
      </c>
      <c r="B120" s="2">
        <v>117.89</v>
      </c>
      <c r="C120" s="2">
        <v>330.85</v>
      </c>
      <c r="D120" s="2">
        <v>13.29</v>
      </c>
      <c r="F120" s="2">
        <f t="shared" si="14"/>
        <v>7.4346265595623962E-3</v>
      </c>
      <c r="G120" s="2">
        <f t="shared" si="19"/>
        <v>-5.5007815318023345E-3</v>
      </c>
      <c r="H120" s="2">
        <f t="shared" si="20"/>
        <v>-1.846381093057603E-2</v>
      </c>
      <c r="O120" s="6">
        <f t="shared" si="15"/>
        <v>6.9853971120483697E-3</v>
      </c>
      <c r="P120" s="6">
        <f t="shared" si="16"/>
        <v>-6.5465252539528476E-3</v>
      </c>
      <c r="Q120" s="6">
        <f t="shared" si="17"/>
        <v>-2.0229613129212537E-2</v>
      </c>
      <c r="X120" s="14">
        <f t="shared" si="18"/>
        <v>-4.5598078231006752E-3</v>
      </c>
    </row>
    <row r="121" spans="1:24" x14ac:dyDescent="0.25">
      <c r="A121" s="1">
        <v>45467.705555555556</v>
      </c>
      <c r="B121" s="2">
        <v>119.15</v>
      </c>
      <c r="C121" s="2">
        <v>327</v>
      </c>
      <c r="D121" s="2">
        <v>13.21</v>
      </c>
      <c r="F121" s="2">
        <f t="shared" si="14"/>
        <v>1.068792942573582E-2</v>
      </c>
      <c r="G121" s="2">
        <f t="shared" si="19"/>
        <v>-1.1636693365573603E-2</v>
      </c>
      <c r="H121" s="2">
        <f t="shared" si="20"/>
        <v>-6.0195635816402415E-3</v>
      </c>
      <c r="O121" s="6">
        <f t="shared" si="15"/>
        <v>1.0238699978221794E-2</v>
      </c>
      <c r="P121" s="6">
        <f t="shared" si="16"/>
        <v>-1.2682437087724116E-2</v>
      </c>
      <c r="Q121" s="6">
        <f t="shared" si="17"/>
        <v>-7.7853657802767484E-3</v>
      </c>
      <c r="X121" s="14">
        <f t="shared" si="18"/>
        <v>-1.5965860793789783E-3</v>
      </c>
    </row>
    <row r="122" spans="1:24" x14ac:dyDescent="0.25">
      <c r="A122" s="1">
        <v>45468.705555555556</v>
      </c>
      <c r="B122" s="2">
        <v>118.88</v>
      </c>
      <c r="C122" s="2">
        <v>332</v>
      </c>
      <c r="D122" s="2">
        <v>13.28</v>
      </c>
      <c r="F122" s="2">
        <f t="shared" si="14"/>
        <v>-2.2660511959715635E-3</v>
      </c>
      <c r="G122" s="2">
        <f t="shared" si="19"/>
        <v>1.5290519877675823E-2</v>
      </c>
      <c r="H122" s="2">
        <f t="shared" si="20"/>
        <v>5.2990158970476209E-3</v>
      </c>
      <c r="O122" s="6">
        <f t="shared" si="15"/>
        <v>-2.7152806434855899E-3</v>
      </c>
      <c r="P122" s="6">
        <f t="shared" si="16"/>
        <v>1.424477615552531E-2</v>
      </c>
      <c r="Q122" s="6">
        <f t="shared" si="17"/>
        <v>3.533213698411114E-3</v>
      </c>
      <c r="X122" s="14">
        <f t="shared" si="18"/>
        <v>4.0927398642702654E-3</v>
      </c>
    </row>
    <row r="123" spans="1:24" x14ac:dyDescent="0.25">
      <c r="A123" s="1">
        <v>45469.705555555556</v>
      </c>
      <c r="B123" s="2">
        <v>119.17</v>
      </c>
      <c r="C123" s="2">
        <v>336.16</v>
      </c>
      <c r="D123" s="2">
        <v>13.32</v>
      </c>
      <c r="F123" s="2">
        <f t="shared" si="14"/>
        <v>2.4394347240914716E-3</v>
      </c>
      <c r="G123" s="2">
        <f t="shared" si="19"/>
        <v>1.2530120481927698E-2</v>
      </c>
      <c r="H123" s="2">
        <f t="shared" si="20"/>
        <v>3.0120481927711218E-3</v>
      </c>
      <c r="O123" s="6">
        <f t="shared" si="15"/>
        <v>1.9902052765774451E-3</v>
      </c>
      <c r="P123" s="6">
        <f t="shared" si="16"/>
        <v>1.1484376759777185E-2</v>
      </c>
      <c r="Q123" s="6">
        <f t="shared" si="17"/>
        <v>1.2462459941346149E-3</v>
      </c>
      <c r="X123" s="14">
        <f t="shared" si="18"/>
        <v>4.6347689638520026E-3</v>
      </c>
    </row>
    <row r="124" spans="1:24" x14ac:dyDescent="0.25">
      <c r="A124" s="1">
        <v>45470.705555555556</v>
      </c>
      <c r="B124" s="2">
        <v>120.75</v>
      </c>
      <c r="C124" s="2">
        <v>336.25</v>
      </c>
      <c r="D124" s="2">
        <v>13.45</v>
      </c>
      <c r="F124" s="2">
        <f t="shared" si="14"/>
        <v>1.3258370395233587E-2</v>
      </c>
      <c r="G124" s="2">
        <f t="shared" si="19"/>
        <v>2.6772965254640013E-4</v>
      </c>
      <c r="H124" s="2">
        <f t="shared" si="20"/>
        <v>9.7597597597596231E-3</v>
      </c>
      <c r="O124" s="6">
        <f t="shared" si="15"/>
        <v>1.2809140947719561E-2</v>
      </c>
      <c r="P124" s="6">
        <f t="shared" si="16"/>
        <v>-7.780140696041131E-4</v>
      </c>
      <c r="Q124" s="6">
        <f t="shared" si="17"/>
        <v>7.9939575611231162E-3</v>
      </c>
      <c r="X124" s="14">
        <f t="shared" si="18"/>
        <v>7.407484570627571E-3</v>
      </c>
    </row>
    <row r="125" spans="1:24" x14ac:dyDescent="0.25">
      <c r="A125" s="1">
        <v>45471.705555555556</v>
      </c>
      <c r="B125" s="2">
        <v>120.41</v>
      </c>
      <c r="C125" s="2">
        <v>339.83</v>
      </c>
      <c r="D125" s="2">
        <v>13.65</v>
      </c>
      <c r="F125" s="2">
        <f t="shared" si="14"/>
        <v>-2.8157349896480444E-3</v>
      </c>
      <c r="G125" s="2">
        <f t="shared" si="19"/>
        <v>1.0646840148698766E-2</v>
      </c>
      <c r="H125" s="2">
        <f t="shared" si="20"/>
        <v>1.4869888475836479E-2</v>
      </c>
      <c r="O125" s="6">
        <f t="shared" si="15"/>
        <v>-3.2649644371620708E-3</v>
      </c>
      <c r="P125" s="6">
        <f t="shared" si="16"/>
        <v>9.6010964265482533E-3</v>
      </c>
      <c r="Q125" s="6">
        <f t="shared" si="17"/>
        <v>1.3104086277199972E-2</v>
      </c>
      <c r="X125" s="14">
        <f t="shared" si="18"/>
        <v>5.0976966691310211E-3</v>
      </c>
    </row>
    <row r="126" spans="1:24" x14ac:dyDescent="0.25">
      <c r="A126" s="1">
        <v>45474.705555555556</v>
      </c>
      <c r="B126" s="2">
        <v>121.2</v>
      </c>
      <c r="C126" s="2">
        <v>344.9</v>
      </c>
      <c r="D126" s="2">
        <v>13.84</v>
      </c>
      <c r="F126" s="2">
        <f t="shared" si="14"/>
        <v>6.5609168673699259E-3</v>
      </c>
      <c r="G126" s="2">
        <f t="shared" si="19"/>
        <v>1.491922431804138E-2</v>
      </c>
      <c r="H126" s="2">
        <f t="shared" si="20"/>
        <v>1.391941391941387E-2</v>
      </c>
      <c r="O126" s="6">
        <f t="shared" si="15"/>
        <v>6.1116874198558994E-3</v>
      </c>
      <c r="P126" s="6">
        <f t="shared" si="16"/>
        <v>1.3873480595890867E-2</v>
      </c>
      <c r="Q126" s="6">
        <f t="shared" si="17"/>
        <v>1.2153611720777363E-2</v>
      </c>
      <c r="X126" s="14">
        <f t="shared" si="18"/>
        <v>1.0102542028226453E-2</v>
      </c>
    </row>
    <row r="127" spans="1:24" x14ac:dyDescent="0.25">
      <c r="A127" s="1">
        <v>45475.705555555556</v>
      </c>
      <c r="B127" s="2">
        <v>121.28</v>
      </c>
      <c r="C127" s="2">
        <v>347.01</v>
      </c>
      <c r="D127" s="2">
        <v>13.86</v>
      </c>
      <c r="F127" s="2">
        <f t="shared" si="14"/>
        <v>6.6006600660073467E-4</v>
      </c>
      <c r="G127" s="2">
        <f t="shared" si="19"/>
        <v>6.1177152797913248E-3</v>
      </c>
      <c r="H127" s="2">
        <f t="shared" si="20"/>
        <v>1.4450867052022698E-3</v>
      </c>
      <c r="O127" s="6">
        <f t="shared" si="15"/>
        <v>2.1083655908670824E-4</v>
      </c>
      <c r="P127" s="6">
        <f t="shared" si="16"/>
        <v>5.0719715576408118E-3</v>
      </c>
      <c r="Q127" s="6">
        <f t="shared" si="17"/>
        <v>-3.2071549343423711E-4</v>
      </c>
      <c r="X127" s="14">
        <f t="shared" si="18"/>
        <v>1.5234604389687324E-3</v>
      </c>
    </row>
    <row r="128" spans="1:24" x14ac:dyDescent="0.25">
      <c r="A128" s="1">
        <v>45476.705555555556</v>
      </c>
      <c r="B128" s="2">
        <v>122.12</v>
      </c>
      <c r="C128" s="2">
        <v>342</v>
      </c>
      <c r="D128" s="2">
        <v>13.81</v>
      </c>
      <c r="F128" s="2">
        <f t="shared" si="14"/>
        <v>6.926121372031746E-3</v>
      </c>
      <c r="G128" s="2">
        <f t="shared" si="19"/>
        <v>-1.4437624275957406E-2</v>
      </c>
      <c r="H128" s="2">
        <f t="shared" si="20"/>
        <v>-3.6075036075035039E-3</v>
      </c>
      <c r="O128" s="6">
        <f t="shared" si="15"/>
        <v>6.4768919245177196E-3</v>
      </c>
      <c r="P128" s="6">
        <f t="shared" si="16"/>
        <v>-1.5483367998107919E-2</v>
      </c>
      <c r="Q128" s="6">
        <f t="shared" si="17"/>
        <v>-5.3733058061400107E-3</v>
      </c>
      <c r="X128" s="14">
        <f t="shared" si="18"/>
        <v>-3.3721783164007129E-3</v>
      </c>
    </row>
    <row r="129" spans="1:24" x14ac:dyDescent="0.25">
      <c r="A129" s="1">
        <v>45477.705555555556</v>
      </c>
      <c r="B129" s="2">
        <v>122.61</v>
      </c>
      <c r="C129" s="2">
        <v>337.92</v>
      </c>
      <c r="D129" s="2">
        <v>13.66</v>
      </c>
      <c r="F129" s="2">
        <f t="shared" si="14"/>
        <v>4.0124467736653013E-3</v>
      </c>
      <c r="G129" s="2">
        <f t="shared" si="19"/>
        <v>-1.1929824561403457E-2</v>
      </c>
      <c r="H129" s="2">
        <f t="shared" si="20"/>
        <v>-1.086169442433027E-2</v>
      </c>
      <c r="O129" s="6">
        <f t="shared" si="15"/>
        <v>3.5632173261512749E-3</v>
      </c>
      <c r="P129" s="6">
        <f t="shared" si="16"/>
        <v>-1.297556828355397E-2</v>
      </c>
      <c r="Q129" s="6">
        <f t="shared" si="17"/>
        <v>-1.2627496622966777E-2</v>
      </c>
      <c r="X129" s="14">
        <f t="shared" si="18"/>
        <v>-5.8525679904664982E-3</v>
      </c>
    </row>
    <row r="130" spans="1:24" x14ac:dyDescent="0.25">
      <c r="A130" s="1">
        <v>45478.705555555556</v>
      </c>
      <c r="B130" s="2">
        <v>122.72</v>
      </c>
      <c r="C130" s="2">
        <v>338.51</v>
      </c>
      <c r="D130" s="2">
        <v>13.7</v>
      </c>
      <c r="F130" s="2">
        <f t="shared" si="14"/>
        <v>8.9715357638042725E-4</v>
      </c>
      <c r="G130" s="2">
        <f t="shared" si="19"/>
        <v>1.7459753787878451E-3</v>
      </c>
      <c r="H130" s="2">
        <f t="shared" si="20"/>
        <v>2.9282576866762611E-3</v>
      </c>
      <c r="O130" s="6">
        <f t="shared" si="15"/>
        <v>4.4792412886640083E-4</v>
      </c>
      <c r="P130" s="6">
        <f t="shared" si="16"/>
        <v>7.0023165663733191E-4</v>
      </c>
      <c r="Q130" s="6">
        <f t="shared" si="17"/>
        <v>1.1624554880397542E-3</v>
      </c>
      <c r="X130" s="14">
        <f t="shared" si="18"/>
        <v>7.2014206986416415E-4</v>
      </c>
    </row>
    <row r="131" spans="1:24" x14ac:dyDescent="0.25">
      <c r="A131" s="1">
        <v>45481.705555555556</v>
      </c>
      <c r="B131" s="2">
        <v>122.99</v>
      </c>
      <c r="C131" s="2">
        <v>339.67</v>
      </c>
      <c r="D131" s="2">
        <v>13.58</v>
      </c>
      <c r="F131" s="2">
        <f t="shared" si="14"/>
        <v>2.2001303780965209E-3</v>
      </c>
      <c r="G131" s="2">
        <f t="shared" si="19"/>
        <v>3.4267820743849597E-3</v>
      </c>
      <c r="H131" s="2">
        <f t="shared" si="20"/>
        <v>-8.7591240875911636E-3</v>
      </c>
      <c r="O131" s="6">
        <f t="shared" si="15"/>
        <v>1.7509009305824944E-3</v>
      </c>
      <c r="P131" s="6">
        <f t="shared" si="16"/>
        <v>2.3810383522344467E-3</v>
      </c>
      <c r="Q131" s="6">
        <f t="shared" si="17"/>
        <v>-1.052492628622767E-2</v>
      </c>
      <c r="X131" s="14">
        <f t="shared" si="18"/>
        <v>-1.4359439937131494E-3</v>
      </c>
    </row>
    <row r="132" spans="1:24" x14ac:dyDescent="0.25">
      <c r="A132" s="1">
        <v>45482.705555555556</v>
      </c>
      <c r="B132" s="2">
        <v>123.53</v>
      </c>
      <c r="C132" s="2">
        <v>336.22</v>
      </c>
      <c r="D132" s="2">
        <v>13.46</v>
      </c>
      <c r="F132" s="2">
        <f t="shared" ref="F132:F195" si="21">(B132/B131)-1</f>
        <v>4.3906008618588288E-3</v>
      </c>
      <c r="G132" s="2">
        <f t="shared" si="19"/>
        <v>-1.0156917007683841E-2</v>
      </c>
      <c r="H132" s="2">
        <f t="shared" si="20"/>
        <v>-8.8365243004417948E-3</v>
      </c>
      <c r="O132" s="6">
        <f t="shared" ref="O132:O195" si="22">F132-$K$3</f>
        <v>3.9413714143448023E-3</v>
      </c>
      <c r="P132" s="6">
        <f t="shared" ref="P132:P195" si="23">G132-$L$3</f>
        <v>-1.1202660729834354E-2</v>
      </c>
      <c r="Q132" s="6">
        <f t="shared" ref="Q132:Q195" si="24">H132-$M$3</f>
        <v>-1.0602326499078302E-2</v>
      </c>
      <c r="X132" s="14">
        <f t="shared" ref="X132:X195" si="25">$T$47*O132+$T$48*P132+$T$49*Q132</f>
        <v>-4.6029126569094251E-3</v>
      </c>
    </row>
    <row r="133" spans="1:24" x14ac:dyDescent="0.25">
      <c r="A133" s="1">
        <v>45483.705555555556</v>
      </c>
      <c r="B133" s="2">
        <v>123.65</v>
      </c>
      <c r="C133" s="2">
        <v>339.65</v>
      </c>
      <c r="D133" s="2">
        <v>13.49</v>
      </c>
      <c r="F133" s="2">
        <f t="shared" si="21"/>
        <v>9.7142394560023604E-4</v>
      </c>
      <c r="G133" s="2">
        <f t="shared" si="19"/>
        <v>1.02016536791385E-2</v>
      </c>
      <c r="H133" s="2">
        <f t="shared" si="20"/>
        <v>2.2288261515601704E-3</v>
      </c>
      <c r="O133" s="6">
        <f t="shared" si="22"/>
        <v>5.2219449808620956E-4</v>
      </c>
      <c r="P133" s="6">
        <f t="shared" si="23"/>
        <v>9.1559099569879874E-3</v>
      </c>
      <c r="Q133" s="6">
        <f t="shared" si="24"/>
        <v>4.630239529236635E-4</v>
      </c>
      <c r="X133" s="14">
        <f t="shared" si="25"/>
        <v>3.09686133884107E-3</v>
      </c>
    </row>
    <row r="134" spans="1:24" x14ac:dyDescent="0.25">
      <c r="A134" s="1">
        <v>45484.705555555556</v>
      </c>
      <c r="B134" s="2">
        <v>124.67</v>
      </c>
      <c r="C134" s="2">
        <v>338.5</v>
      </c>
      <c r="D134" s="2">
        <v>13.8</v>
      </c>
      <c r="F134" s="2">
        <f t="shared" si="21"/>
        <v>8.249090173877871E-3</v>
      </c>
      <c r="G134" s="2">
        <f t="shared" si="19"/>
        <v>-3.3858383630206434E-3</v>
      </c>
      <c r="H134" s="2">
        <f t="shared" si="20"/>
        <v>2.2979985174203188E-2</v>
      </c>
      <c r="O134" s="6">
        <f t="shared" si="22"/>
        <v>7.7998607263638445E-3</v>
      </c>
      <c r="P134" s="6">
        <f t="shared" si="23"/>
        <v>-4.4315820851711565E-3</v>
      </c>
      <c r="Q134" s="6">
        <f t="shared" si="24"/>
        <v>2.1214182975566681E-2</v>
      </c>
      <c r="X134" s="14">
        <f t="shared" si="25"/>
        <v>7.8183008988247024E-3</v>
      </c>
    </row>
    <row r="135" spans="1:24" x14ac:dyDescent="0.25">
      <c r="A135" s="1">
        <v>45485.705555555556</v>
      </c>
      <c r="B135" s="2">
        <v>125.27</v>
      </c>
      <c r="C135" s="2">
        <v>339.87</v>
      </c>
      <c r="D135" s="2">
        <v>13.77</v>
      </c>
      <c r="F135" s="2">
        <f t="shared" si="21"/>
        <v>4.8127055426325782E-3</v>
      </c>
      <c r="G135" s="2">
        <f t="shared" si="19"/>
        <v>4.0472673559823757E-3</v>
      </c>
      <c r="H135" s="2">
        <f t="shared" si="20"/>
        <v>-2.1739130434783593E-3</v>
      </c>
      <c r="O135" s="6">
        <f t="shared" si="22"/>
        <v>4.3634760951185517E-3</v>
      </c>
      <c r="P135" s="6">
        <f t="shared" si="23"/>
        <v>3.0015236338318627E-3</v>
      </c>
      <c r="Q135" s="6">
        <f t="shared" si="24"/>
        <v>-3.9397152421148662E-3</v>
      </c>
      <c r="X135" s="14">
        <f t="shared" si="25"/>
        <v>1.6713191902579519E-3</v>
      </c>
    </row>
    <row r="136" spans="1:24" x14ac:dyDescent="0.25">
      <c r="A136" s="1">
        <v>45488.705555555556</v>
      </c>
      <c r="B136" s="2">
        <v>125.69</v>
      </c>
      <c r="C136" s="2">
        <v>341.44</v>
      </c>
      <c r="D136" s="2">
        <v>13.85</v>
      </c>
      <c r="F136" s="2">
        <f t="shared" si="21"/>
        <v>3.3527580426280235E-3</v>
      </c>
      <c r="G136" s="2">
        <f t="shared" si="19"/>
        <v>4.6194133050871944E-3</v>
      </c>
      <c r="H136" s="2">
        <f t="shared" si="20"/>
        <v>5.8097312999274564E-3</v>
      </c>
      <c r="O136" s="6">
        <f t="shared" si="22"/>
        <v>2.903528595113997E-3</v>
      </c>
      <c r="P136" s="6">
        <f t="shared" si="23"/>
        <v>3.5736695829366814E-3</v>
      </c>
      <c r="Q136" s="6">
        <f t="shared" si="24"/>
        <v>4.0439291012909495E-3</v>
      </c>
      <c r="X136" s="14">
        <f t="shared" si="25"/>
        <v>3.4182537500748009E-3</v>
      </c>
    </row>
    <row r="137" spans="1:24" x14ac:dyDescent="0.25">
      <c r="A137" s="1">
        <v>45489.705555555556</v>
      </c>
      <c r="B137" s="2">
        <v>125.49</v>
      </c>
      <c r="C137" s="2">
        <v>342.76</v>
      </c>
      <c r="D137" s="2">
        <v>14.1</v>
      </c>
      <c r="F137" s="2">
        <f t="shared" si="21"/>
        <v>-1.5912164850028221E-3</v>
      </c>
      <c r="G137" s="2">
        <f t="shared" si="19"/>
        <v>3.8659793814432852E-3</v>
      </c>
      <c r="H137" s="2">
        <f t="shared" si="20"/>
        <v>1.8050541516245522E-2</v>
      </c>
      <c r="O137" s="6">
        <f t="shared" si="22"/>
        <v>-2.0404459325168486E-3</v>
      </c>
      <c r="P137" s="6">
        <f t="shared" si="23"/>
        <v>2.8202356592927722E-3</v>
      </c>
      <c r="Q137" s="6">
        <f t="shared" si="24"/>
        <v>1.6284739317609015E-2</v>
      </c>
      <c r="X137" s="14">
        <f t="shared" si="25"/>
        <v>4.457788797237937E-3</v>
      </c>
    </row>
    <row r="138" spans="1:24" x14ac:dyDescent="0.25">
      <c r="A138" s="1">
        <v>45490.705555555556</v>
      </c>
      <c r="B138" s="2">
        <v>125.82</v>
      </c>
      <c r="C138" s="2">
        <v>341.3</v>
      </c>
      <c r="D138" s="2">
        <v>14.16</v>
      </c>
      <c r="F138" s="2">
        <f t="shared" si="21"/>
        <v>2.6296916088930367E-3</v>
      </c>
      <c r="G138" s="2">
        <f t="shared" si="19"/>
        <v>-4.2595402030575213E-3</v>
      </c>
      <c r="H138" s="2">
        <f t="shared" si="20"/>
        <v>4.2553191489362874E-3</v>
      </c>
      <c r="O138" s="6">
        <f t="shared" si="22"/>
        <v>2.1804621613790102E-3</v>
      </c>
      <c r="P138" s="6">
        <f t="shared" si="23"/>
        <v>-5.3052839252080344E-3</v>
      </c>
      <c r="Q138" s="6">
        <f t="shared" si="24"/>
        <v>2.4895169502997805E-3</v>
      </c>
      <c r="X138" s="14">
        <f t="shared" si="25"/>
        <v>1.9015845479157653E-5</v>
      </c>
    </row>
    <row r="139" spans="1:24" x14ac:dyDescent="0.25">
      <c r="A139" s="1">
        <v>45491.705555555556</v>
      </c>
      <c r="B139" s="2">
        <v>124.1</v>
      </c>
      <c r="C139" s="2">
        <v>344.9</v>
      </c>
      <c r="D139" s="2">
        <v>14.32</v>
      </c>
      <c r="F139" s="2">
        <f t="shared" si="21"/>
        <v>-1.3670322683198233E-2</v>
      </c>
      <c r="G139" s="2">
        <f t="shared" si="19"/>
        <v>1.0547905068854391E-2</v>
      </c>
      <c r="H139" s="2">
        <f t="shared" si="20"/>
        <v>1.1299435028248705E-2</v>
      </c>
      <c r="O139" s="6">
        <f t="shared" si="22"/>
        <v>-1.4119552130712259E-2</v>
      </c>
      <c r="P139" s="6">
        <f t="shared" si="23"/>
        <v>9.5021613467038777E-3</v>
      </c>
      <c r="Q139" s="6">
        <f t="shared" si="24"/>
        <v>9.5336328296121986E-3</v>
      </c>
      <c r="X139" s="14">
        <f t="shared" si="25"/>
        <v>-5.2597542745357181E-4</v>
      </c>
    </row>
    <row r="140" spans="1:24" x14ac:dyDescent="0.25">
      <c r="A140" s="1">
        <v>45492.705555555556</v>
      </c>
      <c r="B140" s="2">
        <v>124.04</v>
      </c>
      <c r="C140" s="2">
        <v>343.76</v>
      </c>
      <c r="D140" s="2">
        <v>14.13</v>
      </c>
      <c r="F140" s="2">
        <f t="shared" si="21"/>
        <v>-4.8348106365825316E-4</v>
      </c>
      <c r="G140" s="2">
        <f t="shared" si="19"/>
        <v>-3.3053058857639428E-3</v>
      </c>
      <c r="H140" s="2">
        <f t="shared" si="20"/>
        <v>-1.3268156424581012E-2</v>
      </c>
      <c r="O140" s="6">
        <f t="shared" si="22"/>
        <v>-9.3271051117227964E-4</v>
      </c>
      <c r="P140" s="6">
        <f t="shared" si="23"/>
        <v>-4.3510496079144558E-3</v>
      </c>
      <c r="Q140" s="6">
        <f t="shared" si="24"/>
        <v>-1.5033958623217519E-2</v>
      </c>
      <c r="X140" s="14">
        <f t="shared" si="25"/>
        <v>-5.8364897384158357E-3</v>
      </c>
    </row>
    <row r="141" spans="1:24" x14ac:dyDescent="0.25">
      <c r="A141" s="1">
        <v>45495.705555555556</v>
      </c>
      <c r="B141" s="2">
        <v>124.27</v>
      </c>
      <c r="C141" s="2">
        <v>345.27</v>
      </c>
      <c r="D141" s="2">
        <v>14.05</v>
      </c>
      <c r="F141" s="2">
        <f t="shared" si="21"/>
        <v>1.8542405675587847E-3</v>
      </c>
      <c r="G141" s="2">
        <f t="shared" si="19"/>
        <v>4.3925994880149588E-3</v>
      </c>
      <c r="H141" s="2">
        <f t="shared" si="20"/>
        <v>-5.6617126680821306E-3</v>
      </c>
      <c r="O141" s="6">
        <f t="shared" si="22"/>
        <v>1.4050111200447583E-3</v>
      </c>
      <c r="P141" s="6">
        <f t="shared" si="23"/>
        <v>3.3468557658644458E-3</v>
      </c>
      <c r="Q141" s="6">
        <f t="shared" si="24"/>
        <v>-7.4275148667186375E-3</v>
      </c>
      <c r="X141" s="14">
        <f t="shared" si="25"/>
        <v>-4.4126220177098619E-4</v>
      </c>
    </row>
    <row r="142" spans="1:24" x14ac:dyDescent="0.25">
      <c r="A142" s="1">
        <v>45496.705555555556</v>
      </c>
      <c r="B142" s="2">
        <v>123.06</v>
      </c>
      <c r="C142" s="2">
        <v>345.5</v>
      </c>
      <c r="D142" s="2">
        <v>14.13</v>
      </c>
      <c r="F142" s="2">
        <f t="shared" si="21"/>
        <v>-9.7368632815643119E-3</v>
      </c>
      <c r="G142" s="2">
        <f t="shared" si="19"/>
        <v>6.6614533553455146E-4</v>
      </c>
      <c r="H142" s="2">
        <f t="shared" si="20"/>
        <v>5.693950177936058E-3</v>
      </c>
      <c r="O142" s="6">
        <f t="shared" si="22"/>
        <v>-1.0186092729078338E-2</v>
      </c>
      <c r="P142" s="6">
        <f t="shared" si="23"/>
        <v>-3.7959838661596177E-4</v>
      </c>
      <c r="Q142" s="6">
        <f t="shared" si="24"/>
        <v>3.9281479792995511E-3</v>
      </c>
      <c r="X142" s="14">
        <f t="shared" si="25"/>
        <v>-3.3616837696875098E-3</v>
      </c>
    </row>
    <row r="143" spans="1:24" x14ac:dyDescent="0.25">
      <c r="A143" s="1">
        <v>45497.705555555556</v>
      </c>
      <c r="B143" s="2">
        <v>122.88</v>
      </c>
      <c r="C143" s="2">
        <v>342.5</v>
      </c>
      <c r="D143" s="2">
        <v>14.25</v>
      </c>
      <c r="F143" s="2">
        <f t="shared" si="21"/>
        <v>-1.4627011214042307E-3</v>
      </c>
      <c r="G143" s="2">
        <f t="shared" si="19"/>
        <v>-8.6830680173661801E-3</v>
      </c>
      <c r="H143" s="2">
        <f t="shared" si="20"/>
        <v>8.4925690021231404E-3</v>
      </c>
      <c r="O143" s="6">
        <f t="shared" si="22"/>
        <v>-1.9119305689182572E-3</v>
      </c>
      <c r="P143" s="6">
        <f t="shared" si="23"/>
        <v>-9.7288117395166931E-3</v>
      </c>
      <c r="Q143" s="6">
        <f t="shared" si="24"/>
        <v>6.7267668034866335E-3</v>
      </c>
      <c r="X143" s="14">
        <f t="shared" si="25"/>
        <v>-1.88203364543976E-3</v>
      </c>
    </row>
    <row r="144" spans="1:24" x14ac:dyDescent="0.25">
      <c r="A144" s="1">
        <v>45498.705555555556</v>
      </c>
      <c r="B144" s="2">
        <v>122.42</v>
      </c>
      <c r="C144" s="2">
        <v>339.9</v>
      </c>
      <c r="D144" s="2">
        <v>14.06</v>
      </c>
      <c r="F144" s="2">
        <f t="shared" si="21"/>
        <v>-3.7434895833332593E-3</v>
      </c>
      <c r="G144" s="2">
        <f t="shared" si="19"/>
        <v>-7.5912408759124528E-3</v>
      </c>
      <c r="H144" s="2">
        <f t="shared" si="20"/>
        <v>-1.3333333333333308E-2</v>
      </c>
      <c r="O144" s="6">
        <f t="shared" si="22"/>
        <v>-4.1927190308472858E-3</v>
      </c>
      <c r="P144" s="6">
        <f t="shared" si="23"/>
        <v>-8.6369845980629658E-3</v>
      </c>
      <c r="Q144" s="6">
        <f t="shared" si="24"/>
        <v>-1.5099135531969815E-2</v>
      </c>
      <c r="X144" s="14">
        <f t="shared" si="25"/>
        <v>-8.5257710624131663E-3</v>
      </c>
    </row>
    <row r="145" spans="1:24" x14ac:dyDescent="0.25">
      <c r="A145" s="1">
        <v>45499.705555555556</v>
      </c>
      <c r="B145" s="2">
        <v>123.89</v>
      </c>
      <c r="C145" s="2">
        <v>343.9</v>
      </c>
      <c r="D145" s="2">
        <v>14.18</v>
      </c>
      <c r="F145" s="2">
        <f t="shared" si="21"/>
        <v>1.2007841855905976E-2</v>
      </c>
      <c r="G145" s="2">
        <f t="shared" si="19"/>
        <v>1.1768167107973015E-2</v>
      </c>
      <c r="H145" s="2">
        <f t="shared" si="20"/>
        <v>8.5348506401137225E-3</v>
      </c>
      <c r="O145" s="6">
        <f t="shared" si="22"/>
        <v>1.155861240839195E-2</v>
      </c>
      <c r="P145" s="6">
        <f t="shared" si="23"/>
        <v>1.0722423385822502E-2</v>
      </c>
      <c r="Q145" s="6">
        <f t="shared" si="24"/>
        <v>6.7690484414772156E-3</v>
      </c>
      <c r="X145" s="14">
        <f t="shared" si="25"/>
        <v>9.9905091357181553E-3</v>
      </c>
    </row>
    <row r="146" spans="1:24" x14ac:dyDescent="0.25">
      <c r="A146" s="1">
        <v>45502.705555555556</v>
      </c>
      <c r="B146" s="2">
        <v>123.4</v>
      </c>
      <c r="C146" s="2">
        <v>342.25</v>
      </c>
      <c r="D146" s="2">
        <v>14.09</v>
      </c>
      <c r="F146" s="2">
        <f t="shared" si="21"/>
        <v>-3.9551214787311162E-3</v>
      </c>
      <c r="G146" s="2">
        <f t="shared" si="19"/>
        <v>-4.7979063681301559E-3</v>
      </c>
      <c r="H146" s="2">
        <f t="shared" si="20"/>
        <v>-6.3469675599435726E-3</v>
      </c>
      <c r="O146" s="6">
        <f t="shared" si="22"/>
        <v>-4.4043509262451427E-3</v>
      </c>
      <c r="P146" s="6">
        <f t="shared" si="23"/>
        <v>-5.8436500902806689E-3</v>
      </c>
      <c r="Q146" s="6">
        <f t="shared" si="24"/>
        <v>-8.1127697585800795E-3</v>
      </c>
      <c r="X146" s="14">
        <f t="shared" si="25"/>
        <v>-5.8561216636548201E-3</v>
      </c>
    </row>
    <row r="147" spans="1:24" x14ac:dyDescent="0.25">
      <c r="A147" s="1">
        <v>45503.705555555556</v>
      </c>
      <c r="B147" s="2">
        <v>122.63</v>
      </c>
      <c r="C147" s="2">
        <v>339.5</v>
      </c>
      <c r="D147" s="2">
        <v>14.22</v>
      </c>
      <c r="F147" s="2">
        <f t="shared" si="21"/>
        <v>-6.239870340356668E-3</v>
      </c>
      <c r="G147" s="2">
        <f t="shared" ref="G147:G210" si="26">(C147/C146)-1</f>
        <v>-8.0350620891161961E-3</v>
      </c>
      <c r="H147" s="2">
        <f t="shared" ref="H147:H210" si="27">(D147/D146)-1</f>
        <v>9.2264017033356627E-3</v>
      </c>
      <c r="O147" s="6">
        <f t="shared" si="22"/>
        <v>-6.6890997878706945E-3</v>
      </c>
      <c r="P147" s="6">
        <f t="shared" si="23"/>
        <v>-9.0808058112667091E-3</v>
      </c>
      <c r="Q147" s="6">
        <f t="shared" si="24"/>
        <v>7.4605995046991558E-3</v>
      </c>
      <c r="X147" s="14">
        <f t="shared" si="25"/>
        <v>-3.5155645348395447E-3</v>
      </c>
    </row>
    <row r="148" spans="1:24" x14ac:dyDescent="0.25">
      <c r="A148" s="1">
        <v>45504.705555555556</v>
      </c>
      <c r="B148" s="2">
        <v>124.05</v>
      </c>
      <c r="C148" s="2">
        <v>347.7</v>
      </c>
      <c r="D148" s="2">
        <v>14.56</v>
      </c>
      <c r="F148" s="2">
        <f t="shared" si="21"/>
        <v>1.1579548234526671E-2</v>
      </c>
      <c r="G148" s="2">
        <f t="shared" si="26"/>
        <v>2.4153166421207573E-2</v>
      </c>
      <c r="H148" s="2">
        <f t="shared" si="27"/>
        <v>2.3909985935302469E-2</v>
      </c>
      <c r="O148" s="6">
        <f t="shared" si="22"/>
        <v>1.1130318787012644E-2</v>
      </c>
      <c r="P148" s="6">
        <f t="shared" si="23"/>
        <v>2.3107422699057058E-2</v>
      </c>
      <c r="Q148" s="6">
        <f t="shared" si="24"/>
        <v>2.2144183736665962E-2</v>
      </c>
      <c r="X148" s="14">
        <f t="shared" si="25"/>
        <v>1.7753490883860218E-2</v>
      </c>
    </row>
    <row r="149" spans="1:24" x14ac:dyDescent="0.25">
      <c r="A149" s="1">
        <v>45505.705555555556</v>
      </c>
      <c r="B149" s="2">
        <v>123.93</v>
      </c>
      <c r="C149" s="2">
        <v>347.5</v>
      </c>
      <c r="D149" s="2">
        <v>14.75</v>
      </c>
      <c r="F149" s="2">
        <f t="shared" si="21"/>
        <v>-9.6735187424412672E-4</v>
      </c>
      <c r="G149" s="2">
        <f t="shared" si="26"/>
        <v>-5.7520851308601184E-4</v>
      </c>
      <c r="H149" s="2">
        <f t="shared" si="27"/>
        <v>1.3049450549450503E-2</v>
      </c>
      <c r="O149" s="6">
        <f t="shared" si="22"/>
        <v>-1.4165813217581532E-3</v>
      </c>
      <c r="P149" s="6">
        <f t="shared" si="23"/>
        <v>-1.6209522352365251E-3</v>
      </c>
      <c r="Q149" s="6">
        <f t="shared" si="24"/>
        <v>1.1283648350813996E-2</v>
      </c>
      <c r="X149" s="14">
        <f t="shared" si="25"/>
        <v>2.0147481372717376E-3</v>
      </c>
    </row>
    <row r="150" spans="1:24" x14ac:dyDescent="0.25">
      <c r="A150" s="1">
        <v>45506.705555555556</v>
      </c>
      <c r="B150" s="2">
        <v>122.35</v>
      </c>
      <c r="C150" s="2">
        <v>339.73</v>
      </c>
      <c r="D150" s="2">
        <v>14.63</v>
      </c>
      <c r="F150" s="2">
        <f t="shared" si="21"/>
        <v>-1.2749132574840782E-2</v>
      </c>
      <c r="G150" s="2">
        <f t="shared" si="26"/>
        <v>-2.2359712230215822E-2</v>
      </c>
      <c r="H150" s="2">
        <f t="shared" si="27"/>
        <v>-8.1355932203389658E-3</v>
      </c>
      <c r="O150" s="6">
        <f t="shared" si="22"/>
        <v>-1.3198362022354809E-2</v>
      </c>
      <c r="P150" s="6">
        <f t="shared" si="23"/>
        <v>-2.3405455952366337E-2</v>
      </c>
      <c r="Q150" s="6">
        <f t="shared" si="24"/>
        <v>-9.9013954189754727E-3</v>
      </c>
      <c r="X150" s="14">
        <f t="shared" si="25"/>
        <v>-1.5354774000078973E-2</v>
      </c>
    </row>
    <row r="151" spans="1:24" x14ac:dyDescent="0.25">
      <c r="A151" s="1">
        <v>45509.705555555556</v>
      </c>
      <c r="B151" s="2">
        <v>121.68</v>
      </c>
      <c r="C151" s="2">
        <v>332</v>
      </c>
      <c r="D151" s="2">
        <v>14.52</v>
      </c>
      <c r="F151" s="2">
        <f t="shared" si="21"/>
        <v>-5.4760931753166098E-3</v>
      </c>
      <c r="G151" s="2">
        <f t="shared" si="26"/>
        <v>-2.2753362964707313E-2</v>
      </c>
      <c r="H151" s="2">
        <f t="shared" si="27"/>
        <v>-7.5187969924812581E-3</v>
      </c>
      <c r="O151" s="6">
        <f t="shared" si="22"/>
        <v>-5.9253226228306363E-3</v>
      </c>
      <c r="P151" s="6">
        <f t="shared" si="23"/>
        <v>-2.3799106686857828E-2</v>
      </c>
      <c r="Q151" s="6">
        <f t="shared" si="24"/>
        <v>-9.284599191117765E-3</v>
      </c>
      <c r="X151" s="14">
        <f t="shared" si="25"/>
        <v>-1.2212991599419572E-2</v>
      </c>
    </row>
    <row r="152" spans="1:24" x14ac:dyDescent="0.25">
      <c r="A152" s="1">
        <v>45510.705555555556</v>
      </c>
      <c r="B152" s="2">
        <v>122.79</v>
      </c>
      <c r="C152" s="2">
        <v>329.72</v>
      </c>
      <c r="D152" s="2">
        <v>14.21</v>
      </c>
      <c r="F152" s="2">
        <f t="shared" si="21"/>
        <v>9.1222879684418334E-3</v>
      </c>
      <c r="G152" s="2">
        <f t="shared" si="26"/>
        <v>-6.8674698795180289E-3</v>
      </c>
      <c r="H152" s="2">
        <f t="shared" si="27"/>
        <v>-2.1349862258953078E-2</v>
      </c>
      <c r="O152" s="6">
        <f t="shared" si="22"/>
        <v>8.6730585209278069E-3</v>
      </c>
      <c r="P152" s="6">
        <f t="shared" si="23"/>
        <v>-7.9132136016685419E-3</v>
      </c>
      <c r="Q152" s="6">
        <f t="shared" si="24"/>
        <v>-2.3115664457589585E-2</v>
      </c>
      <c r="X152" s="14">
        <f t="shared" si="25"/>
        <v>-5.0465490122738018E-3</v>
      </c>
    </row>
    <row r="153" spans="1:24" x14ac:dyDescent="0.25">
      <c r="A153" s="1">
        <v>45511.705555555556</v>
      </c>
      <c r="B153" s="2">
        <v>124</v>
      </c>
      <c r="C153" s="2">
        <v>325.81</v>
      </c>
      <c r="D153" s="2">
        <v>14.1</v>
      </c>
      <c r="F153" s="2">
        <f t="shared" si="21"/>
        <v>9.8542226565681013E-3</v>
      </c>
      <c r="G153" s="2">
        <f t="shared" si="26"/>
        <v>-1.185854664563879E-2</v>
      </c>
      <c r="H153" s="2">
        <f t="shared" si="27"/>
        <v>-7.7410274454610128E-3</v>
      </c>
      <c r="O153" s="6">
        <f t="shared" si="22"/>
        <v>9.4049932090540748E-3</v>
      </c>
      <c r="P153" s="6">
        <f t="shared" si="23"/>
        <v>-1.2904290367789303E-2</v>
      </c>
      <c r="Q153" s="6">
        <f t="shared" si="24"/>
        <v>-9.5068296440975197E-3</v>
      </c>
      <c r="X153" s="14">
        <f t="shared" si="25"/>
        <v>-2.4908183550913536E-3</v>
      </c>
    </row>
    <row r="154" spans="1:24" x14ac:dyDescent="0.25">
      <c r="A154" s="1">
        <v>45512.705555555556</v>
      </c>
      <c r="B154" s="2">
        <v>125.12</v>
      </c>
      <c r="C154" s="2">
        <v>330.72</v>
      </c>
      <c r="D154" s="2">
        <v>14.2</v>
      </c>
      <c r="F154" s="2">
        <f t="shared" si="21"/>
        <v>9.0322580645161299E-3</v>
      </c>
      <c r="G154" s="2">
        <f t="shared" si="26"/>
        <v>1.5070132899542843E-2</v>
      </c>
      <c r="H154" s="2">
        <f t="shared" si="27"/>
        <v>7.0921985815601829E-3</v>
      </c>
      <c r="O154" s="6">
        <f t="shared" si="22"/>
        <v>8.5830286170021034E-3</v>
      </c>
      <c r="P154" s="6">
        <f t="shared" si="23"/>
        <v>1.402438917739233E-2</v>
      </c>
      <c r="Q154" s="6">
        <f t="shared" si="24"/>
        <v>5.326396382923676E-3</v>
      </c>
      <c r="X154" s="14">
        <f t="shared" si="25"/>
        <v>9.3203576966001088E-3</v>
      </c>
    </row>
    <row r="155" spans="1:24" x14ac:dyDescent="0.25">
      <c r="A155" s="1">
        <v>45513.705555555556</v>
      </c>
      <c r="B155" s="2">
        <v>127.01</v>
      </c>
      <c r="C155" s="2">
        <v>327.9</v>
      </c>
      <c r="D155" s="2">
        <v>14.08</v>
      </c>
      <c r="F155" s="2">
        <f t="shared" si="21"/>
        <v>1.5105498721227573E-2</v>
      </c>
      <c r="G155" s="2">
        <f t="shared" si="26"/>
        <v>-8.5268505079827417E-3</v>
      </c>
      <c r="H155" s="2">
        <f t="shared" si="27"/>
        <v>-8.4507042253521014E-3</v>
      </c>
      <c r="O155" s="6">
        <f t="shared" si="22"/>
        <v>1.4656269273713546E-2</v>
      </c>
      <c r="P155" s="6">
        <f t="shared" si="23"/>
        <v>-9.5725942301332547E-3</v>
      </c>
      <c r="Q155" s="6">
        <f t="shared" si="24"/>
        <v>-1.0216506423988608E-2</v>
      </c>
      <c r="X155" s="14">
        <f t="shared" si="25"/>
        <v>5.4509280082986082E-4</v>
      </c>
    </row>
    <row r="156" spans="1:24" x14ac:dyDescent="0.25">
      <c r="A156" s="1">
        <v>45516.705555555556</v>
      </c>
      <c r="B156" s="2">
        <v>127.53</v>
      </c>
      <c r="C156" s="2">
        <v>327.45</v>
      </c>
      <c r="D156" s="2">
        <v>14.28</v>
      </c>
      <c r="F156" s="2">
        <f t="shared" si="21"/>
        <v>4.0941658137154668E-3</v>
      </c>
      <c r="G156" s="2">
        <f t="shared" si="26"/>
        <v>-1.3723696248856276E-3</v>
      </c>
      <c r="H156" s="2">
        <f t="shared" si="27"/>
        <v>1.4204545454545414E-2</v>
      </c>
      <c r="O156" s="6">
        <f t="shared" si="22"/>
        <v>3.6449363662014404E-3</v>
      </c>
      <c r="P156" s="6">
        <f t="shared" si="23"/>
        <v>-2.4181133470361407E-3</v>
      </c>
      <c r="Q156" s="6">
        <f t="shared" si="24"/>
        <v>1.2438743255908907E-2</v>
      </c>
      <c r="X156" s="14">
        <f t="shared" si="25"/>
        <v>4.2438065280569447E-3</v>
      </c>
    </row>
    <row r="157" spans="1:24" x14ac:dyDescent="0.25">
      <c r="A157" s="1">
        <v>45517.705555555556</v>
      </c>
      <c r="B157" s="2">
        <v>128.76</v>
      </c>
      <c r="C157" s="2">
        <v>329.9</v>
      </c>
      <c r="D157" s="2">
        <v>14.13</v>
      </c>
      <c r="F157" s="2">
        <f t="shared" si="21"/>
        <v>9.6447894613032048E-3</v>
      </c>
      <c r="G157" s="2">
        <f t="shared" si="26"/>
        <v>7.4820583295158727E-3</v>
      </c>
      <c r="H157" s="2">
        <f t="shared" si="27"/>
        <v>-1.0504201680672121E-2</v>
      </c>
      <c r="O157" s="6">
        <f t="shared" si="22"/>
        <v>9.1955600137891783E-3</v>
      </c>
      <c r="P157" s="6">
        <f t="shared" si="23"/>
        <v>6.4363146073653597E-3</v>
      </c>
      <c r="Q157" s="6">
        <f t="shared" si="24"/>
        <v>-1.2270003879308627E-2</v>
      </c>
      <c r="X157" s="14">
        <f t="shared" si="25"/>
        <v>2.4643287009052622E-3</v>
      </c>
    </row>
    <row r="158" spans="1:24" x14ac:dyDescent="0.25">
      <c r="A158" s="1">
        <v>45518.705555555556</v>
      </c>
      <c r="B158" s="2">
        <v>129.66</v>
      </c>
      <c r="C158" s="2">
        <v>332.49</v>
      </c>
      <c r="D158" s="2">
        <v>14.05</v>
      </c>
      <c r="F158" s="2">
        <f t="shared" si="21"/>
        <v>6.9897483690588569E-3</v>
      </c>
      <c r="G158" s="2">
        <f t="shared" si="26"/>
        <v>7.8508638981511503E-3</v>
      </c>
      <c r="H158" s="2">
        <f t="shared" si="27"/>
        <v>-5.6617126680821306E-3</v>
      </c>
      <c r="O158" s="6">
        <f t="shared" si="22"/>
        <v>6.5405189215448304E-3</v>
      </c>
      <c r="P158" s="6">
        <f t="shared" si="23"/>
        <v>6.8051201760006372E-3</v>
      </c>
      <c r="Q158" s="6">
        <f t="shared" si="24"/>
        <v>-7.4275148667186375E-3</v>
      </c>
      <c r="X158" s="14">
        <f t="shared" si="25"/>
        <v>2.7786084930633325E-3</v>
      </c>
    </row>
    <row r="159" spans="1:24" x14ac:dyDescent="0.25">
      <c r="A159" s="1">
        <v>45519.705555555556</v>
      </c>
      <c r="B159" s="2">
        <v>130.47</v>
      </c>
      <c r="C159" s="2">
        <v>338.84</v>
      </c>
      <c r="D159" s="2">
        <v>14.15</v>
      </c>
      <c r="F159" s="2">
        <f t="shared" si="21"/>
        <v>6.2471078204535679E-3</v>
      </c>
      <c r="G159" s="2">
        <f t="shared" si="26"/>
        <v>1.9098318746428422E-2</v>
      </c>
      <c r="H159" s="2">
        <f t="shared" si="27"/>
        <v>7.1174377224199059E-3</v>
      </c>
      <c r="O159" s="6">
        <f t="shared" si="22"/>
        <v>5.7978783729395415E-3</v>
      </c>
      <c r="P159" s="6">
        <f t="shared" si="23"/>
        <v>1.8052575024277907E-2</v>
      </c>
      <c r="Q159" s="6">
        <f t="shared" si="24"/>
        <v>5.351635523783399E-3</v>
      </c>
      <c r="X159" s="14">
        <f t="shared" si="25"/>
        <v>9.3527375473207996E-3</v>
      </c>
    </row>
    <row r="160" spans="1:24" x14ac:dyDescent="0.25">
      <c r="A160" s="1">
        <v>45520.705555555556</v>
      </c>
      <c r="B160" s="2">
        <v>130.30000000000001</v>
      </c>
      <c r="C160" s="2">
        <v>338.35</v>
      </c>
      <c r="D160" s="2">
        <v>14.43</v>
      </c>
      <c r="F160" s="2">
        <f t="shared" si="21"/>
        <v>-1.3029815283206458E-3</v>
      </c>
      <c r="G160" s="2">
        <f t="shared" si="26"/>
        <v>-1.4461102585289209E-3</v>
      </c>
      <c r="H160" s="2">
        <f t="shared" si="27"/>
        <v>1.9787985865724389E-2</v>
      </c>
      <c r="O160" s="6">
        <f t="shared" si="22"/>
        <v>-1.7522109758346723E-3</v>
      </c>
      <c r="P160" s="6">
        <f t="shared" si="23"/>
        <v>-2.491853980679434E-3</v>
      </c>
      <c r="Q160" s="6">
        <f t="shared" si="24"/>
        <v>1.8022183667087882E-2</v>
      </c>
      <c r="X160" s="14">
        <f t="shared" si="25"/>
        <v>3.4639351828902242E-3</v>
      </c>
    </row>
    <row r="161" spans="1:24" x14ac:dyDescent="0.25">
      <c r="A161" s="1">
        <v>45523.705555555556</v>
      </c>
      <c r="B161" s="2">
        <v>132.03</v>
      </c>
      <c r="C161" s="2">
        <v>338.08</v>
      </c>
      <c r="D161" s="2">
        <v>14.25</v>
      </c>
      <c r="F161" s="2">
        <f t="shared" si="21"/>
        <v>1.3277052954719704E-2</v>
      </c>
      <c r="G161" s="2">
        <f t="shared" si="26"/>
        <v>-7.9799024678595121E-4</v>
      </c>
      <c r="H161" s="2">
        <f t="shared" si="27"/>
        <v>-1.2474012474012475E-2</v>
      </c>
      <c r="O161" s="6">
        <f t="shared" si="22"/>
        <v>1.2827823507205677E-2</v>
      </c>
      <c r="P161" s="6">
        <f t="shared" si="23"/>
        <v>-1.8437339689364644E-3</v>
      </c>
      <c r="Q161" s="6">
        <f t="shared" si="24"/>
        <v>-1.4239814672648982E-2</v>
      </c>
      <c r="X161" s="14">
        <f t="shared" si="25"/>
        <v>9.8114764269608551E-4</v>
      </c>
    </row>
    <row r="162" spans="1:24" x14ac:dyDescent="0.25">
      <c r="A162" s="1">
        <v>45524.705555555556</v>
      </c>
      <c r="B162" s="2">
        <v>132.37</v>
      </c>
      <c r="C162" s="2">
        <v>342.17</v>
      </c>
      <c r="D162" s="2">
        <v>14.47</v>
      </c>
      <c r="F162" s="2">
        <f t="shared" si="21"/>
        <v>2.5751723093236922E-3</v>
      </c>
      <c r="G162" s="2">
        <f t="shared" si="26"/>
        <v>1.2097728348320125E-2</v>
      </c>
      <c r="H162" s="2">
        <f t="shared" si="27"/>
        <v>1.5438596491228029E-2</v>
      </c>
      <c r="O162" s="6">
        <f t="shared" si="22"/>
        <v>2.1259428618096658E-3</v>
      </c>
      <c r="P162" s="6">
        <f t="shared" si="23"/>
        <v>1.1051984626169612E-2</v>
      </c>
      <c r="Q162" s="6">
        <f t="shared" si="24"/>
        <v>1.3672794292591522E-2</v>
      </c>
      <c r="X162" s="14">
        <f t="shared" si="25"/>
        <v>7.9800802822749053E-3</v>
      </c>
    </row>
    <row r="163" spans="1:24" x14ac:dyDescent="0.25">
      <c r="A163" s="1">
        <v>45525.705555555556</v>
      </c>
      <c r="B163" s="2">
        <v>132.71</v>
      </c>
      <c r="C163" s="2">
        <v>343.25</v>
      </c>
      <c r="D163" s="2">
        <v>14.48</v>
      </c>
      <c r="F163" s="2">
        <f t="shared" si="21"/>
        <v>2.5685578303240586E-3</v>
      </c>
      <c r="G163" s="2">
        <f t="shared" si="26"/>
        <v>3.1563258029634333E-3</v>
      </c>
      <c r="H163" s="2">
        <f t="shared" si="27"/>
        <v>6.9108500345538282E-4</v>
      </c>
      <c r="O163" s="6">
        <f t="shared" si="22"/>
        <v>2.1193283828100321E-3</v>
      </c>
      <c r="P163" s="6">
        <f t="shared" si="23"/>
        <v>2.1105820808129203E-3</v>
      </c>
      <c r="Q163" s="6">
        <f t="shared" si="24"/>
        <v>-1.0747171951811241E-3</v>
      </c>
      <c r="X163" s="14">
        <f t="shared" si="25"/>
        <v>1.238316704949001E-3</v>
      </c>
    </row>
    <row r="164" spans="1:24" x14ac:dyDescent="0.25">
      <c r="A164" s="1">
        <v>45526.705555555556</v>
      </c>
      <c r="B164" s="2">
        <v>131.55000000000001</v>
      </c>
      <c r="C164" s="2">
        <v>347.31</v>
      </c>
      <c r="D164" s="2">
        <v>14.55</v>
      </c>
      <c r="F164" s="2">
        <f t="shared" si="21"/>
        <v>-8.7408635370356258E-3</v>
      </c>
      <c r="G164" s="2">
        <f t="shared" si="26"/>
        <v>1.1828113619810621E-2</v>
      </c>
      <c r="H164" s="2">
        <f t="shared" si="27"/>
        <v>4.8342541436463549E-3</v>
      </c>
      <c r="O164" s="6">
        <f t="shared" si="22"/>
        <v>-9.1900929845496523E-3</v>
      </c>
      <c r="P164" s="6">
        <f t="shared" si="23"/>
        <v>1.0782369897660108E-2</v>
      </c>
      <c r="Q164" s="6">
        <f t="shared" si="24"/>
        <v>3.068451945009848E-3</v>
      </c>
      <c r="X164" s="14">
        <f t="shared" si="25"/>
        <v>1.7474690289884926E-4</v>
      </c>
    </row>
    <row r="165" spans="1:24" x14ac:dyDescent="0.25">
      <c r="A165" s="1">
        <v>45527.705555555556</v>
      </c>
      <c r="B165" s="2">
        <v>131.93</v>
      </c>
      <c r="C165" s="2">
        <v>344.48</v>
      </c>
      <c r="D165" s="2">
        <v>14.46</v>
      </c>
      <c r="F165" s="2">
        <f t="shared" si="21"/>
        <v>2.8886354998098884E-3</v>
      </c>
      <c r="G165" s="2">
        <f t="shared" si="26"/>
        <v>-8.1483400996227306E-3</v>
      </c>
      <c r="H165" s="2">
        <f t="shared" si="27"/>
        <v>-6.1855670103092564E-3</v>
      </c>
      <c r="O165" s="6">
        <f t="shared" si="22"/>
        <v>2.439406052295862E-3</v>
      </c>
      <c r="P165" s="6">
        <f t="shared" si="23"/>
        <v>-9.1940838217732437E-3</v>
      </c>
      <c r="Q165" s="6">
        <f t="shared" si="24"/>
        <v>-7.9513692089457633E-3</v>
      </c>
      <c r="X165" s="14">
        <f t="shared" si="25"/>
        <v>-3.9092945888627032E-3</v>
      </c>
    </row>
    <row r="166" spans="1:24" x14ac:dyDescent="0.25">
      <c r="A166" s="1">
        <v>45530.705555555556</v>
      </c>
      <c r="B166" s="2">
        <v>133.16</v>
      </c>
      <c r="C166" s="2">
        <v>343.9</v>
      </c>
      <c r="D166" s="2">
        <v>14.55</v>
      </c>
      <c r="F166" s="2">
        <f t="shared" si="21"/>
        <v>9.3231259000985389E-3</v>
      </c>
      <c r="G166" s="2">
        <f t="shared" si="26"/>
        <v>-1.6836971667442135E-3</v>
      </c>
      <c r="H166" s="2">
        <f t="shared" si="27"/>
        <v>6.2240663900414717E-3</v>
      </c>
      <c r="O166" s="6">
        <f t="shared" si="22"/>
        <v>8.8738964525845124E-3</v>
      </c>
      <c r="P166" s="6">
        <f t="shared" si="23"/>
        <v>-2.7294408888947266E-3</v>
      </c>
      <c r="Q166" s="6">
        <f t="shared" si="24"/>
        <v>4.4582641914049648E-3</v>
      </c>
      <c r="X166" s="14">
        <f t="shared" si="25"/>
        <v>4.1774544549962782E-3</v>
      </c>
    </row>
    <row r="167" spans="1:24" x14ac:dyDescent="0.25">
      <c r="A167" s="1">
        <v>45531.705555555556</v>
      </c>
      <c r="B167" s="2">
        <v>133.08000000000001</v>
      </c>
      <c r="C167" s="2">
        <v>345.58</v>
      </c>
      <c r="D167" s="2">
        <v>14.62</v>
      </c>
      <c r="F167" s="2">
        <f t="shared" si="21"/>
        <v>-6.0078101531979566E-4</v>
      </c>
      <c r="G167" s="2">
        <f t="shared" si="26"/>
        <v>4.8851410293691E-3</v>
      </c>
      <c r="H167" s="2">
        <f t="shared" si="27"/>
        <v>4.8109965635738661E-3</v>
      </c>
      <c r="O167" s="6">
        <f t="shared" si="22"/>
        <v>-1.0500104628338221E-3</v>
      </c>
      <c r="P167" s="6">
        <f t="shared" si="23"/>
        <v>3.839397307218587E-3</v>
      </c>
      <c r="Q167" s="6">
        <f t="shared" si="24"/>
        <v>3.0451943649373592E-3</v>
      </c>
      <c r="X167" s="14">
        <f t="shared" si="25"/>
        <v>1.5434914616167584E-3</v>
      </c>
    </row>
    <row r="168" spans="1:24" x14ac:dyDescent="0.25">
      <c r="A168" s="1">
        <v>45532.705555555556</v>
      </c>
      <c r="B168" s="2">
        <v>133.62</v>
      </c>
      <c r="C168" s="2">
        <v>346.55</v>
      </c>
      <c r="D168" s="2">
        <v>14.62</v>
      </c>
      <c r="F168" s="2">
        <f t="shared" si="21"/>
        <v>4.0577096483318531E-3</v>
      </c>
      <c r="G168" s="2">
        <f t="shared" si="26"/>
        <v>2.8068753978818251E-3</v>
      </c>
      <c r="H168" s="2">
        <f t="shared" si="27"/>
        <v>0</v>
      </c>
      <c r="O168" s="6">
        <f t="shared" si="22"/>
        <v>3.6084802008178266E-3</v>
      </c>
      <c r="P168" s="6">
        <f t="shared" si="23"/>
        <v>1.7611316757313118E-3</v>
      </c>
      <c r="Q168" s="6">
        <f t="shared" si="24"/>
        <v>-1.7658021986365069E-3</v>
      </c>
      <c r="X168" s="14">
        <f t="shared" si="25"/>
        <v>1.5761304684610872E-3</v>
      </c>
    </row>
    <row r="169" spans="1:24" x14ac:dyDescent="0.25">
      <c r="A169" s="1">
        <v>45533.705555555556</v>
      </c>
      <c r="B169" s="2">
        <v>132.38999999999999</v>
      </c>
      <c r="C169" s="2">
        <v>351.1</v>
      </c>
      <c r="D169" s="2">
        <v>14.94</v>
      </c>
      <c r="F169" s="2">
        <f t="shared" si="21"/>
        <v>-9.2052088010777799E-3</v>
      </c>
      <c r="G169" s="2">
        <f t="shared" si="26"/>
        <v>1.3129418554321148E-2</v>
      </c>
      <c r="H169" s="2">
        <f t="shared" si="27"/>
        <v>2.188782489740082E-2</v>
      </c>
      <c r="O169" s="6">
        <f t="shared" si="22"/>
        <v>-9.6544382485918064E-3</v>
      </c>
      <c r="P169" s="6">
        <f t="shared" si="23"/>
        <v>1.2083674832170635E-2</v>
      </c>
      <c r="Q169" s="6">
        <f t="shared" si="24"/>
        <v>2.0122022698764314E-2</v>
      </c>
      <c r="X169" s="14">
        <f t="shared" si="25"/>
        <v>5.0578261520557322E-3</v>
      </c>
    </row>
    <row r="170" spans="1:24" x14ac:dyDescent="0.25">
      <c r="A170" s="1">
        <v>45534.705555555556</v>
      </c>
      <c r="B170" s="2">
        <v>132.29</v>
      </c>
      <c r="C170" s="2">
        <v>354.85</v>
      </c>
      <c r="D170" s="2">
        <v>14.82</v>
      </c>
      <c r="F170" s="2">
        <f t="shared" si="21"/>
        <v>-7.553440592189542E-4</v>
      </c>
      <c r="G170" s="2">
        <f t="shared" si="26"/>
        <v>1.0680717744232515E-2</v>
      </c>
      <c r="H170" s="2">
        <f t="shared" si="27"/>
        <v>-8.0321285140562138E-3</v>
      </c>
      <c r="O170" s="6">
        <f t="shared" si="22"/>
        <v>-1.2045735067329807E-3</v>
      </c>
      <c r="P170" s="6">
        <f t="shared" si="23"/>
        <v>9.6349740220820022E-3</v>
      </c>
      <c r="Q170" s="6">
        <f t="shared" si="24"/>
        <v>-9.7979307126927206E-3</v>
      </c>
      <c r="X170" s="14">
        <f t="shared" si="25"/>
        <v>-3.1491295327972868E-4</v>
      </c>
    </row>
    <row r="171" spans="1:24" x14ac:dyDescent="0.25">
      <c r="A171" s="1">
        <v>45537.705555555556</v>
      </c>
      <c r="B171" s="2">
        <v>131.28</v>
      </c>
      <c r="C171" s="2">
        <v>354.5</v>
      </c>
      <c r="D171" s="2">
        <v>14.9</v>
      </c>
      <c r="F171" s="2">
        <f t="shared" si="21"/>
        <v>-7.6347418550154478E-3</v>
      </c>
      <c r="G171" s="2">
        <f t="shared" si="26"/>
        <v>-9.8633225306477001E-4</v>
      </c>
      <c r="H171" s="2">
        <f t="shared" si="27"/>
        <v>5.3981106612686069E-3</v>
      </c>
      <c r="O171" s="6">
        <f t="shared" si="22"/>
        <v>-8.0839713025294743E-3</v>
      </c>
      <c r="P171" s="6">
        <f t="shared" si="23"/>
        <v>-2.032075975215283E-3</v>
      </c>
      <c r="Q171" s="6">
        <f t="shared" si="24"/>
        <v>3.6323084626321001E-3</v>
      </c>
      <c r="X171" s="14">
        <f t="shared" si="25"/>
        <v>-3.0457582187808198E-3</v>
      </c>
    </row>
    <row r="172" spans="1:24" x14ac:dyDescent="0.25">
      <c r="A172" s="1">
        <v>45538.705555555556</v>
      </c>
      <c r="B172" s="2">
        <v>130.72</v>
      </c>
      <c r="C172" s="2">
        <v>347.78</v>
      </c>
      <c r="D172" s="2">
        <v>14.77</v>
      </c>
      <c r="F172" s="2">
        <f t="shared" si="21"/>
        <v>-4.2656916514320908E-3</v>
      </c>
      <c r="G172" s="2">
        <f t="shared" si="26"/>
        <v>-1.8956276445698195E-2</v>
      </c>
      <c r="H172" s="2">
        <f t="shared" si="27"/>
        <v>-8.7248322147651658E-3</v>
      </c>
      <c r="O172" s="6">
        <f t="shared" si="22"/>
        <v>-4.7149210989461173E-3</v>
      </c>
      <c r="P172" s="6">
        <f t="shared" si="23"/>
        <v>-2.0002020167848709E-2</v>
      </c>
      <c r="Q172" s="6">
        <f t="shared" si="24"/>
        <v>-1.0490634413401673E-2</v>
      </c>
      <c r="X172" s="14">
        <f t="shared" si="25"/>
        <v>-1.0890876116434613E-2</v>
      </c>
    </row>
    <row r="173" spans="1:24" x14ac:dyDescent="0.25">
      <c r="A173" s="1">
        <v>45539.705555555556</v>
      </c>
      <c r="B173" s="2">
        <v>132.35</v>
      </c>
      <c r="C173" s="2">
        <v>347</v>
      </c>
      <c r="D173" s="2">
        <v>14.78</v>
      </c>
      <c r="F173" s="2">
        <f t="shared" si="21"/>
        <v>1.2469400244798035E-2</v>
      </c>
      <c r="G173" s="2">
        <f t="shared" si="26"/>
        <v>-2.2427971706250327E-3</v>
      </c>
      <c r="H173" s="2">
        <f t="shared" si="27"/>
        <v>6.7704807041302217E-4</v>
      </c>
      <c r="O173" s="6">
        <f t="shared" si="22"/>
        <v>1.2020170797284008E-2</v>
      </c>
      <c r="P173" s="6">
        <f t="shared" si="23"/>
        <v>-3.2885408927755457E-3</v>
      </c>
      <c r="Q173" s="6">
        <f t="shared" si="24"/>
        <v>-1.0887541282234847E-3</v>
      </c>
      <c r="X173" s="14">
        <f t="shared" si="25"/>
        <v>3.8210406749956578E-3</v>
      </c>
    </row>
    <row r="174" spans="1:24" x14ac:dyDescent="0.25">
      <c r="A174" s="1">
        <v>45540.705555555556</v>
      </c>
      <c r="B174" s="2">
        <v>132.80000000000001</v>
      </c>
      <c r="C174" s="2">
        <v>342.39</v>
      </c>
      <c r="D174" s="2">
        <v>14.73</v>
      </c>
      <c r="F174" s="2">
        <f t="shared" si="21"/>
        <v>3.4000755572347607E-3</v>
      </c>
      <c r="G174" s="2">
        <f t="shared" si="26"/>
        <v>-1.3285302593660009E-2</v>
      </c>
      <c r="H174" s="2">
        <f t="shared" si="27"/>
        <v>-3.3829499323408951E-3</v>
      </c>
      <c r="O174" s="6">
        <f t="shared" si="22"/>
        <v>2.9508461097207343E-3</v>
      </c>
      <c r="P174" s="6">
        <f t="shared" si="23"/>
        <v>-1.4331046315810522E-2</v>
      </c>
      <c r="Q174" s="6">
        <f t="shared" si="24"/>
        <v>-5.148752130977402E-3</v>
      </c>
      <c r="X174" s="14">
        <f t="shared" si="25"/>
        <v>-4.4628235462041005E-3</v>
      </c>
    </row>
    <row r="175" spans="1:24" x14ac:dyDescent="0.25">
      <c r="A175" s="1">
        <v>45541.705555555556</v>
      </c>
      <c r="B175" s="2">
        <v>130.96</v>
      </c>
      <c r="C175" s="2">
        <v>337.95</v>
      </c>
      <c r="D175" s="2">
        <v>14.68</v>
      </c>
      <c r="F175" s="2">
        <f t="shared" si="21"/>
        <v>-1.3855421686747027E-2</v>
      </c>
      <c r="G175" s="2">
        <f t="shared" si="26"/>
        <v>-1.2967668448260694E-2</v>
      </c>
      <c r="H175" s="2">
        <f t="shared" si="27"/>
        <v>-3.3944331296673624E-3</v>
      </c>
      <c r="O175" s="6">
        <f t="shared" si="22"/>
        <v>-1.4304651134261053E-2</v>
      </c>
      <c r="P175" s="6">
        <f t="shared" si="23"/>
        <v>-1.4013412170411207E-2</v>
      </c>
      <c r="Q175" s="6">
        <f t="shared" si="24"/>
        <v>-5.1602353283038693E-3</v>
      </c>
      <c r="X175" s="14">
        <f t="shared" si="25"/>
        <v>-1.1702467376240701E-2</v>
      </c>
    </row>
    <row r="176" spans="1:24" x14ac:dyDescent="0.25">
      <c r="A176" s="1">
        <v>45544.705555555556</v>
      </c>
      <c r="B176" s="2">
        <v>131.09</v>
      </c>
      <c r="C176" s="2">
        <v>340.45</v>
      </c>
      <c r="D176" s="2">
        <v>14.68</v>
      </c>
      <c r="F176" s="2">
        <f t="shared" si="21"/>
        <v>9.9266951740983878E-4</v>
      </c>
      <c r="G176" s="2">
        <f t="shared" si="26"/>
        <v>7.3975440153868366E-3</v>
      </c>
      <c r="H176" s="2">
        <f t="shared" si="27"/>
        <v>0</v>
      </c>
      <c r="O176" s="6">
        <f t="shared" si="22"/>
        <v>5.434400698958123E-4</v>
      </c>
      <c r="P176" s="6">
        <f t="shared" si="23"/>
        <v>6.3518002932363236E-3</v>
      </c>
      <c r="Q176" s="6">
        <f t="shared" si="24"/>
        <v>-1.7658021986365069E-3</v>
      </c>
      <c r="X176" s="14">
        <f t="shared" si="25"/>
        <v>1.6514435815384008E-3</v>
      </c>
    </row>
    <row r="177" spans="1:24" x14ac:dyDescent="0.25">
      <c r="A177" s="1">
        <v>45545.705555555556</v>
      </c>
      <c r="B177" s="2">
        <v>130.69</v>
      </c>
      <c r="C177" s="2">
        <v>346.45</v>
      </c>
      <c r="D177" s="2">
        <v>14.94</v>
      </c>
      <c r="F177" s="2">
        <f t="shared" si="21"/>
        <v>-3.051338774887502E-3</v>
      </c>
      <c r="G177" s="2">
        <f t="shared" si="26"/>
        <v>1.7623733294169552E-2</v>
      </c>
      <c r="H177" s="2">
        <f t="shared" si="27"/>
        <v>1.7711171662125436E-2</v>
      </c>
      <c r="O177" s="6">
        <f t="shared" si="22"/>
        <v>-3.5005682224015285E-3</v>
      </c>
      <c r="P177" s="6">
        <f t="shared" si="23"/>
        <v>1.6577989572019038E-2</v>
      </c>
      <c r="Q177" s="6">
        <f t="shared" si="24"/>
        <v>1.5945369463488929E-2</v>
      </c>
      <c r="X177" s="14">
        <f t="shared" si="25"/>
        <v>7.8726982257575524E-3</v>
      </c>
    </row>
    <row r="178" spans="1:24" x14ac:dyDescent="0.25">
      <c r="A178" s="1">
        <v>45546.705555555556</v>
      </c>
      <c r="B178" s="2">
        <v>131</v>
      </c>
      <c r="C178" s="2">
        <v>349.67</v>
      </c>
      <c r="D178" s="2">
        <v>14.92</v>
      </c>
      <c r="F178" s="2">
        <f t="shared" si="21"/>
        <v>2.3720254036270205E-3</v>
      </c>
      <c r="G178" s="2">
        <f t="shared" si="26"/>
        <v>9.2942704574976442E-3</v>
      </c>
      <c r="H178" s="2">
        <f t="shared" si="27"/>
        <v>-1.3386880856760541E-3</v>
      </c>
      <c r="O178" s="6">
        <f t="shared" si="22"/>
        <v>1.922795956112994E-3</v>
      </c>
      <c r="P178" s="6">
        <f t="shared" si="23"/>
        <v>8.2485267353471312E-3</v>
      </c>
      <c r="Q178" s="6">
        <f t="shared" si="24"/>
        <v>-3.104490284312561E-3</v>
      </c>
      <c r="X178" s="14">
        <f t="shared" si="25"/>
        <v>2.438577174225548E-3</v>
      </c>
    </row>
    <row r="179" spans="1:24" x14ac:dyDescent="0.25">
      <c r="A179" s="1">
        <v>45547.705555555556</v>
      </c>
      <c r="B179" s="2">
        <v>130.44999999999999</v>
      </c>
      <c r="C179" s="2">
        <v>350.81</v>
      </c>
      <c r="D179" s="2">
        <v>15.1</v>
      </c>
      <c r="F179" s="2">
        <f t="shared" si="21"/>
        <v>-4.1984732824428272E-3</v>
      </c>
      <c r="G179" s="2">
        <f t="shared" si="26"/>
        <v>3.2602167758171152E-3</v>
      </c>
      <c r="H179" s="2">
        <f t="shared" si="27"/>
        <v>1.2064343163538771E-2</v>
      </c>
      <c r="O179" s="6">
        <f t="shared" si="22"/>
        <v>-4.6477027299568537E-3</v>
      </c>
      <c r="P179" s="6">
        <f t="shared" si="23"/>
        <v>2.2144730536666022E-3</v>
      </c>
      <c r="Q179" s="6">
        <f t="shared" si="24"/>
        <v>1.0298540964902264E-2</v>
      </c>
      <c r="X179" s="14">
        <f t="shared" si="25"/>
        <v>1.521936649066279E-3</v>
      </c>
    </row>
    <row r="180" spans="1:24" x14ac:dyDescent="0.25">
      <c r="A180" s="1">
        <v>45548.705555555556</v>
      </c>
      <c r="B180" s="2">
        <v>131.19999999999999</v>
      </c>
      <c r="C180" s="2">
        <v>349.75</v>
      </c>
      <c r="D180" s="2">
        <v>15.11</v>
      </c>
      <c r="F180" s="2">
        <f t="shared" si="21"/>
        <v>5.7493292449213307E-3</v>
      </c>
      <c r="G180" s="2">
        <f t="shared" si="26"/>
        <v>-3.0215786323081195E-3</v>
      </c>
      <c r="H180" s="2">
        <f t="shared" si="27"/>
        <v>6.6225165562916466E-4</v>
      </c>
      <c r="O180" s="6">
        <f t="shared" si="22"/>
        <v>5.3000997974073042E-3</v>
      </c>
      <c r="P180" s="6">
        <f t="shared" si="23"/>
        <v>-4.0673223544586325E-3</v>
      </c>
      <c r="Q180" s="6">
        <f t="shared" si="24"/>
        <v>-1.1035505430073422E-3</v>
      </c>
      <c r="X180" s="14">
        <f t="shared" si="25"/>
        <v>7.2792572591034738E-4</v>
      </c>
    </row>
    <row r="181" spans="1:24" x14ac:dyDescent="0.25">
      <c r="A181" s="1">
        <v>45551.705555555556</v>
      </c>
      <c r="B181" s="2">
        <v>131.46</v>
      </c>
      <c r="C181" s="2">
        <v>346.75</v>
      </c>
      <c r="D181" s="2">
        <v>14.94</v>
      </c>
      <c r="F181" s="2">
        <f t="shared" si="21"/>
        <v>1.9817073170733668E-3</v>
      </c>
      <c r="G181" s="2">
        <f t="shared" si="26"/>
        <v>-8.5775553967119E-3</v>
      </c>
      <c r="H181" s="2">
        <f t="shared" si="27"/>
        <v>-1.1250827266710783E-2</v>
      </c>
      <c r="O181" s="6">
        <f t="shared" si="22"/>
        <v>1.5324778695593403E-3</v>
      </c>
      <c r="P181" s="6">
        <f t="shared" si="23"/>
        <v>-9.6232991188624131E-3</v>
      </c>
      <c r="Q181" s="6">
        <f t="shared" si="24"/>
        <v>-1.301662946534729E-2</v>
      </c>
      <c r="X181" s="14">
        <f t="shared" si="25"/>
        <v>-5.8164363924508022E-3</v>
      </c>
    </row>
    <row r="182" spans="1:24" x14ac:dyDescent="0.25">
      <c r="A182" s="1">
        <v>45552.705555555556</v>
      </c>
      <c r="B182" s="2">
        <v>131.32</v>
      </c>
      <c r="C182" s="2">
        <v>345.15</v>
      </c>
      <c r="D182" s="2">
        <v>14.81</v>
      </c>
      <c r="F182" s="2">
        <f t="shared" si="21"/>
        <v>-1.0649627263047412E-3</v>
      </c>
      <c r="G182" s="2">
        <f t="shared" si="26"/>
        <v>-4.6142754145638287E-3</v>
      </c>
      <c r="H182" s="2">
        <f t="shared" si="27"/>
        <v>-8.7014725568941298E-3</v>
      </c>
      <c r="O182" s="6">
        <f t="shared" si="22"/>
        <v>-1.5141921738187677E-3</v>
      </c>
      <c r="P182" s="6">
        <f t="shared" si="23"/>
        <v>-5.6600191367143417E-3</v>
      </c>
      <c r="Q182" s="6">
        <f t="shared" si="24"/>
        <v>-1.0467274755530637E-2</v>
      </c>
      <c r="X182" s="14">
        <f t="shared" si="25"/>
        <v>-5.2205023611867031E-3</v>
      </c>
    </row>
    <row r="183" spans="1:24" x14ac:dyDescent="0.25">
      <c r="A183" s="1">
        <v>45553.705555555556</v>
      </c>
      <c r="B183" s="2">
        <v>130.15</v>
      </c>
      <c r="C183" s="2">
        <v>342.15</v>
      </c>
      <c r="D183" s="2">
        <v>14.61</v>
      </c>
      <c r="F183" s="2">
        <f t="shared" si="21"/>
        <v>-8.9095339628387782E-3</v>
      </c>
      <c r="G183" s="2">
        <f t="shared" si="26"/>
        <v>-8.6918730986527137E-3</v>
      </c>
      <c r="H183" s="2">
        <f t="shared" si="27"/>
        <v>-1.3504388926401156E-2</v>
      </c>
      <c r="O183" s="6">
        <f t="shared" si="22"/>
        <v>-9.3587634103528047E-3</v>
      </c>
      <c r="P183" s="6">
        <f t="shared" si="23"/>
        <v>-9.7376168208032268E-3</v>
      </c>
      <c r="Q183" s="6">
        <f t="shared" si="24"/>
        <v>-1.5270191125037663E-2</v>
      </c>
      <c r="X183" s="14">
        <f t="shared" si="25"/>
        <v>-1.1098143429077365E-2</v>
      </c>
    </row>
    <row r="184" spans="1:24" x14ac:dyDescent="0.25">
      <c r="A184" s="1">
        <v>45554.705555555556</v>
      </c>
      <c r="B184" s="2">
        <v>129.54</v>
      </c>
      <c r="C184" s="2">
        <v>346.02</v>
      </c>
      <c r="D184" s="2">
        <v>14.76</v>
      </c>
      <c r="F184" s="2">
        <f t="shared" si="21"/>
        <v>-4.6868997310796079E-3</v>
      </c>
      <c r="G184" s="2">
        <f t="shared" si="26"/>
        <v>1.1310828583954491E-2</v>
      </c>
      <c r="H184" s="2">
        <f t="shared" si="27"/>
        <v>1.0266940451745477E-2</v>
      </c>
      <c r="O184" s="6">
        <f t="shared" si="22"/>
        <v>-5.1361291785936344E-3</v>
      </c>
      <c r="P184" s="6">
        <f t="shared" si="23"/>
        <v>1.0265084861803978E-2</v>
      </c>
      <c r="Q184" s="6">
        <f t="shared" si="24"/>
        <v>8.5011382531089696E-3</v>
      </c>
      <c r="X184" s="14">
        <f t="shared" si="25"/>
        <v>3.2360587114552857E-3</v>
      </c>
    </row>
    <row r="185" spans="1:24" x14ac:dyDescent="0.25">
      <c r="A185" s="1">
        <v>45555.705555555556</v>
      </c>
      <c r="B185" s="2">
        <v>127.58</v>
      </c>
      <c r="C185" s="2">
        <v>351.53</v>
      </c>
      <c r="D185" s="2">
        <v>15.2</v>
      </c>
      <c r="F185" s="2">
        <f t="shared" si="21"/>
        <v>-1.5130461633472203E-2</v>
      </c>
      <c r="G185" s="2">
        <f t="shared" si="26"/>
        <v>1.5923935032656988E-2</v>
      </c>
      <c r="H185" s="2">
        <f t="shared" si="27"/>
        <v>2.9810298102981081E-2</v>
      </c>
      <c r="O185" s="6">
        <f t="shared" si="22"/>
        <v>-1.557969108098623E-2</v>
      </c>
      <c r="P185" s="6">
        <f t="shared" si="23"/>
        <v>1.4878191310506475E-2</v>
      </c>
      <c r="Q185" s="6">
        <f t="shared" si="24"/>
        <v>2.8044495904344574E-2</v>
      </c>
      <c r="X185" s="14">
        <f t="shared" si="25"/>
        <v>5.557567410993937E-3</v>
      </c>
    </row>
    <row r="186" spans="1:24" x14ac:dyDescent="0.25">
      <c r="A186" s="1">
        <v>45558.705555555556</v>
      </c>
      <c r="B186" s="2">
        <v>127.06</v>
      </c>
      <c r="C186" s="2">
        <v>353.12</v>
      </c>
      <c r="D186" s="2">
        <v>15.24</v>
      </c>
      <c r="F186" s="2">
        <f t="shared" si="21"/>
        <v>-4.0758739614359385E-3</v>
      </c>
      <c r="G186" s="2">
        <f t="shared" si="26"/>
        <v>4.523084800728272E-3</v>
      </c>
      <c r="H186" s="2">
        <f t="shared" si="27"/>
        <v>2.6315789473685403E-3</v>
      </c>
      <c r="O186" s="6">
        <f t="shared" si="22"/>
        <v>-4.525103408949965E-3</v>
      </c>
      <c r="P186" s="6">
        <f t="shared" si="23"/>
        <v>3.477341078577759E-3</v>
      </c>
      <c r="Q186" s="6">
        <f t="shared" si="24"/>
        <v>8.6577674873203336E-4</v>
      </c>
      <c r="X186" s="14">
        <f t="shared" si="25"/>
        <v>-6.4107254046818596E-4</v>
      </c>
    </row>
    <row r="187" spans="1:24" x14ac:dyDescent="0.25">
      <c r="A187" s="1">
        <v>45559.705555555556</v>
      </c>
      <c r="B187" s="2">
        <v>128.58000000000001</v>
      </c>
      <c r="C187" s="2">
        <v>349.77</v>
      </c>
      <c r="D187" s="2">
        <v>15.25</v>
      </c>
      <c r="F187" s="2">
        <f t="shared" si="21"/>
        <v>1.1962852195813056E-2</v>
      </c>
      <c r="G187" s="2">
        <f t="shared" si="26"/>
        <v>-9.4868599909380125E-3</v>
      </c>
      <c r="H187" s="2">
        <f t="shared" si="27"/>
        <v>6.5616797900269752E-4</v>
      </c>
      <c r="O187" s="6">
        <f t="shared" si="22"/>
        <v>1.151362274829903E-2</v>
      </c>
      <c r="P187" s="6">
        <f t="shared" si="23"/>
        <v>-1.0532603713088525E-2</v>
      </c>
      <c r="Q187" s="6">
        <f t="shared" si="24"/>
        <v>-1.1096342196338094E-3</v>
      </c>
      <c r="X187" s="14">
        <f t="shared" si="25"/>
        <v>1.4261571354195199E-3</v>
      </c>
    </row>
    <row r="188" spans="1:24" x14ac:dyDescent="0.25">
      <c r="A188" s="1">
        <v>45560.705555555556</v>
      </c>
      <c r="B188" s="2">
        <v>128.06</v>
      </c>
      <c r="C188" s="2">
        <v>349.3</v>
      </c>
      <c r="D188" s="2">
        <v>15.29</v>
      </c>
      <c r="F188" s="2">
        <f t="shared" si="21"/>
        <v>-4.0441748327889604E-3</v>
      </c>
      <c r="G188" s="2">
        <f t="shared" si="26"/>
        <v>-1.3437401721130282E-3</v>
      </c>
      <c r="H188" s="2">
        <f t="shared" si="27"/>
        <v>2.6229508196720097E-3</v>
      </c>
      <c r="O188" s="6">
        <f t="shared" si="22"/>
        <v>-4.4934042803029869E-3</v>
      </c>
      <c r="P188" s="6">
        <f t="shared" si="23"/>
        <v>-2.3894838942635412E-3</v>
      </c>
      <c r="Q188" s="6">
        <f t="shared" si="24"/>
        <v>8.5714862103550282E-4</v>
      </c>
      <c r="X188" s="14">
        <f t="shared" si="25"/>
        <v>-2.3905842793822164E-3</v>
      </c>
    </row>
    <row r="189" spans="1:24" x14ac:dyDescent="0.25">
      <c r="A189" s="1">
        <v>45561.705555555556</v>
      </c>
      <c r="B189" s="2">
        <v>129.41999999999999</v>
      </c>
      <c r="C189" s="2">
        <v>348.62</v>
      </c>
      <c r="D189" s="2">
        <v>15.27</v>
      </c>
      <c r="F189" s="2">
        <f t="shared" si="21"/>
        <v>1.062002186475075E-2</v>
      </c>
      <c r="G189" s="2">
        <f t="shared" si="26"/>
        <v>-1.9467506441454008E-3</v>
      </c>
      <c r="H189" s="2">
        <f t="shared" si="27"/>
        <v>-1.3080444735120711E-3</v>
      </c>
      <c r="O189" s="6">
        <f t="shared" si="22"/>
        <v>1.0170792417236724E-2</v>
      </c>
      <c r="P189" s="6">
        <f t="shared" si="23"/>
        <v>-2.9924943662959138E-3</v>
      </c>
      <c r="Q189" s="6">
        <f t="shared" si="24"/>
        <v>-3.073846672148578E-3</v>
      </c>
      <c r="X189" s="14">
        <f t="shared" si="25"/>
        <v>2.5781722312323281E-3</v>
      </c>
    </row>
    <row r="190" spans="1:24" x14ac:dyDescent="0.25">
      <c r="A190" s="1">
        <v>45562.705555555556</v>
      </c>
      <c r="B190" s="2">
        <v>129.18</v>
      </c>
      <c r="C190" s="2">
        <v>347.52</v>
      </c>
      <c r="D190" s="2">
        <v>15.13</v>
      </c>
      <c r="F190" s="2">
        <f t="shared" si="21"/>
        <v>-1.8544274455259968E-3</v>
      </c>
      <c r="G190" s="2">
        <f t="shared" si="26"/>
        <v>-3.1552980322414603E-3</v>
      </c>
      <c r="H190" s="2">
        <f t="shared" si="27"/>
        <v>-9.1683038637850878E-3</v>
      </c>
      <c r="O190" s="6">
        <f t="shared" si="22"/>
        <v>-2.3036568930400233E-3</v>
      </c>
      <c r="P190" s="6">
        <f t="shared" si="23"/>
        <v>-4.2010417543919733E-3</v>
      </c>
      <c r="Q190" s="6">
        <f t="shared" si="24"/>
        <v>-1.0934106062421595E-2</v>
      </c>
      <c r="X190" s="14">
        <f t="shared" si="25"/>
        <v>-5.2464930595962278E-3</v>
      </c>
    </row>
    <row r="191" spans="1:24" x14ac:dyDescent="0.25">
      <c r="A191" s="1">
        <v>45565.705555555556</v>
      </c>
      <c r="B191" s="2">
        <v>128.30000000000001</v>
      </c>
      <c r="C191" s="2">
        <v>349.8</v>
      </c>
      <c r="D191" s="2">
        <v>15.05</v>
      </c>
      <c r="F191" s="2">
        <f t="shared" si="21"/>
        <v>-6.8122000309644992E-3</v>
      </c>
      <c r="G191" s="2">
        <f t="shared" si="26"/>
        <v>6.5607734806629736E-3</v>
      </c>
      <c r="H191" s="2">
        <f t="shared" si="27"/>
        <v>-5.2875082617316327E-3</v>
      </c>
      <c r="O191" s="6">
        <f t="shared" si="22"/>
        <v>-7.2614294784785257E-3</v>
      </c>
      <c r="P191" s="6">
        <f t="shared" si="23"/>
        <v>5.5150297585124606E-3</v>
      </c>
      <c r="Q191" s="6">
        <f t="shared" si="24"/>
        <v>-7.0533104603681396E-3</v>
      </c>
      <c r="X191" s="14">
        <f t="shared" si="25"/>
        <v>-3.3700371819294131E-3</v>
      </c>
    </row>
    <row r="192" spans="1:24" x14ac:dyDescent="0.25">
      <c r="A192" s="1">
        <v>45566.705555555556</v>
      </c>
      <c r="B192" s="2">
        <v>128.94999999999999</v>
      </c>
      <c r="C192" s="2">
        <v>347.6</v>
      </c>
      <c r="D192" s="2">
        <v>15.25</v>
      </c>
      <c r="F192" s="2">
        <f t="shared" si="21"/>
        <v>5.0662509742789297E-3</v>
      </c>
      <c r="G192" s="2">
        <f t="shared" si="26"/>
        <v>-6.2893081761006275E-3</v>
      </c>
      <c r="H192" s="2">
        <f t="shared" si="27"/>
        <v>1.3289036544850363E-2</v>
      </c>
      <c r="O192" s="6">
        <f t="shared" si="22"/>
        <v>4.6170215267649032E-3</v>
      </c>
      <c r="P192" s="6">
        <f t="shared" si="23"/>
        <v>-7.3350518982511406E-3</v>
      </c>
      <c r="Q192" s="6">
        <f t="shared" si="24"/>
        <v>1.1523234346213856E-2</v>
      </c>
      <c r="X192" s="14">
        <f t="shared" si="25"/>
        <v>2.9295193493901845E-3</v>
      </c>
    </row>
    <row r="193" spans="1:24" x14ac:dyDescent="0.25">
      <c r="A193" s="1">
        <v>45567.705555555556</v>
      </c>
      <c r="B193" s="2">
        <v>129.93</v>
      </c>
      <c r="C193" s="2">
        <v>346.4</v>
      </c>
      <c r="D193" s="2">
        <v>15.19</v>
      </c>
      <c r="F193" s="2">
        <f t="shared" si="21"/>
        <v>7.5998449011245306E-3</v>
      </c>
      <c r="G193" s="2">
        <f t="shared" si="26"/>
        <v>-3.4522439585732423E-3</v>
      </c>
      <c r="H193" s="2">
        <f t="shared" si="27"/>
        <v>-3.9344262295082366E-3</v>
      </c>
      <c r="O193" s="6">
        <f t="shared" si="22"/>
        <v>7.1506154536105041E-3</v>
      </c>
      <c r="P193" s="6">
        <f t="shared" si="23"/>
        <v>-4.4979876807237553E-3</v>
      </c>
      <c r="Q193" s="6">
        <f t="shared" si="24"/>
        <v>-5.7002284281447435E-3</v>
      </c>
      <c r="X193" s="14">
        <f t="shared" si="25"/>
        <v>1.2084171349149115E-4</v>
      </c>
    </row>
    <row r="194" spans="1:24" x14ac:dyDescent="0.25">
      <c r="A194" s="1">
        <v>45568.705555555556</v>
      </c>
      <c r="B194" s="2">
        <v>128.19</v>
      </c>
      <c r="C194" s="2">
        <v>347.8</v>
      </c>
      <c r="D194" s="2">
        <v>15.33</v>
      </c>
      <c r="F194" s="2">
        <f t="shared" si="21"/>
        <v>-1.3391826368044368E-2</v>
      </c>
      <c r="G194" s="2">
        <f t="shared" si="26"/>
        <v>4.041570438799269E-3</v>
      </c>
      <c r="H194" s="2">
        <f t="shared" si="27"/>
        <v>9.2165898617511122E-3</v>
      </c>
      <c r="O194" s="6">
        <f t="shared" si="22"/>
        <v>-1.3841055815558395E-2</v>
      </c>
      <c r="P194" s="6">
        <f t="shared" si="23"/>
        <v>2.995826716648756E-3</v>
      </c>
      <c r="Q194" s="6">
        <f t="shared" si="24"/>
        <v>7.4507876631146053E-3</v>
      </c>
      <c r="X194" s="14">
        <f t="shared" si="25"/>
        <v>-2.9329633346981505E-3</v>
      </c>
    </row>
    <row r="195" spans="1:24" x14ac:dyDescent="0.25">
      <c r="A195" s="1">
        <v>45569.705555555556</v>
      </c>
      <c r="B195" s="2">
        <v>128.27000000000001</v>
      </c>
      <c r="C195" s="2">
        <v>349.83</v>
      </c>
      <c r="D195" s="2">
        <v>15.2</v>
      </c>
      <c r="F195" s="2">
        <f t="shared" si="21"/>
        <v>6.2407364068972626E-4</v>
      </c>
      <c r="G195" s="2">
        <f t="shared" si="26"/>
        <v>5.8366877515811932E-3</v>
      </c>
      <c r="H195" s="2">
        <f t="shared" si="27"/>
        <v>-8.4801043705153845E-3</v>
      </c>
      <c r="O195" s="6">
        <f t="shared" si="22"/>
        <v>1.7484419317569984E-4</v>
      </c>
      <c r="P195" s="6">
        <f t="shared" si="23"/>
        <v>4.7909440294306802E-3</v>
      </c>
      <c r="Q195" s="6">
        <f t="shared" si="24"/>
        <v>-1.0245906569151891E-2</v>
      </c>
      <c r="X195" s="14">
        <f t="shared" si="25"/>
        <v>-1.3056711241580881E-3</v>
      </c>
    </row>
    <row r="196" spans="1:24" x14ac:dyDescent="0.25">
      <c r="A196" s="1">
        <v>45572.705555555556</v>
      </c>
      <c r="B196" s="2">
        <v>128.49</v>
      </c>
      <c r="C196" s="2">
        <v>348.57</v>
      </c>
      <c r="D196" s="2">
        <v>15.22</v>
      </c>
      <c r="F196" s="2">
        <f t="shared" ref="F196:F259" si="28">(B196/B195)-1</f>
        <v>1.715132143135456E-3</v>
      </c>
      <c r="G196" s="2">
        <f t="shared" si="26"/>
        <v>-3.6017494211474377E-3</v>
      </c>
      <c r="H196" s="2">
        <f t="shared" si="27"/>
        <v>1.3157894736843812E-3</v>
      </c>
      <c r="O196" s="6">
        <f t="shared" ref="O196:O259" si="29">F196-$K$3</f>
        <v>1.2659026956214296E-3</v>
      </c>
      <c r="P196" s="6">
        <f t="shared" ref="P196:P259" si="30">G196-$L$3</f>
        <v>-4.6474931432979507E-3</v>
      </c>
      <c r="Q196" s="6">
        <f t="shared" ref="Q196:Q259" si="31">H196-$M$3</f>
        <v>-4.5001272495212574E-4</v>
      </c>
      <c r="X196" s="14">
        <f t="shared" ref="X196:X259" si="32">$T$47*O196+$T$48*P196+$T$49*Q196</f>
        <v>-9.8057066826822857E-4</v>
      </c>
    </row>
    <row r="197" spans="1:24" x14ac:dyDescent="0.25">
      <c r="A197" s="1">
        <v>45573.705555555556</v>
      </c>
      <c r="B197" s="2">
        <v>128.01</v>
      </c>
      <c r="C197" s="2">
        <v>354.59</v>
      </c>
      <c r="D197" s="2">
        <v>15.22</v>
      </c>
      <c r="F197" s="2">
        <f t="shared" si="28"/>
        <v>-3.7356992762084262E-3</v>
      </c>
      <c r="G197" s="2">
        <f t="shared" si="26"/>
        <v>1.7270562584272842E-2</v>
      </c>
      <c r="H197" s="2">
        <f t="shared" si="27"/>
        <v>0</v>
      </c>
      <c r="O197" s="6">
        <f t="shared" si="29"/>
        <v>-4.1849287237224527E-3</v>
      </c>
      <c r="P197" s="6">
        <f t="shared" si="30"/>
        <v>1.6224818862122327E-2</v>
      </c>
      <c r="Q197" s="6">
        <f t="shared" si="31"/>
        <v>-1.7658021986365069E-3</v>
      </c>
      <c r="X197" s="14">
        <f t="shared" si="32"/>
        <v>2.6052230551751039E-3</v>
      </c>
    </row>
    <row r="198" spans="1:24" x14ac:dyDescent="0.25">
      <c r="A198" s="1">
        <v>45574.705555555556</v>
      </c>
      <c r="B198" s="2">
        <v>126.52</v>
      </c>
      <c r="C198" s="2">
        <v>360.95</v>
      </c>
      <c r="D198" s="2">
        <v>15.31</v>
      </c>
      <c r="F198" s="2">
        <f t="shared" si="28"/>
        <v>-1.1639715647214999E-2</v>
      </c>
      <c r="G198" s="2">
        <f t="shared" si="26"/>
        <v>1.7936208014890376E-2</v>
      </c>
      <c r="H198" s="2">
        <f t="shared" si="27"/>
        <v>5.9132720105123937E-3</v>
      </c>
      <c r="O198" s="6">
        <f t="shared" si="29"/>
        <v>-1.2088945094729025E-2</v>
      </c>
      <c r="P198" s="6">
        <f t="shared" si="30"/>
        <v>1.6890464292739861E-2</v>
      </c>
      <c r="Q198" s="6">
        <f t="shared" si="31"/>
        <v>4.1474698118758868E-3</v>
      </c>
      <c r="X198" s="14">
        <f t="shared" si="32"/>
        <v>1.0727835986677908E-3</v>
      </c>
    </row>
    <row r="199" spans="1:24" x14ac:dyDescent="0.25">
      <c r="A199" s="1">
        <v>45575.705555555556</v>
      </c>
      <c r="B199" s="2">
        <v>126.87</v>
      </c>
      <c r="C199" s="2">
        <v>359.85</v>
      </c>
      <c r="D199" s="2">
        <v>15.43</v>
      </c>
      <c r="F199" s="2">
        <f t="shared" si="28"/>
        <v>2.7663610496364566E-3</v>
      </c>
      <c r="G199" s="2">
        <f t="shared" si="26"/>
        <v>-3.047513506025723E-3</v>
      </c>
      <c r="H199" s="2">
        <f t="shared" si="27"/>
        <v>7.8380143696930027E-3</v>
      </c>
      <c r="O199" s="6">
        <f t="shared" si="29"/>
        <v>2.3171316021224301E-3</v>
      </c>
      <c r="P199" s="6">
        <f t="shared" si="30"/>
        <v>-4.093257228176236E-3</v>
      </c>
      <c r="Q199" s="6">
        <f t="shared" si="31"/>
        <v>6.0722121710564958E-3</v>
      </c>
      <c r="X199" s="14">
        <f t="shared" si="32"/>
        <v>1.4260785980137328E-3</v>
      </c>
    </row>
    <row r="200" spans="1:24" x14ac:dyDescent="0.25">
      <c r="A200" s="1">
        <v>45576.705555555556</v>
      </c>
      <c r="B200" s="2">
        <v>126.53</v>
      </c>
      <c r="C200" s="2">
        <v>364.05</v>
      </c>
      <c r="D200" s="2">
        <v>15.64</v>
      </c>
      <c r="F200" s="2">
        <f t="shared" si="28"/>
        <v>-2.6799085678254064E-3</v>
      </c>
      <c r="G200" s="2">
        <f t="shared" si="26"/>
        <v>1.1671529804085035E-2</v>
      </c>
      <c r="H200" s="2">
        <f t="shared" si="27"/>
        <v>1.3609850939727774E-2</v>
      </c>
      <c r="O200" s="6">
        <f t="shared" si="29"/>
        <v>-3.1291380153394329E-3</v>
      </c>
      <c r="P200" s="6">
        <f t="shared" si="30"/>
        <v>1.0625786081934522E-2</v>
      </c>
      <c r="Q200" s="6">
        <f t="shared" si="31"/>
        <v>1.1844048741091268E-2</v>
      </c>
      <c r="X200" s="14">
        <f t="shared" si="32"/>
        <v>5.1163936915144025E-3</v>
      </c>
    </row>
    <row r="201" spans="1:24" x14ac:dyDescent="0.25">
      <c r="A201" s="1">
        <v>45579.705555555556</v>
      </c>
      <c r="B201" s="2">
        <v>127.49</v>
      </c>
      <c r="C201" s="2">
        <v>364.85</v>
      </c>
      <c r="D201" s="2">
        <v>15.56</v>
      </c>
      <c r="F201" s="2">
        <f t="shared" si="28"/>
        <v>7.5871334861297157E-3</v>
      </c>
      <c r="G201" s="2">
        <f t="shared" si="26"/>
        <v>2.1975003433594154E-3</v>
      </c>
      <c r="H201" s="2">
        <f t="shared" si="27"/>
        <v>-5.1150895140664732E-3</v>
      </c>
      <c r="O201" s="6">
        <f t="shared" si="29"/>
        <v>7.1379040386156892E-3</v>
      </c>
      <c r="P201" s="6">
        <f t="shared" si="30"/>
        <v>1.1517566212089021E-3</v>
      </c>
      <c r="Q201" s="6">
        <f t="shared" si="31"/>
        <v>-6.8808917127029801E-3</v>
      </c>
      <c r="X201" s="14">
        <f t="shared" si="32"/>
        <v>1.4862121084475044E-3</v>
      </c>
    </row>
    <row r="202" spans="1:24" x14ac:dyDescent="0.25">
      <c r="A202" s="1">
        <v>45580.705555555556</v>
      </c>
      <c r="B202" s="2">
        <v>127.54</v>
      </c>
      <c r="C202" s="2">
        <v>367.17</v>
      </c>
      <c r="D202" s="2">
        <v>15.79</v>
      </c>
      <c r="F202" s="2">
        <f t="shared" si="28"/>
        <v>3.921876225587706E-4</v>
      </c>
      <c r="G202" s="2">
        <f t="shared" si="26"/>
        <v>6.3587775798272794E-3</v>
      </c>
      <c r="H202" s="2">
        <f t="shared" si="27"/>
        <v>1.4781491002570535E-2</v>
      </c>
      <c r="O202" s="6">
        <f t="shared" si="29"/>
        <v>-5.7041824955255825E-5</v>
      </c>
      <c r="P202" s="6">
        <f t="shared" si="30"/>
        <v>5.3130338576767664E-3</v>
      </c>
      <c r="Q202" s="6">
        <f t="shared" si="31"/>
        <v>1.3015688803934028E-2</v>
      </c>
      <c r="X202" s="14">
        <f t="shared" si="32"/>
        <v>5.1495946061985362E-3</v>
      </c>
    </row>
    <row r="203" spans="1:24" x14ac:dyDescent="0.25">
      <c r="A203" s="1">
        <v>45581.705555555556</v>
      </c>
      <c r="B203" s="2">
        <v>128.22</v>
      </c>
      <c r="C203" s="2">
        <v>369</v>
      </c>
      <c r="D203" s="2">
        <v>15.9</v>
      </c>
      <c r="F203" s="2">
        <f t="shared" si="28"/>
        <v>5.331660655480519E-3</v>
      </c>
      <c r="G203" s="2">
        <f t="shared" si="26"/>
        <v>4.9840673257619539E-3</v>
      </c>
      <c r="H203" s="2">
        <f t="shared" si="27"/>
        <v>6.966434452184922E-3</v>
      </c>
      <c r="O203" s="6">
        <f t="shared" si="29"/>
        <v>4.8824312079664926E-3</v>
      </c>
      <c r="P203" s="6">
        <f t="shared" si="30"/>
        <v>3.9383236036114409E-3</v>
      </c>
      <c r="Q203" s="6">
        <f t="shared" si="31"/>
        <v>5.2006322535484151E-3</v>
      </c>
      <c r="X203" s="14">
        <f t="shared" si="32"/>
        <v>4.6866164806337596E-3</v>
      </c>
    </row>
    <row r="204" spans="1:24" x14ac:dyDescent="0.25">
      <c r="A204" s="1">
        <v>45582.705555555556</v>
      </c>
      <c r="B204" s="2">
        <v>127.31</v>
      </c>
      <c r="C204" s="2">
        <v>368.7</v>
      </c>
      <c r="D204" s="2">
        <v>16</v>
      </c>
      <c r="F204" s="2">
        <f t="shared" si="28"/>
        <v>-7.0971767274995434E-3</v>
      </c>
      <c r="G204" s="2">
        <f t="shared" si="26"/>
        <v>-8.1300813008133854E-4</v>
      </c>
      <c r="H204" s="2">
        <f t="shared" si="27"/>
        <v>6.2893081761006275E-3</v>
      </c>
      <c r="O204" s="6">
        <f t="shared" si="29"/>
        <v>-7.5464061750135699E-3</v>
      </c>
      <c r="P204" s="6">
        <f t="shared" si="30"/>
        <v>-1.8587518522318518E-3</v>
      </c>
      <c r="Q204" s="6">
        <f t="shared" si="31"/>
        <v>4.5235059774641206E-3</v>
      </c>
      <c r="X204" s="14">
        <f t="shared" si="32"/>
        <v>-2.5202485691601622E-3</v>
      </c>
    </row>
    <row r="205" spans="1:24" x14ac:dyDescent="0.25">
      <c r="A205" s="1">
        <v>45583.705555555556</v>
      </c>
      <c r="B205" s="2">
        <v>127.02</v>
      </c>
      <c r="C205" s="2">
        <v>372.55</v>
      </c>
      <c r="D205" s="2">
        <v>16.260000000000002</v>
      </c>
      <c r="F205" s="2">
        <f t="shared" si="28"/>
        <v>-2.277904328018221E-3</v>
      </c>
      <c r="G205" s="2">
        <f t="shared" si="26"/>
        <v>1.0442093843233025E-2</v>
      </c>
      <c r="H205" s="2">
        <f t="shared" si="27"/>
        <v>1.6250000000000098E-2</v>
      </c>
      <c r="O205" s="6">
        <f t="shared" si="29"/>
        <v>-2.7271337755322474E-3</v>
      </c>
      <c r="P205" s="6">
        <f t="shared" si="30"/>
        <v>9.3963501210825116E-3</v>
      </c>
      <c r="Q205" s="6">
        <f t="shared" si="31"/>
        <v>1.4484197801363591E-2</v>
      </c>
      <c r="X205" s="14">
        <f t="shared" si="32"/>
        <v>5.644316997785644E-3</v>
      </c>
    </row>
    <row r="206" spans="1:24" x14ac:dyDescent="0.25">
      <c r="A206" s="1">
        <v>45586.705555555556</v>
      </c>
      <c r="B206" s="2">
        <v>126.88</v>
      </c>
      <c r="C206" s="2">
        <v>371.64</v>
      </c>
      <c r="D206" s="2">
        <v>16.25</v>
      </c>
      <c r="F206" s="2">
        <f t="shared" si="28"/>
        <v>-1.1021886317115204E-3</v>
      </c>
      <c r="G206" s="2">
        <f t="shared" si="26"/>
        <v>-2.4426251509864771E-3</v>
      </c>
      <c r="H206" s="2">
        <f t="shared" si="27"/>
        <v>-6.1500615006160331E-4</v>
      </c>
      <c r="O206" s="6">
        <f t="shared" si="29"/>
        <v>-1.5514180792255469E-3</v>
      </c>
      <c r="P206" s="6">
        <f t="shared" si="30"/>
        <v>-3.4883688731369902E-3</v>
      </c>
      <c r="Q206" s="6">
        <f t="shared" si="31"/>
        <v>-2.3808083486981102E-3</v>
      </c>
      <c r="X206" s="14">
        <f t="shared" si="32"/>
        <v>-2.3607769688413754E-3</v>
      </c>
    </row>
    <row r="207" spans="1:24" x14ac:dyDescent="0.25">
      <c r="A207" s="1">
        <v>45587.705555555556</v>
      </c>
      <c r="B207" s="2">
        <v>126.49</v>
      </c>
      <c r="C207" s="2">
        <v>372</v>
      </c>
      <c r="D207" s="2">
        <v>16.440000000000001</v>
      </c>
      <c r="F207" s="2">
        <f t="shared" si="28"/>
        <v>-3.0737704918032405E-3</v>
      </c>
      <c r="G207" s="2">
        <f t="shared" si="26"/>
        <v>9.686793671295213E-4</v>
      </c>
      <c r="H207" s="2">
        <f t="shared" si="27"/>
        <v>1.1692307692307669E-2</v>
      </c>
      <c r="O207" s="6">
        <f t="shared" si="29"/>
        <v>-3.5229999393172669E-3</v>
      </c>
      <c r="P207" s="6">
        <f t="shared" si="30"/>
        <v>-7.706435502099194E-5</v>
      </c>
      <c r="Q207" s="6">
        <f t="shared" si="31"/>
        <v>9.9265054936711616E-3</v>
      </c>
      <c r="X207" s="14">
        <f t="shared" si="32"/>
        <v>1.2098266505535364E-3</v>
      </c>
    </row>
    <row r="208" spans="1:24" x14ac:dyDescent="0.25">
      <c r="A208" s="1">
        <v>45588.705555555556</v>
      </c>
      <c r="B208" s="2">
        <v>125.79</v>
      </c>
      <c r="C208" s="2">
        <v>368.01</v>
      </c>
      <c r="D208" s="2">
        <v>16.239999999999998</v>
      </c>
      <c r="F208" s="2">
        <f t="shared" si="28"/>
        <v>-5.5340343110126256E-3</v>
      </c>
      <c r="G208" s="2">
        <f t="shared" si="26"/>
        <v>-1.0725806451612918E-2</v>
      </c>
      <c r="H208" s="2">
        <f t="shared" si="27"/>
        <v>-1.2165450121654708E-2</v>
      </c>
      <c r="O208" s="6">
        <f t="shared" si="29"/>
        <v>-5.983263758526652E-3</v>
      </c>
      <c r="P208" s="6">
        <f t="shared" si="30"/>
        <v>-1.1771550173763431E-2</v>
      </c>
      <c r="Q208" s="6">
        <f t="shared" si="31"/>
        <v>-1.3931252320291215E-2</v>
      </c>
      <c r="X208" s="14">
        <f t="shared" si="32"/>
        <v>-9.9060601039525943E-3</v>
      </c>
    </row>
    <row r="209" spans="1:24" x14ac:dyDescent="0.25">
      <c r="A209" s="1">
        <v>45589.705555555556</v>
      </c>
      <c r="B209" s="2">
        <v>126.68</v>
      </c>
      <c r="C209" s="2">
        <v>366.8</v>
      </c>
      <c r="D209" s="2">
        <v>16.27</v>
      </c>
      <c r="F209" s="2">
        <f t="shared" si="28"/>
        <v>7.0752842038317443E-3</v>
      </c>
      <c r="G209" s="2">
        <f t="shared" si="26"/>
        <v>-3.2879541316811478E-3</v>
      </c>
      <c r="H209" s="2">
        <f t="shared" si="27"/>
        <v>1.847290640394128E-3</v>
      </c>
      <c r="O209" s="6">
        <f t="shared" si="29"/>
        <v>6.6260547563177178E-3</v>
      </c>
      <c r="P209" s="6">
        <f t="shared" si="30"/>
        <v>-4.3336978538316608E-3</v>
      </c>
      <c r="Q209" s="6">
        <f t="shared" si="31"/>
        <v>8.1488441757621155E-5</v>
      </c>
      <c r="X209" s="14">
        <f t="shared" si="32"/>
        <v>1.537276503052716E-3</v>
      </c>
    </row>
    <row r="210" spans="1:24" x14ac:dyDescent="0.25">
      <c r="A210" s="1">
        <v>45590.705555555556</v>
      </c>
      <c r="B210" s="2">
        <v>126.43</v>
      </c>
      <c r="C210" s="2">
        <v>369.43</v>
      </c>
      <c r="D210" s="2">
        <v>16.43</v>
      </c>
      <c r="F210" s="2">
        <f t="shared" si="28"/>
        <v>-1.9734764761604184E-3</v>
      </c>
      <c r="G210" s="2">
        <f t="shared" si="26"/>
        <v>7.1701199563793949E-3</v>
      </c>
      <c r="H210" s="2">
        <f t="shared" si="27"/>
        <v>9.8340503995082429E-3</v>
      </c>
      <c r="O210" s="6">
        <f t="shared" si="29"/>
        <v>-2.4227059236744449E-3</v>
      </c>
      <c r="P210" s="6">
        <f t="shared" si="30"/>
        <v>6.1243762342288819E-3</v>
      </c>
      <c r="Q210" s="6">
        <f t="shared" si="31"/>
        <v>8.068248200871736E-3</v>
      </c>
      <c r="X210" s="14">
        <f t="shared" si="32"/>
        <v>3.0273275912582722E-3</v>
      </c>
    </row>
    <row r="211" spans="1:24" x14ac:dyDescent="0.25">
      <c r="A211" s="1">
        <v>45593.705555555556</v>
      </c>
      <c r="B211" s="2">
        <v>127.69</v>
      </c>
      <c r="C211" s="2">
        <v>370.8</v>
      </c>
      <c r="D211" s="2">
        <v>16.420000000000002</v>
      </c>
      <c r="F211" s="2">
        <f t="shared" si="28"/>
        <v>9.9659890848691202E-3</v>
      </c>
      <c r="G211" s="2">
        <f t="shared" ref="G211:G274" si="33">(C211/C210)-1</f>
        <v>3.7084156673794499E-3</v>
      </c>
      <c r="H211" s="2">
        <f t="shared" ref="H211:H274" si="34">(D211/D210)-1</f>
        <v>-6.0864272671934394E-4</v>
      </c>
      <c r="O211" s="6">
        <f t="shared" si="29"/>
        <v>9.5167596373550937E-3</v>
      </c>
      <c r="P211" s="6">
        <f t="shared" si="30"/>
        <v>2.6626719452289369E-3</v>
      </c>
      <c r="Q211" s="6">
        <f t="shared" si="31"/>
        <v>-2.3744449253558508E-3</v>
      </c>
      <c r="X211" s="14">
        <f t="shared" si="32"/>
        <v>4.1897065748906772E-3</v>
      </c>
    </row>
    <row r="212" spans="1:24" x14ac:dyDescent="0.25">
      <c r="A212" s="1">
        <v>45594.705555555556</v>
      </c>
      <c r="B212" s="2">
        <v>127.25</v>
      </c>
      <c r="C212" s="2">
        <v>375.55</v>
      </c>
      <c r="D212" s="2">
        <v>16.420000000000002</v>
      </c>
      <c r="F212" s="2">
        <f t="shared" si="28"/>
        <v>-3.445845406844672E-3</v>
      </c>
      <c r="G212" s="2">
        <f t="shared" si="33"/>
        <v>1.281014023732463E-2</v>
      </c>
      <c r="H212" s="2">
        <f t="shared" si="34"/>
        <v>0</v>
      </c>
      <c r="O212" s="6">
        <f t="shared" si="29"/>
        <v>-3.8950748543586985E-3</v>
      </c>
      <c r="P212" s="6">
        <f t="shared" si="30"/>
        <v>1.1764396515174117E-2</v>
      </c>
      <c r="Q212" s="6">
        <f t="shared" si="31"/>
        <v>-1.7658021986365069E-3</v>
      </c>
      <c r="X212" s="14">
        <f t="shared" si="32"/>
        <v>1.3898283587541677E-3</v>
      </c>
    </row>
    <row r="213" spans="1:24" x14ac:dyDescent="0.25">
      <c r="A213" s="1">
        <v>45595.705555555556</v>
      </c>
      <c r="B213" s="2">
        <v>127.15</v>
      </c>
      <c r="C213" s="2">
        <v>373.6</v>
      </c>
      <c r="D213" s="2">
        <v>16.86</v>
      </c>
      <c r="F213" s="2">
        <f t="shared" si="28"/>
        <v>-7.8585461689584246E-4</v>
      </c>
      <c r="G213" s="2">
        <f t="shared" si="33"/>
        <v>-5.192384502729297E-3</v>
      </c>
      <c r="H213" s="2">
        <f t="shared" si="34"/>
        <v>2.6796589524969328E-2</v>
      </c>
      <c r="O213" s="6">
        <f t="shared" si="29"/>
        <v>-1.2350840644098689E-3</v>
      </c>
      <c r="P213" s="6">
        <f t="shared" si="30"/>
        <v>-6.23812822487981E-3</v>
      </c>
      <c r="Q213" s="6">
        <f t="shared" si="31"/>
        <v>2.5030787326332821E-2</v>
      </c>
      <c r="X213" s="14">
        <f t="shared" si="32"/>
        <v>4.4868403073043024E-3</v>
      </c>
    </row>
    <row r="214" spans="1:24" x14ac:dyDescent="0.25">
      <c r="A214" s="1">
        <v>45596.705555555556</v>
      </c>
      <c r="B214" s="2">
        <v>126.26</v>
      </c>
      <c r="C214" s="2">
        <v>368.58</v>
      </c>
      <c r="D214" s="2">
        <v>16.670000000000002</v>
      </c>
      <c r="F214" s="2">
        <f t="shared" si="28"/>
        <v>-6.9996067636649562E-3</v>
      </c>
      <c r="G214" s="2">
        <f t="shared" si="33"/>
        <v>-1.343683083511793E-2</v>
      </c>
      <c r="H214" s="2">
        <f t="shared" si="34"/>
        <v>-1.1269276393831462E-2</v>
      </c>
      <c r="O214" s="6">
        <f t="shared" si="29"/>
        <v>-7.4488362111789826E-3</v>
      </c>
      <c r="P214" s="6">
        <f t="shared" si="30"/>
        <v>-1.4482574557268443E-2</v>
      </c>
      <c r="Q214" s="6">
        <f t="shared" si="31"/>
        <v>-1.3035078592467969E-2</v>
      </c>
      <c r="X214" s="14">
        <f t="shared" si="32"/>
        <v>-1.10958888268138E-2</v>
      </c>
    </row>
    <row r="215" spans="1:24" x14ac:dyDescent="0.25">
      <c r="A215" s="1">
        <v>45600.705555555556</v>
      </c>
      <c r="B215" s="2">
        <v>127</v>
      </c>
      <c r="C215" s="2">
        <v>369.07</v>
      </c>
      <c r="D215" s="2">
        <v>16.62</v>
      </c>
      <c r="F215" s="2">
        <f t="shared" si="28"/>
        <v>5.8609219071756868E-3</v>
      </c>
      <c r="G215" s="2">
        <f t="shared" si="33"/>
        <v>1.3294264474470463E-3</v>
      </c>
      <c r="H215" s="2">
        <f t="shared" si="34"/>
        <v>-2.9994001199760145E-3</v>
      </c>
      <c r="O215" s="6">
        <f t="shared" si="29"/>
        <v>5.4116924596616604E-3</v>
      </c>
      <c r="P215" s="6">
        <f t="shared" si="30"/>
        <v>2.8368272529653306E-4</v>
      </c>
      <c r="Q215" s="6">
        <f t="shared" si="31"/>
        <v>-4.7652023186125214E-3</v>
      </c>
      <c r="X215" s="14">
        <f t="shared" si="32"/>
        <v>1.074075928438446E-3</v>
      </c>
    </row>
    <row r="216" spans="1:24" x14ac:dyDescent="0.25">
      <c r="A216" s="1">
        <v>45601.705555555556</v>
      </c>
      <c r="B216" s="2">
        <v>127.17</v>
      </c>
      <c r="C216" s="2">
        <v>370.55</v>
      </c>
      <c r="D216" s="2">
        <v>16.55</v>
      </c>
      <c r="F216" s="2">
        <f t="shared" si="28"/>
        <v>1.3385826771654674E-3</v>
      </c>
      <c r="G216" s="2">
        <f t="shared" si="33"/>
        <v>4.0100793887338781E-3</v>
      </c>
      <c r="H216" s="2">
        <f t="shared" si="34"/>
        <v>-4.2117930204572662E-3</v>
      </c>
      <c r="O216" s="6">
        <f t="shared" si="29"/>
        <v>8.8935322965144094E-4</v>
      </c>
      <c r="P216" s="6">
        <f t="shared" si="30"/>
        <v>2.9643356665833651E-3</v>
      </c>
      <c r="Q216" s="6">
        <f t="shared" si="31"/>
        <v>-5.9775952190937731E-3</v>
      </c>
      <c r="X216" s="14">
        <f t="shared" si="32"/>
        <v>-3.7641719011887072E-4</v>
      </c>
    </row>
    <row r="217" spans="1:24" x14ac:dyDescent="0.25">
      <c r="A217" s="1">
        <v>45602.705555555556</v>
      </c>
      <c r="B217" s="2">
        <v>126.86</v>
      </c>
      <c r="C217" s="2">
        <v>375.25</v>
      </c>
      <c r="D217" s="2">
        <v>15.83</v>
      </c>
      <c r="F217" s="2">
        <f t="shared" si="28"/>
        <v>-2.4376818432020331E-3</v>
      </c>
      <c r="G217" s="2">
        <f t="shared" si="33"/>
        <v>1.268384833355829E-2</v>
      </c>
      <c r="H217" s="2">
        <f t="shared" si="34"/>
        <v>-4.3504531722054374E-2</v>
      </c>
      <c r="O217" s="6">
        <f t="shared" si="29"/>
        <v>-2.8869112907160595E-3</v>
      </c>
      <c r="P217" s="6">
        <f t="shared" si="30"/>
        <v>1.1638104611407777E-2</v>
      </c>
      <c r="Q217" s="6">
        <f t="shared" si="31"/>
        <v>-4.5270333920690881E-2</v>
      </c>
      <c r="X217" s="14">
        <f t="shared" si="32"/>
        <v>-1.0183784559536342E-2</v>
      </c>
    </row>
    <row r="218" spans="1:24" x14ac:dyDescent="0.25">
      <c r="A218" s="1">
        <v>45603.705555555556</v>
      </c>
      <c r="B218" s="2">
        <v>126.23</v>
      </c>
      <c r="C218" s="2">
        <v>379.7</v>
      </c>
      <c r="D218" s="2">
        <v>16.149999999999999</v>
      </c>
      <c r="F218" s="2">
        <f t="shared" si="28"/>
        <v>-4.9661043670187199E-3</v>
      </c>
      <c r="G218" s="2">
        <f t="shared" si="33"/>
        <v>1.1858760826115811E-2</v>
      </c>
      <c r="H218" s="2">
        <f t="shared" si="34"/>
        <v>2.0214782059380765E-2</v>
      </c>
      <c r="O218" s="6">
        <f t="shared" si="29"/>
        <v>-5.4153338145327464E-3</v>
      </c>
      <c r="P218" s="6">
        <f t="shared" si="30"/>
        <v>1.0813017103965298E-2</v>
      </c>
      <c r="Q218" s="6">
        <f t="shared" si="31"/>
        <v>1.8448979860744258E-2</v>
      </c>
      <c r="X218" s="14">
        <f t="shared" si="32"/>
        <v>6.0175900351621976E-3</v>
      </c>
    </row>
    <row r="219" spans="1:24" x14ac:dyDescent="0.25">
      <c r="A219" s="1">
        <v>45604.705555555556</v>
      </c>
      <c r="B219" s="2">
        <v>124.44</v>
      </c>
      <c r="C219" s="2">
        <v>384.2</v>
      </c>
      <c r="D219" s="2">
        <v>16.13</v>
      </c>
      <c r="F219" s="2">
        <f t="shared" si="28"/>
        <v>-1.4180464231957624E-2</v>
      </c>
      <c r="G219" s="2">
        <f t="shared" si="33"/>
        <v>1.1851461680273845E-2</v>
      </c>
      <c r="H219" s="2">
        <f t="shared" si="34"/>
        <v>-1.2383900928791824E-3</v>
      </c>
      <c r="O219" s="6">
        <f t="shared" si="29"/>
        <v>-1.462969367947165E-2</v>
      </c>
      <c r="P219" s="6">
        <f t="shared" si="30"/>
        <v>1.0805717958123332E-2</v>
      </c>
      <c r="Q219" s="6">
        <f t="shared" si="31"/>
        <v>-3.0041922915156893E-3</v>
      </c>
      <c r="X219" s="14">
        <f t="shared" si="32"/>
        <v>-3.7995392447866959E-3</v>
      </c>
    </row>
    <row r="220" spans="1:24" x14ac:dyDescent="0.25">
      <c r="A220" s="1">
        <v>45607.705555555556</v>
      </c>
      <c r="B220" s="2">
        <v>124.46</v>
      </c>
      <c r="C220" s="2">
        <v>385.95</v>
      </c>
      <c r="D220" s="2">
        <v>15.82</v>
      </c>
      <c r="F220" s="2">
        <f t="shared" si="28"/>
        <v>1.6072002571521082E-4</v>
      </c>
      <c r="G220" s="2">
        <f t="shared" si="33"/>
        <v>4.5549193128577858E-3</v>
      </c>
      <c r="H220" s="2">
        <f t="shared" si="34"/>
        <v>-1.9218846869187733E-2</v>
      </c>
      <c r="O220" s="6">
        <f t="shared" si="29"/>
        <v>-2.885094217988156E-4</v>
      </c>
      <c r="P220" s="6">
        <f t="shared" si="30"/>
        <v>3.5091755907072728E-3</v>
      </c>
      <c r="Q220" s="6">
        <f t="shared" si="31"/>
        <v>-2.098464906782424E-2</v>
      </c>
      <c r="X220" s="14">
        <f t="shared" si="32"/>
        <v>-4.8404378450873685E-3</v>
      </c>
    </row>
    <row r="221" spans="1:24" x14ac:dyDescent="0.25">
      <c r="A221" s="1">
        <v>45608.705555555556</v>
      </c>
      <c r="B221" s="2">
        <v>124.29</v>
      </c>
      <c r="C221" s="2">
        <v>384.48</v>
      </c>
      <c r="D221" s="2">
        <v>15.67</v>
      </c>
      <c r="F221" s="2">
        <f t="shared" si="28"/>
        <v>-1.3659006909849669E-3</v>
      </c>
      <c r="G221" s="2">
        <f t="shared" si="33"/>
        <v>-3.8087835211814136E-3</v>
      </c>
      <c r="H221" s="2">
        <f t="shared" si="34"/>
        <v>-9.481668773704155E-3</v>
      </c>
      <c r="O221" s="6">
        <f t="shared" si="29"/>
        <v>-1.8151301384989934E-3</v>
      </c>
      <c r="P221" s="6">
        <f t="shared" si="30"/>
        <v>-4.8545272433319266E-3</v>
      </c>
      <c r="Q221" s="6">
        <f t="shared" si="31"/>
        <v>-1.1247470972340662E-2</v>
      </c>
      <c r="X221" s="14">
        <f t="shared" si="32"/>
        <v>-5.3212053830379458E-3</v>
      </c>
    </row>
    <row r="222" spans="1:24" x14ac:dyDescent="0.25">
      <c r="A222" s="1">
        <v>45609.705555555556</v>
      </c>
      <c r="B222" s="2">
        <v>124.33</v>
      </c>
      <c r="C222" s="2">
        <v>387.96</v>
      </c>
      <c r="D222" s="2">
        <v>15.67</v>
      </c>
      <c r="F222" s="2">
        <f t="shared" si="28"/>
        <v>3.2182798294311254E-4</v>
      </c>
      <c r="G222" s="2">
        <f t="shared" si="33"/>
        <v>9.0511860174780079E-3</v>
      </c>
      <c r="H222" s="2">
        <f t="shared" si="34"/>
        <v>0</v>
      </c>
      <c r="O222" s="6">
        <f t="shared" si="29"/>
        <v>-1.2740146457091388E-4</v>
      </c>
      <c r="P222" s="6">
        <f t="shared" si="30"/>
        <v>8.0054422953274949E-3</v>
      </c>
      <c r="Q222" s="6">
        <f t="shared" si="31"/>
        <v>-1.7658021986365069E-3</v>
      </c>
      <c r="X222" s="14">
        <f t="shared" si="32"/>
        <v>1.8626556562448035E-3</v>
      </c>
    </row>
    <row r="223" spans="1:24" x14ac:dyDescent="0.25">
      <c r="A223" s="1">
        <v>45610.705555555556</v>
      </c>
      <c r="B223" s="2">
        <v>124.39</v>
      </c>
      <c r="C223" s="2">
        <v>384.96</v>
      </c>
      <c r="D223" s="2">
        <v>15.61</v>
      </c>
      <c r="F223" s="2">
        <f t="shared" si="28"/>
        <v>4.8258666452194454E-4</v>
      </c>
      <c r="G223" s="2">
        <f t="shared" si="33"/>
        <v>-7.7327559542220703E-3</v>
      </c>
      <c r="H223" s="2">
        <f t="shared" si="34"/>
        <v>-3.8289725590300305E-3</v>
      </c>
      <c r="O223" s="6">
        <f t="shared" si="29"/>
        <v>3.3357217007918118E-5</v>
      </c>
      <c r="P223" s="6">
        <f t="shared" si="30"/>
        <v>-8.7784996763725833E-3</v>
      </c>
      <c r="Q223" s="6">
        <f t="shared" si="31"/>
        <v>-5.5947747576665374E-3</v>
      </c>
      <c r="X223" s="14">
        <f t="shared" si="32"/>
        <v>-4.1588207388731993E-3</v>
      </c>
    </row>
    <row r="224" spans="1:24" x14ac:dyDescent="0.25">
      <c r="A224" s="1">
        <v>45614.705555555556</v>
      </c>
      <c r="B224" s="2">
        <v>124.37</v>
      </c>
      <c r="C224" s="2">
        <v>378.55</v>
      </c>
      <c r="D224" s="2">
        <v>15.76</v>
      </c>
      <c r="F224" s="2">
        <f t="shared" si="28"/>
        <v>-1.607846289893855E-4</v>
      </c>
      <c r="G224" s="2">
        <f t="shared" si="33"/>
        <v>-1.6651080631753912E-2</v>
      </c>
      <c r="H224" s="2">
        <f t="shared" si="34"/>
        <v>9.6092248558616866E-3</v>
      </c>
      <c r="O224" s="6">
        <f t="shared" si="29"/>
        <v>-6.1001407650341198E-4</v>
      </c>
      <c r="P224" s="6">
        <f t="shared" si="30"/>
        <v>-1.7696824353904426E-2</v>
      </c>
      <c r="Q224" s="6">
        <f t="shared" si="31"/>
        <v>7.8434226572251797E-3</v>
      </c>
      <c r="X224" s="14">
        <f t="shared" si="32"/>
        <v>-3.4129292933673784E-3</v>
      </c>
    </row>
    <row r="225" spans="1:24" x14ac:dyDescent="0.25">
      <c r="A225" s="1">
        <v>45615.705555555556</v>
      </c>
      <c r="B225" s="2">
        <v>124.78</v>
      </c>
      <c r="C225" s="2">
        <v>381.65</v>
      </c>
      <c r="D225" s="2">
        <v>15.96</v>
      </c>
      <c r="F225" s="2">
        <f t="shared" si="28"/>
        <v>3.296614939294118E-3</v>
      </c>
      <c r="G225" s="2">
        <f t="shared" si="33"/>
        <v>8.1891427816667139E-3</v>
      </c>
      <c r="H225" s="2">
        <f t="shared" si="34"/>
        <v>1.2690355329949332E-2</v>
      </c>
      <c r="O225" s="6">
        <f t="shared" si="29"/>
        <v>2.8473854917800915E-3</v>
      </c>
      <c r="P225" s="6">
        <f t="shared" si="30"/>
        <v>7.1433990595162009E-3</v>
      </c>
      <c r="Q225" s="6">
        <f t="shared" si="31"/>
        <v>1.0924553131312825E-2</v>
      </c>
      <c r="X225" s="14">
        <f t="shared" si="32"/>
        <v>6.3578826986993974E-3</v>
      </c>
    </row>
    <row r="226" spans="1:24" x14ac:dyDescent="0.25">
      <c r="A226" s="1">
        <v>45617.705555555556</v>
      </c>
      <c r="B226" s="2">
        <v>123.56</v>
      </c>
      <c r="C226" s="2">
        <v>386.3</v>
      </c>
      <c r="D226" s="2">
        <v>16.3</v>
      </c>
      <c r="F226" s="2">
        <f t="shared" si="28"/>
        <v>-9.7772078858791023E-3</v>
      </c>
      <c r="G226" s="2">
        <f t="shared" si="33"/>
        <v>1.2183938163238706E-2</v>
      </c>
      <c r="H226" s="2">
        <f t="shared" si="34"/>
        <v>2.130325814536338E-2</v>
      </c>
      <c r="O226" s="6">
        <f t="shared" si="29"/>
        <v>-1.0226437333393129E-2</v>
      </c>
      <c r="P226" s="6">
        <f t="shared" si="30"/>
        <v>1.1138194441088193E-2</v>
      </c>
      <c r="Q226" s="6">
        <f t="shared" si="31"/>
        <v>1.9537455946726873E-2</v>
      </c>
      <c r="X226" s="14">
        <f t="shared" si="32"/>
        <v>4.3702908018005554E-3</v>
      </c>
    </row>
    <row r="227" spans="1:24" x14ac:dyDescent="0.25">
      <c r="A227" s="1">
        <v>45618.705555555556</v>
      </c>
      <c r="B227" s="2">
        <v>125.66</v>
      </c>
      <c r="C227" s="2">
        <v>387.2</v>
      </c>
      <c r="D227" s="2">
        <v>16.48</v>
      </c>
      <c r="F227" s="2">
        <f t="shared" si="28"/>
        <v>1.6995791518290559E-2</v>
      </c>
      <c r="G227" s="2">
        <f t="shared" si="33"/>
        <v>2.3297954957286482E-3</v>
      </c>
      <c r="H227" s="2">
        <f t="shared" si="34"/>
        <v>1.104294478527601E-2</v>
      </c>
      <c r="O227" s="6">
        <f t="shared" si="29"/>
        <v>1.6546562070776535E-2</v>
      </c>
      <c r="P227" s="6">
        <f t="shared" si="30"/>
        <v>1.284051773578135E-3</v>
      </c>
      <c r="Q227" s="6">
        <f t="shared" si="31"/>
        <v>9.277142586639503E-3</v>
      </c>
      <c r="X227" s="14">
        <f t="shared" si="32"/>
        <v>9.9672054173028102E-3</v>
      </c>
    </row>
    <row r="228" spans="1:24" x14ac:dyDescent="0.25">
      <c r="A228" s="1">
        <v>45621.705555555556</v>
      </c>
      <c r="B228" s="2">
        <v>125.61</v>
      </c>
      <c r="C228" s="2">
        <v>388.75</v>
      </c>
      <c r="D228" s="2">
        <v>15.98</v>
      </c>
      <c r="F228" s="2">
        <f t="shared" si="28"/>
        <v>-3.9789909279008828E-4</v>
      </c>
      <c r="G228" s="2">
        <f t="shared" si="33"/>
        <v>4.0030991735537924E-3</v>
      </c>
      <c r="H228" s="2">
        <f t="shared" si="34"/>
        <v>-3.033980582524276E-2</v>
      </c>
      <c r="O228" s="6">
        <f t="shared" si="29"/>
        <v>-8.4712854030411476E-4</v>
      </c>
      <c r="P228" s="6">
        <f t="shared" si="30"/>
        <v>2.9573554514032794E-3</v>
      </c>
      <c r="Q228" s="6">
        <f t="shared" si="31"/>
        <v>-3.2105608023879267E-2</v>
      </c>
      <c r="X228" s="14">
        <f t="shared" si="32"/>
        <v>-8.3017408233553459E-3</v>
      </c>
    </row>
    <row r="229" spans="1:24" x14ac:dyDescent="0.25">
      <c r="A229" s="1">
        <v>45622.705555555556</v>
      </c>
      <c r="B229" s="2">
        <v>126.47</v>
      </c>
      <c r="C229" s="2">
        <v>391.15</v>
      </c>
      <c r="D229" s="2">
        <v>16.05</v>
      </c>
      <c r="F229" s="2">
        <f t="shared" si="28"/>
        <v>6.8465886474007309E-3</v>
      </c>
      <c r="G229" s="2">
        <f t="shared" si="33"/>
        <v>6.1736334405144699E-3</v>
      </c>
      <c r="H229" s="2">
        <f t="shared" si="34"/>
        <v>4.3804755944931717E-3</v>
      </c>
      <c r="O229" s="6">
        <f t="shared" si="29"/>
        <v>6.3973591998867044E-3</v>
      </c>
      <c r="P229" s="6">
        <f t="shared" si="30"/>
        <v>5.1278897183639569E-3</v>
      </c>
      <c r="Q229" s="6">
        <f t="shared" si="31"/>
        <v>2.6146733958566648E-3</v>
      </c>
      <c r="X229" s="14">
        <f t="shared" si="32"/>
        <v>4.9761296016882115E-3</v>
      </c>
    </row>
    <row r="230" spans="1:24" x14ac:dyDescent="0.25">
      <c r="A230" s="1">
        <v>45623.705555555556</v>
      </c>
      <c r="B230" s="2">
        <v>124.33</v>
      </c>
      <c r="C230" s="2">
        <v>397.5</v>
      </c>
      <c r="D230" s="2">
        <v>16.399999999999999</v>
      </c>
      <c r="F230" s="2">
        <f t="shared" si="28"/>
        <v>-1.6921008934925319E-2</v>
      </c>
      <c r="G230" s="2">
        <f t="shared" si="33"/>
        <v>1.6234181260386116E-2</v>
      </c>
      <c r="H230" s="2">
        <f t="shared" si="34"/>
        <v>2.1806853582554409E-2</v>
      </c>
      <c r="O230" s="6">
        <f t="shared" si="29"/>
        <v>-1.7370238382439344E-2</v>
      </c>
      <c r="P230" s="6">
        <f t="shared" si="30"/>
        <v>1.5188437538235603E-2</v>
      </c>
      <c r="Q230" s="6">
        <f t="shared" si="31"/>
        <v>2.0041051383917902E-2</v>
      </c>
      <c r="X230" s="14">
        <f t="shared" si="32"/>
        <v>2.6888645708233443E-3</v>
      </c>
    </row>
    <row r="231" spans="1:24" x14ac:dyDescent="0.25">
      <c r="A231" s="1">
        <v>45624.705555555556</v>
      </c>
      <c r="B231" s="2">
        <v>121.44</v>
      </c>
      <c r="C231" s="2">
        <v>402.51</v>
      </c>
      <c r="D231" s="2">
        <v>16.55</v>
      </c>
      <c r="F231" s="2">
        <f t="shared" si="28"/>
        <v>-2.3244591007801851E-2</v>
      </c>
      <c r="G231" s="2">
        <f t="shared" si="33"/>
        <v>1.2603773584905609E-2</v>
      </c>
      <c r="H231" s="2">
        <f t="shared" si="34"/>
        <v>9.1463414634147533E-3</v>
      </c>
      <c r="O231" s="6">
        <f t="shared" si="29"/>
        <v>-2.3693820455315876E-2</v>
      </c>
      <c r="P231" s="6">
        <f t="shared" si="30"/>
        <v>1.1558029862755096E-2</v>
      </c>
      <c r="Q231" s="6">
        <f t="shared" si="31"/>
        <v>7.3805392647782464E-3</v>
      </c>
      <c r="X231" s="14">
        <f t="shared" si="32"/>
        <v>-4.5692121812132332E-3</v>
      </c>
    </row>
    <row r="232" spans="1:24" x14ac:dyDescent="0.25">
      <c r="A232" s="1">
        <v>45625.705555555556</v>
      </c>
      <c r="B232" s="2">
        <v>122.34</v>
      </c>
      <c r="C232" s="2">
        <v>402.85</v>
      </c>
      <c r="D232" s="2">
        <v>16.670000000000002</v>
      </c>
      <c r="F232" s="2">
        <f t="shared" si="28"/>
        <v>7.4110671936760131E-3</v>
      </c>
      <c r="G232" s="2">
        <f t="shared" si="33"/>
        <v>8.4469951057131176E-4</v>
      </c>
      <c r="H232" s="2">
        <f t="shared" si="34"/>
        <v>7.2507552870091363E-3</v>
      </c>
      <c r="O232" s="6">
        <f t="shared" si="29"/>
        <v>6.9618377461619866E-3</v>
      </c>
      <c r="P232" s="6">
        <f t="shared" si="30"/>
        <v>-2.0104421157920147E-4</v>
      </c>
      <c r="Q232" s="6">
        <f t="shared" si="31"/>
        <v>5.4849530883726294E-3</v>
      </c>
      <c r="X232" s="14">
        <f t="shared" si="32"/>
        <v>4.4061345026803148E-3</v>
      </c>
    </row>
    <row r="233" spans="1:24" x14ac:dyDescent="0.25">
      <c r="A233" s="1">
        <v>45628.705555555556</v>
      </c>
      <c r="B233" s="2">
        <v>121.94</v>
      </c>
      <c r="C233" s="2">
        <v>410</v>
      </c>
      <c r="D233" s="2">
        <v>16.79</v>
      </c>
      <c r="F233" s="2">
        <f t="shared" si="28"/>
        <v>-3.2695765898316242E-3</v>
      </c>
      <c r="G233" s="2">
        <f t="shared" si="33"/>
        <v>1.774854164080919E-2</v>
      </c>
      <c r="H233" s="2">
        <f t="shared" si="34"/>
        <v>7.1985602879423016E-3</v>
      </c>
      <c r="O233" s="6">
        <f t="shared" si="29"/>
        <v>-3.7188060373456507E-3</v>
      </c>
      <c r="P233" s="6">
        <f t="shared" si="30"/>
        <v>1.6702797918658675E-2</v>
      </c>
      <c r="Q233" s="6">
        <f t="shared" si="31"/>
        <v>5.4327580893057947E-3</v>
      </c>
      <c r="X233" s="14">
        <f t="shared" si="32"/>
        <v>4.9263755938531127E-3</v>
      </c>
    </row>
    <row r="234" spans="1:24" x14ac:dyDescent="0.25">
      <c r="A234" s="1">
        <v>45629.705555555556</v>
      </c>
      <c r="B234" s="2">
        <v>122.8</v>
      </c>
      <c r="C234" s="2">
        <v>409.1</v>
      </c>
      <c r="D234" s="2">
        <v>16.760000000000002</v>
      </c>
      <c r="F234" s="2">
        <f t="shared" si="28"/>
        <v>7.0526488436937207E-3</v>
      </c>
      <c r="G234" s="2">
        <f t="shared" si="33"/>
        <v>-2.1951219512194031E-3</v>
      </c>
      <c r="H234" s="2">
        <f t="shared" si="34"/>
        <v>-1.7867778439546456E-3</v>
      </c>
      <c r="O234" s="6">
        <f t="shared" si="29"/>
        <v>6.6034193961796942E-3</v>
      </c>
      <c r="P234" s="6">
        <f t="shared" si="30"/>
        <v>-3.2408656733699161E-3</v>
      </c>
      <c r="Q234" s="6">
        <f t="shared" si="31"/>
        <v>-3.5525800425911525E-3</v>
      </c>
      <c r="X234" s="14">
        <f t="shared" si="32"/>
        <v>8.5621621880433178E-4</v>
      </c>
    </row>
    <row r="235" spans="1:24" x14ac:dyDescent="0.25">
      <c r="A235" s="1">
        <v>45630.705555555556</v>
      </c>
      <c r="B235" s="2">
        <v>122.77</v>
      </c>
      <c r="C235" s="2">
        <v>411.2</v>
      </c>
      <c r="D235" s="2">
        <v>16.78</v>
      </c>
      <c r="F235" s="2">
        <f t="shared" si="28"/>
        <v>-2.4429967426708998E-4</v>
      </c>
      <c r="G235" s="2">
        <f t="shared" si="33"/>
        <v>5.1332192617941086E-3</v>
      </c>
      <c r="H235" s="2">
        <f t="shared" si="34"/>
        <v>1.1933174224343368E-3</v>
      </c>
      <c r="O235" s="6">
        <f t="shared" si="29"/>
        <v>-6.9352912178111646E-4</v>
      </c>
      <c r="P235" s="6">
        <f t="shared" si="30"/>
        <v>4.0874755396435956E-3</v>
      </c>
      <c r="Q235" s="6">
        <f t="shared" si="31"/>
        <v>-5.7248477620217009E-4</v>
      </c>
      <c r="X235" s="14">
        <f t="shared" si="32"/>
        <v>7.7451700266566517E-4</v>
      </c>
    </row>
    <row r="236" spans="1:24" x14ac:dyDescent="0.25">
      <c r="A236" s="1">
        <v>45631.705555555556</v>
      </c>
      <c r="B236" s="2">
        <v>124.47</v>
      </c>
      <c r="C236" s="2">
        <v>408.19</v>
      </c>
      <c r="D236" s="2">
        <v>16.57</v>
      </c>
      <c r="F236" s="2">
        <f t="shared" si="28"/>
        <v>1.3847031033640267E-2</v>
      </c>
      <c r="G236" s="2">
        <f t="shared" si="33"/>
        <v>-7.3200389105058106E-3</v>
      </c>
      <c r="H236" s="2">
        <f t="shared" si="34"/>
        <v>-1.2514898688915421E-2</v>
      </c>
      <c r="O236" s="6">
        <f t="shared" si="29"/>
        <v>1.339780158612624E-2</v>
      </c>
      <c r="P236" s="6">
        <f t="shared" si="30"/>
        <v>-8.3657826326563236E-3</v>
      </c>
      <c r="Q236" s="6">
        <f t="shared" si="31"/>
        <v>-1.4280700887551928E-2</v>
      </c>
      <c r="X236" s="14">
        <f t="shared" si="32"/>
        <v>-7.451519696818525E-4</v>
      </c>
    </row>
    <row r="237" spans="1:24" x14ac:dyDescent="0.25">
      <c r="A237" s="1">
        <v>45632.705555555556</v>
      </c>
      <c r="B237" s="2">
        <v>122.67</v>
      </c>
      <c r="C237" s="2">
        <v>413.87</v>
      </c>
      <c r="D237" s="2">
        <v>16.82</v>
      </c>
      <c r="F237" s="2">
        <f t="shared" si="28"/>
        <v>-1.4461315979754086E-2</v>
      </c>
      <c r="G237" s="2">
        <f t="shared" si="33"/>
        <v>1.3915088561699207E-2</v>
      </c>
      <c r="H237" s="2">
        <f t="shared" si="34"/>
        <v>1.5087507543753764E-2</v>
      </c>
      <c r="O237" s="6">
        <f t="shared" si="29"/>
        <v>-1.4910545427268112E-2</v>
      </c>
      <c r="P237" s="6">
        <f t="shared" si="30"/>
        <v>1.2869344839548694E-2</v>
      </c>
      <c r="Q237" s="6">
        <f t="shared" si="31"/>
        <v>1.3321705345117257E-2</v>
      </c>
      <c r="X237" s="14">
        <f t="shared" si="32"/>
        <v>1.1901595404033697E-3</v>
      </c>
    </row>
    <row r="238" spans="1:24" x14ac:dyDescent="0.25">
      <c r="A238" s="1">
        <v>45635.705555555556</v>
      </c>
      <c r="B238" s="2">
        <v>123.85</v>
      </c>
      <c r="C238" s="2">
        <v>411.85</v>
      </c>
      <c r="D238" s="2">
        <v>16.96</v>
      </c>
      <c r="F238" s="2">
        <f t="shared" si="28"/>
        <v>9.6193038232657013E-3</v>
      </c>
      <c r="G238" s="2">
        <f t="shared" si="33"/>
        <v>-4.8807596588300584E-3</v>
      </c>
      <c r="H238" s="2">
        <f t="shared" si="34"/>
        <v>8.3234244946492897E-3</v>
      </c>
      <c r="O238" s="6">
        <f t="shared" si="29"/>
        <v>9.1700743757516748E-3</v>
      </c>
      <c r="P238" s="6">
        <f t="shared" si="30"/>
        <v>-5.9265033809805714E-3</v>
      </c>
      <c r="Q238" s="6">
        <f t="shared" si="31"/>
        <v>6.5576222960127828E-3</v>
      </c>
      <c r="X238" s="14">
        <f t="shared" si="32"/>
        <v>3.9212149696954152E-3</v>
      </c>
    </row>
    <row r="239" spans="1:24" x14ac:dyDescent="0.25">
      <c r="A239" s="1">
        <v>45636.705555555556</v>
      </c>
      <c r="B239" s="2">
        <v>124.86</v>
      </c>
      <c r="C239" s="2">
        <v>408.48</v>
      </c>
      <c r="D239" s="2">
        <v>17.09</v>
      </c>
      <c r="F239" s="2">
        <f t="shared" si="28"/>
        <v>8.1550262414211705E-3</v>
      </c>
      <c r="G239" s="2">
        <f t="shared" si="33"/>
        <v>-8.1825907490591376E-3</v>
      </c>
      <c r="H239" s="2">
        <f t="shared" si="34"/>
        <v>7.6650943396225912E-3</v>
      </c>
      <c r="O239" s="6">
        <f t="shared" si="29"/>
        <v>7.705796793907144E-3</v>
      </c>
      <c r="P239" s="6">
        <f t="shared" si="30"/>
        <v>-9.2283344712096507E-3</v>
      </c>
      <c r="Q239" s="6">
        <f t="shared" si="31"/>
        <v>5.8992921409860843E-3</v>
      </c>
      <c r="X239" s="14">
        <f t="shared" si="32"/>
        <v>2.1271375451378254E-3</v>
      </c>
    </row>
    <row r="240" spans="1:24" x14ac:dyDescent="0.25">
      <c r="A240" s="1">
        <v>45637.705555555556</v>
      </c>
      <c r="B240" s="2">
        <v>126.19</v>
      </c>
      <c r="C240" s="2">
        <v>405.1</v>
      </c>
      <c r="D240" s="2">
        <v>17</v>
      </c>
      <c r="F240" s="2">
        <f t="shared" si="28"/>
        <v>1.065193016178112E-2</v>
      </c>
      <c r="G240" s="2">
        <f t="shared" si="33"/>
        <v>-8.2745789267528735E-3</v>
      </c>
      <c r="H240" s="2">
        <f t="shared" si="34"/>
        <v>-5.2662375658280025E-3</v>
      </c>
      <c r="O240" s="6">
        <f t="shared" si="29"/>
        <v>1.0202700714267094E-2</v>
      </c>
      <c r="P240" s="6">
        <f t="shared" si="30"/>
        <v>-9.3203226489033866E-3</v>
      </c>
      <c r="Q240" s="6">
        <f t="shared" si="31"/>
        <v>-7.0320397644645094E-3</v>
      </c>
      <c r="X240" s="14">
        <f t="shared" si="32"/>
        <v>-3.9575621244813822E-4</v>
      </c>
    </row>
    <row r="241" spans="1:24" x14ac:dyDescent="0.25">
      <c r="A241" s="1">
        <v>45638.705555555556</v>
      </c>
      <c r="B241" s="2">
        <v>122.85</v>
      </c>
      <c r="C241" s="2">
        <v>405.9</v>
      </c>
      <c r="D241" s="2">
        <v>16.829999999999998</v>
      </c>
      <c r="F241" s="2">
        <f t="shared" si="28"/>
        <v>-2.646802440763929E-2</v>
      </c>
      <c r="G241" s="2">
        <f t="shared" si="33"/>
        <v>1.9748210318439874E-3</v>
      </c>
      <c r="H241" s="2">
        <f t="shared" si="34"/>
        <v>-1.000000000000012E-2</v>
      </c>
      <c r="O241" s="6">
        <f t="shared" si="29"/>
        <v>-2.6917253855153315E-2</v>
      </c>
      <c r="P241" s="6">
        <f t="shared" si="30"/>
        <v>9.2907730969347415E-4</v>
      </c>
      <c r="Q241" s="6">
        <f t="shared" si="31"/>
        <v>-1.1765802198636627E-2</v>
      </c>
      <c r="X241" s="14">
        <f t="shared" si="32"/>
        <v>-1.4393930030334005E-2</v>
      </c>
    </row>
    <row r="242" spans="1:24" x14ac:dyDescent="0.25">
      <c r="A242" s="1">
        <v>45639.705555555556</v>
      </c>
      <c r="B242" s="2">
        <v>121.43</v>
      </c>
      <c r="C242" s="2">
        <v>409.65</v>
      </c>
      <c r="D242" s="2">
        <v>16.8</v>
      </c>
      <c r="F242" s="2">
        <f t="shared" si="28"/>
        <v>-1.1558811558811444E-2</v>
      </c>
      <c r="G242" s="2">
        <f t="shared" si="33"/>
        <v>9.238728750923908E-3</v>
      </c>
      <c r="H242" s="2">
        <f t="shared" si="34"/>
        <v>-1.7825311942957223E-3</v>
      </c>
      <c r="O242" s="6">
        <f t="shared" si="29"/>
        <v>-1.200804100632547E-2</v>
      </c>
      <c r="P242" s="6">
        <f t="shared" si="30"/>
        <v>8.192985028773395E-3</v>
      </c>
      <c r="Q242" s="6">
        <f t="shared" si="31"/>
        <v>-3.5483333929322292E-3</v>
      </c>
      <c r="X242" s="14">
        <f t="shared" si="32"/>
        <v>-3.6193196477842925E-3</v>
      </c>
    </row>
    <row r="243" spans="1:24" x14ac:dyDescent="0.25">
      <c r="A243" s="1">
        <v>45642.705555555556</v>
      </c>
      <c r="B243" s="2">
        <v>120.41</v>
      </c>
      <c r="C243" s="2">
        <v>416.64</v>
      </c>
      <c r="D243" s="2">
        <v>17.05</v>
      </c>
      <c r="F243" s="2">
        <f t="shared" si="28"/>
        <v>-8.3999011776333399E-3</v>
      </c>
      <c r="G243" s="2">
        <f t="shared" si="33"/>
        <v>1.7063346759428777E-2</v>
      </c>
      <c r="H243" s="2">
        <f t="shared" si="34"/>
        <v>1.4880952380952328E-2</v>
      </c>
      <c r="O243" s="6">
        <f t="shared" si="29"/>
        <v>-8.8491306251473664E-3</v>
      </c>
      <c r="P243" s="6">
        <f t="shared" si="30"/>
        <v>1.6017603037278262E-2</v>
      </c>
      <c r="Q243" s="6">
        <f t="shared" si="31"/>
        <v>1.3115150182315821E-2</v>
      </c>
      <c r="X243" s="14">
        <f t="shared" si="32"/>
        <v>4.6536094847055513E-3</v>
      </c>
    </row>
    <row r="244" spans="1:24" x14ac:dyDescent="0.25">
      <c r="A244" s="1">
        <v>45643.705555555556</v>
      </c>
      <c r="B244" s="2">
        <v>121.48</v>
      </c>
      <c r="C244" s="2">
        <v>413</v>
      </c>
      <c r="D244" s="2">
        <v>16.95</v>
      </c>
      <c r="F244" s="2">
        <f t="shared" si="28"/>
        <v>8.8863051241592217E-3</v>
      </c>
      <c r="G244" s="2">
        <f t="shared" si="33"/>
        <v>-8.736559139784883E-3</v>
      </c>
      <c r="H244" s="2">
        <f t="shared" si="34"/>
        <v>-5.8651026392962935E-3</v>
      </c>
      <c r="O244" s="6">
        <f t="shared" si="29"/>
        <v>8.4370756766451952E-3</v>
      </c>
      <c r="P244" s="6">
        <f t="shared" si="30"/>
        <v>-9.782302861935396E-3</v>
      </c>
      <c r="Q244" s="6">
        <f t="shared" si="31"/>
        <v>-7.6309048379328004E-3</v>
      </c>
      <c r="X244" s="14">
        <f t="shared" si="32"/>
        <v>-1.4492953893980483E-3</v>
      </c>
    </row>
    <row r="245" spans="1:24" x14ac:dyDescent="0.25">
      <c r="A245" s="1">
        <v>45644.705555555556</v>
      </c>
      <c r="B245" s="2">
        <v>117.78</v>
      </c>
      <c r="C245" s="2">
        <v>412.89</v>
      </c>
      <c r="D245" s="2">
        <v>17.04</v>
      </c>
      <c r="F245" s="2">
        <f t="shared" si="28"/>
        <v>-3.0457688508396474E-2</v>
      </c>
      <c r="G245" s="2">
        <f t="shared" si="33"/>
        <v>-2.6634382566592674E-4</v>
      </c>
      <c r="H245" s="2">
        <f t="shared" si="34"/>
        <v>5.3097345132744334E-3</v>
      </c>
      <c r="O245" s="6">
        <f t="shared" si="29"/>
        <v>-3.0906917955910499E-2</v>
      </c>
      <c r="P245" s="6">
        <f t="shared" si="30"/>
        <v>-1.31208754781644E-3</v>
      </c>
      <c r="Q245" s="6">
        <f t="shared" si="31"/>
        <v>3.5439323146379265E-3</v>
      </c>
      <c r="X245" s="14">
        <f t="shared" si="32"/>
        <v>-1.2551395209334706E-2</v>
      </c>
    </row>
    <row r="246" spans="1:24" x14ac:dyDescent="0.25">
      <c r="A246" s="1">
        <v>45645.705555555556</v>
      </c>
      <c r="B246" s="2">
        <v>118.09</v>
      </c>
      <c r="C246" s="2">
        <v>402.35</v>
      </c>
      <c r="D246" s="2">
        <v>16.72</v>
      </c>
      <c r="F246" s="2">
        <f t="shared" si="28"/>
        <v>2.6320258108338823E-3</v>
      </c>
      <c r="G246" s="2">
        <f t="shared" si="33"/>
        <v>-2.5527380173896108E-2</v>
      </c>
      <c r="H246" s="2">
        <f t="shared" si="34"/>
        <v>-1.8779342723004744E-2</v>
      </c>
      <c r="O246" s="6">
        <f t="shared" si="29"/>
        <v>2.1827963633198558E-3</v>
      </c>
      <c r="P246" s="6">
        <f t="shared" si="30"/>
        <v>-2.6573123896046623E-2</v>
      </c>
      <c r="Q246" s="6">
        <f t="shared" si="31"/>
        <v>-2.0545144921641251E-2</v>
      </c>
      <c r="X246" s="14">
        <f t="shared" si="32"/>
        <v>-1.2697083628322786E-2</v>
      </c>
    </row>
    <row r="247" spans="1:24" x14ac:dyDescent="0.25">
      <c r="A247" s="1">
        <v>45646.705555555556</v>
      </c>
      <c r="B247" s="2">
        <v>118.98</v>
      </c>
      <c r="C247" s="2">
        <v>403.45</v>
      </c>
      <c r="D247" s="2">
        <v>16.73</v>
      </c>
      <c r="F247" s="2">
        <f t="shared" si="28"/>
        <v>7.5366246083494737E-3</v>
      </c>
      <c r="G247" s="2">
        <f t="shared" si="33"/>
        <v>2.7339381135826901E-3</v>
      </c>
      <c r="H247" s="2">
        <f t="shared" si="34"/>
        <v>5.9808612440193087E-4</v>
      </c>
      <c r="O247" s="6">
        <f t="shared" si="29"/>
        <v>7.0873951608354472E-3</v>
      </c>
      <c r="P247" s="6">
        <f t="shared" si="30"/>
        <v>1.6881943914321769E-3</v>
      </c>
      <c r="Q247" s="6">
        <f t="shared" si="31"/>
        <v>-1.167716074234576E-3</v>
      </c>
      <c r="X247" s="14">
        <f t="shared" si="32"/>
        <v>3.1969005853733634E-3</v>
      </c>
    </row>
    <row r="248" spans="1:24" x14ac:dyDescent="0.25">
      <c r="A248" s="1">
        <v>45649.705555555556</v>
      </c>
      <c r="B248" s="2">
        <v>117.73</v>
      </c>
      <c r="C248" s="2">
        <v>413.5</v>
      </c>
      <c r="D248" s="2">
        <v>16.96</v>
      </c>
      <c r="F248" s="2">
        <f t="shared" si="28"/>
        <v>-1.0505967389477178E-2</v>
      </c>
      <c r="G248" s="2">
        <f t="shared" si="33"/>
        <v>2.4910149956624217E-2</v>
      </c>
      <c r="H248" s="2">
        <f t="shared" si="34"/>
        <v>1.3747758517633102E-2</v>
      </c>
      <c r="O248" s="6">
        <f t="shared" si="29"/>
        <v>-1.0955196836991204E-2</v>
      </c>
      <c r="P248" s="6">
        <f t="shared" si="30"/>
        <v>2.3864406234473702E-2</v>
      </c>
      <c r="Q248" s="6">
        <f t="shared" si="31"/>
        <v>1.1981956318996595E-2</v>
      </c>
      <c r="X248" s="14">
        <f t="shared" si="32"/>
        <v>5.8019019688677845E-3</v>
      </c>
    </row>
    <row r="249" spans="1:24" x14ac:dyDescent="0.25">
      <c r="A249" s="1">
        <v>45652.705555555556</v>
      </c>
      <c r="B249" s="2">
        <v>118.05</v>
      </c>
      <c r="C249" s="2">
        <v>417.2</v>
      </c>
      <c r="D249" s="2">
        <v>17.07</v>
      </c>
      <c r="F249" s="2">
        <f t="shared" si="28"/>
        <v>2.7180837509555023E-3</v>
      </c>
      <c r="G249" s="2">
        <f t="shared" si="33"/>
        <v>8.9480048367593934E-3</v>
      </c>
      <c r="H249" s="2">
        <f t="shared" si="34"/>
        <v>6.4858490566037652E-3</v>
      </c>
      <c r="O249" s="6">
        <f t="shared" si="29"/>
        <v>2.2688543034414758E-3</v>
      </c>
      <c r="P249" s="6">
        <f t="shared" si="30"/>
        <v>7.9022611146088804E-3</v>
      </c>
      <c r="Q249" s="6">
        <f t="shared" si="31"/>
        <v>4.7200468579672583E-3</v>
      </c>
      <c r="X249" s="14">
        <f t="shared" si="32"/>
        <v>4.6335110518231429E-3</v>
      </c>
    </row>
    <row r="250" spans="1:24" x14ac:dyDescent="0.25">
      <c r="A250" s="1">
        <v>45653.705555555556</v>
      </c>
      <c r="B250" s="2">
        <v>117.29</v>
      </c>
      <c r="C250" s="2">
        <v>412.9</v>
      </c>
      <c r="D250" s="2">
        <v>16.989999999999998</v>
      </c>
      <c r="F250" s="2">
        <f t="shared" si="28"/>
        <v>-6.4379500211774188E-3</v>
      </c>
      <c r="G250" s="2">
        <f t="shared" si="33"/>
        <v>-1.0306807286673103E-2</v>
      </c>
      <c r="H250" s="2">
        <f t="shared" si="34"/>
        <v>-4.6865846514353438E-3</v>
      </c>
      <c r="O250" s="6">
        <f t="shared" si="29"/>
        <v>-6.8871794686914452E-3</v>
      </c>
      <c r="P250" s="6">
        <f t="shared" si="30"/>
        <v>-1.1352551008823616E-2</v>
      </c>
      <c r="Q250" s="6">
        <f t="shared" si="31"/>
        <v>-6.4523868500718506E-3</v>
      </c>
      <c r="X250" s="14">
        <f t="shared" si="32"/>
        <v>-8.1076460980424887E-3</v>
      </c>
    </row>
    <row r="251" spans="1:24" x14ac:dyDescent="0.25">
      <c r="A251" s="1">
        <v>45656.705555555556</v>
      </c>
      <c r="B251" s="2">
        <v>117.27</v>
      </c>
      <c r="C251" s="2">
        <v>407.7</v>
      </c>
      <c r="D251" s="2">
        <v>16.89</v>
      </c>
      <c r="F251" s="2">
        <f t="shared" si="28"/>
        <v>-1.7051752067531734E-4</v>
      </c>
      <c r="G251" s="2">
        <f t="shared" si="33"/>
        <v>-1.2593848389440554E-2</v>
      </c>
      <c r="H251" s="2">
        <f t="shared" si="34"/>
        <v>-5.8858151854030982E-3</v>
      </c>
      <c r="O251" s="6">
        <f t="shared" si="29"/>
        <v>-6.1974696818934381E-4</v>
      </c>
      <c r="P251" s="6">
        <f t="shared" si="30"/>
        <v>-1.3639592111591067E-2</v>
      </c>
      <c r="Q251" s="6">
        <f t="shared" si="31"/>
        <v>-7.6516173840396051E-3</v>
      </c>
      <c r="X251" s="14">
        <f t="shared" si="32"/>
        <v>-6.4607620819669108E-3</v>
      </c>
    </row>
    <row r="252" spans="1:24" x14ac:dyDescent="0.25">
      <c r="A252" s="1">
        <v>45659.705555555556</v>
      </c>
      <c r="B252" s="2">
        <v>117.14</v>
      </c>
      <c r="C252" s="2">
        <v>403.15</v>
      </c>
      <c r="D252" s="2">
        <v>17.14</v>
      </c>
      <c r="F252" s="2">
        <f t="shared" si="28"/>
        <v>-1.1085529120832271E-3</v>
      </c>
      <c r="G252" s="2">
        <f t="shared" si="33"/>
        <v>-1.116016678930587E-2</v>
      </c>
      <c r="H252" s="2">
        <f t="shared" si="34"/>
        <v>1.4801657785671996E-2</v>
      </c>
      <c r="O252" s="6">
        <f t="shared" si="29"/>
        <v>-1.5577823595972536E-3</v>
      </c>
      <c r="P252" s="6">
        <f t="shared" si="30"/>
        <v>-1.2205910511456383E-2</v>
      </c>
      <c r="Q252" s="6">
        <f t="shared" si="31"/>
        <v>1.3035855587035489E-2</v>
      </c>
      <c r="X252" s="14">
        <f t="shared" si="32"/>
        <v>-7.3987574368081059E-4</v>
      </c>
    </row>
    <row r="253" spans="1:24" x14ac:dyDescent="0.25">
      <c r="A253" s="1">
        <v>45660.705555555556</v>
      </c>
      <c r="B253" s="2">
        <v>115.59</v>
      </c>
      <c r="C253" s="2">
        <v>410.65</v>
      </c>
      <c r="D253" s="2">
        <v>17.11</v>
      </c>
      <c r="F253" s="2">
        <f t="shared" si="28"/>
        <v>-1.3232030049513344E-2</v>
      </c>
      <c r="G253" s="2">
        <f t="shared" si="33"/>
        <v>1.8603497457521989E-2</v>
      </c>
      <c r="H253" s="2">
        <f t="shared" si="34"/>
        <v>-1.7502917152859565E-3</v>
      </c>
      <c r="O253" s="6">
        <f t="shared" si="29"/>
        <v>-1.368125949702737E-2</v>
      </c>
      <c r="P253" s="6">
        <f t="shared" si="30"/>
        <v>1.7557753735371474E-2</v>
      </c>
      <c r="Q253" s="6">
        <f t="shared" si="31"/>
        <v>-3.5160939139224634E-3</v>
      </c>
      <c r="X253" s="14">
        <f t="shared" si="32"/>
        <v>-1.5110738264525999E-3</v>
      </c>
    </row>
    <row r="254" spans="1:24" x14ac:dyDescent="0.25">
      <c r="A254" s="1">
        <v>45663.705555555556</v>
      </c>
      <c r="B254" s="2">
        <v>117.04</v>
      </c>
      <c r="C254" s="2">
        <v>408.12</v>
      </c>
      <c r="D254" s="2">
        <v>16.899999999999999</v>
      </c>
      <c r="F254" s="2">
        <f t="shared" si="28"/>
        <v>1.2544337745479694E-2</v>
      </c>
      <c r="G254" s="2">
        <f t="shared" si="33"/>
        <v>-6.1609643248508039E-3</v>
      </c>
      <c r="H254" s="2">
        <f t="shared" si="34"/>
        <v>-1.2273524254821755E-2</v>
      </c>
      <c r="O254" s="6">
        <f t="shared" si="29"/>
        <v>1.2095108297965668E-2</v>
      </c>
      <c r="P254" s="6">
        <f t="shared" si="30"/>
        <v>-7.2067080470013169E-3</v>
      </c>
      <c r="Q254" s="6">
        <f t="shared" si="31"/>
        <v>-1.4039326453458262E-2</v>
      </c>
      <c r="X254" s="14">
        <f t="shared" si="32"/>
        <v>-8.8444935894611268E-4</v>
      </c>
    </row>
    <row r="255" spans="1:24" x14ac:dyDescent="0.25">
      <c r="A255" s="1">
        <v>45664.705555555556</v>
      </c>
      <c r="B255" s="2">
        <v>118.11</v>
      </c>
      <c r="C255" s="2">
        <v>403.22</v>
      </c>
      <c r="D255" s="2">
        <v>16.940000000000001</v>
      </c>
      <c r="F255" s="2">
        <f t="shared" si="28"/>
        <v>9.1421736158576739E-3</v>
      </c>
      <c r="G255" s="2">
        <f t="shared" si="33"/>
        <v>-1.2006272664902395E-2</v>
      </c>
      <c r="H255" s="2">
        <f t="shared" si="34"/>
        <v>2.3668639053255891E-3</v>
      </c>
      <c r="O255" s="6">
        <f t="shared" si="29"/>
        <v>8.6929441683436474E-3</v>
      </c>
      <c r="P255" s="6">
        <f t="shared" si="30"/>
        <v>-1.3052016387052908E-2</v>
      </c>
      <c r="Q255" s="6">
        <f t="shared" si="31"/>
        <v>6.0106170668908221E-4</v>
      </c>
      <c r="X255" s="14">
        <f t="shared" si="32"/>
        <v>-5.7950269689751189E-5</v>
      </c>
    </row>
    <row r="256" spans="1:24" x14ac:dyDescent="0.25">
      <c r="A256" s="1">
        <v>45665.705555555556</v>
      </c>
      <c r="B256" s="2">
        <v>116.69</v>
      </c>
      <c r="C256" s="2">
        <v>403.79</v>
      </c>
      <c r="D256" s="2">
        <v>17.07</v>
      </c>
      <c r="F256" s="2">
        <f t="shared" si="28"/>
        <v>-1.202269071204809E-2</v>
      </c>
      <c r="G256" s="2">
        <f t="shared" si="33"/>
        <v>1.4136203561330163E-3</v>
      </c>
      <c r="H256" s="2">
        <f t="shared" si="34"/>
        <v>7.6741440377803283E-3</v>
      </c>
      <c r="O256" s="6">
        <f t="shared" si="29"/>
        <v>-1.2471920159562116E-2</v>
      </c>
      <c r="P256" s="6">
        <f t="shared" si="30"/>
        <v>3.6787663398250305E-4</v>
      </c>
      <c r="Q256" s="6">
        <f t="shared" si="31"/>
        <v>5.9083418391438214E-3</v>
      </c>
      <c r="X256" s="14">
        <f t="shared" si="32"/>
        <v>-3.5640423040378452E-3</v>
      </c>
    </row>
    <row r="257" spans="1:24" x14ac:dyDescent="0.25">
      <c r="A257" s="1">
        <v>45666.705555555556</v>
      </c>
      <c r="B257" s="2">
        <v>116.79</v>
      </c>
      <c r="C257" s="2">
        <v>400.17</v>
      </c>
      <c r="D257" s="2">
        <v>17.02</v>
      </c>
      <c r="F257" s="2">
        <f t="shared" si="28"/>
        <v>8.569714628503533E-4</v>
      </c>
      <c r="G257" s="2">
        <f t="shared" si="33"/>
        <v>-8.9650560935139456E-3</v>
      </c>
      <c r="H257" s="2">
        <f t="shared" si="34"/>
        <v>-2.9291154071471315E-3</v>
      </c>
      <c r="O257" s="6">
        <f t="shared" si="29"/>
        <v>4.0774201533632688E-4</v>
      </c>
      <c r="P257" s="6">
        <f t="shared" si="30"/>
        <v>-1.0010799815664459E-2</v>
      </c>
      <c r="Q257" s="6">
        <f t="shared" si="31"/>
        <v>-4.6949176057836384E-3</v>
      </c>
      <c r="X257" s="14">
        <f t="shared" si="32"/>
        <v>-4.1220859524679493E-3</v>
      </c>
    </row>
    <row r="258" spans="1:24" x14ac:dyDescent="0.25">
      <c r="A258" s="1">
        <v>45667.705555555556</v>
      </c>
      <c r="B258" s="2">
        <v>115.92</v>
      </c>
      <c r="C258" s="2">
        <v>398.05</v>
      </c>
      <c r="D258" s="2">
        <v>17.239999999999998</v>
      </c>
      <c r="F258" s="2">
        <f t="shared" si="28"/>
        <v>-7.4492679167736942E-3</v>
      </c>
      <c r="G258" s="2">
        <f t="shared" si="33"/>
        <v>-5.297748456905782E-3</v>
      </c>
      <c r="H258" s="2">
        <f t="shared" si="34"/>
        <v>1.2925969447708408E-2</v>
      </c>
      <c r="O258" s="6">
        <f t="shared" si="29"/>
        <v>-7.8984973642877206E-3</v>
      </c>
      <c r="P258" s="6">
        <f t="shared" si="30"/>
        <v>-6.343492179056295E-3</v>
      </c>
      <c r="Q258" s="6">
        <f t="shared" si="31"/>
        <v>1.1160167249071901E-2</v>
      </c>
      <c r="X258" s="14">
        <f t="shared" si="32"/>
        <v>-2.1905688299754564E-3</v>
      </c>
    </row>
    <row r="259" spans="1:24" x14ac:dyDescent="0.25">
      <c r="A259" s="1">
        <v>45670.705555555556</v>
      </c>
      <c r="B259" s="2">
        <v>116.03</v>
      </c>
      <c r="C259" s="2">
        <v>397.9</v>
      </c>
      <c r="D259" s="2">
        <v>17.02</v>
      </c>
      <c r="F259" s="2">
        <f t="shared" si="28"/>
        <v>9.4893029675646723E-4</v>
      </c>
      <c r="G259" s="2">
        <f t="shared" si="33"/>
        <v>-3.768370807688548E-4</v>
      </c>
      <c r="H259" s="2">
        <f t="shared" si="34"/>
        <v>-1.2761020881670415E-2</v>
      </c>
      <c r="O259" s="6">
        <f t="shared" si="29"/>
        <v>4.9970084924244075E-4</v>
      </c>
      <c r="P259" s="6">
        <f t="shared" si="30"/>
        <v>-1.422580802919368E-3</v>
      </c>
      <c r="Q259" s="6">
        <f t="shared" si="31"/>
        <v>-1.4526823080306922E-2</v>
      </c>
      <c r="X259" s="14">
        <f t="shared" si="32"/>
        <v>-4.2095761883953068E-3</v>
      </c>
    </row>
    <row r="260" spans="1:24" x14ac:dyDescent="0.25">
      <c r="A260" s="1">
        <v>45671.705555555556</v>
      </c>
      <c r="B260" s="2">
        <v>116.31</v>
      </c>
      <c r="C260" s="2">
        <v>395.61</v>
      </c>
      <c r="D260" s="2">
        <v>16.989999999999998</v>
      </c>
      <c r="F260" s="2">
        <f t="shared" ref="F260:F323" si="35">(B260/B259)-1</f>
        <v>2.4131690080151369E-3</v>
      </c>
      <c r="G260" s="2">
        <f t="shared" si="33"/>
        <v>-5.7552148781100376E-3</v>
      </c>
      <c r="H260" s="2">
        <f t="shared" si="34"/>
        <v>-1.762632197414904E-3</v>
      </c>
      <c r="O260" s="6">
        <f t="shared" ref="O260:O323" si="36">F260-$K$3</f>
        <v>1.9639395605011104E-3</v>
      </c>
      <c r="P260" s="6">
        <f t="shared" ref="P260:P323" si="37">G260-$L$3</f>
        <v>-6.8009586002605506E-3</v>
      </c>
      <c r="Q260" s="6">
        <f t="shared" ref="Q260:Q323" si="38">H260-$M$3</f>
        <v>-3.5284343960514108E-3</v>
      </c>
      <c r="X260" s="14">
        <f t="shared" ref="X260:X323" si="39">$T$47*O260+$T$48*P260+$T$49*Q260</f>
        <v>-2.1768117980086334E-3</v>
      </c>
    </row>
    <row r="261" spans="1:24" x14ac:dyDescent="0.25">
      <c r="A261" s="1">
        <v>45672.705555555556</v>
      </c>
      <c r="B261" s="2">
        <v>119.5</v>
      </c>
      <c r="C261" s="2">
        <v>399.87</v>
      </c>
      <c r="D261" s="2">
        <v>17</v>
      </c>
      <c r="F261" s="2">
        <f t="shared" si="35"/>
        <v>2.7426704496603893E-2</v>
      </c>
      <c r="G261" s="2">
        <f t="shared" si="33"/>
        <v>1.0768180784105574E-2</v>
      </c>
      <c r="H261" s="2">
        <f t="shared" si="34"/>
        <v>5.8858151854046525E-4</v>
      </c>
      <c r="O261" s="6">
        <f t="shared" si="36"/>
        <v>2.6977475049089868E-2</v>
      </c>
      <c r="P261" s="6">
        <f t="shared" si="37"/>
        <v>9.7224370619550613E-3</v>
      </c>
      <c r="Q261" s="6">
        <f t="shared" si="38"/>
        <v>-1.1772206800960416E-3</v>
      </c>
      <c r="X261" s="14">
        <f t="shared" si="39"/>
        <v>1.4056559161802205E-2</v>
      </c>
    </row>
    <row r="262" spans="1:24" x14ac:dyDescent="0.25">
      <c r="A262" s="1">
        <v>45673.705555555556</v>
      </c>
      <c r="B262" s="2">
        <v>118.25</v>
      </c>
      <c r="C262" s="2">
        <v>402.13</v>
      </c>
      <c r="D262" s="2">
        <v>17.22</v>
      </c>
      <c r="F262" s="2">
        <f t="shared" si="35"/>
        <v>-1.0460251046025104E-2</v>
      </c>
      <c r="G262" s="2">
        <f t="shared" si="33"/>
        <v>5.6518368469753444E-3</v>
      </c>
      <c r="H262" s="2">
        <f t="shared" si="34"/>
        <v>1.2941176470588234E-2</v>
      </c>
      <c r="O262" s="6">
        <f t="shared" si="36"/>
        <v>-1.0909480493539131E-2</v>
      </c>
      <c r="P262" s="6">
        <f t="shared" si="37"/>
        <v>4.6060931248248314E-3</v>
      </c>
      <c r="Q262" s="6">
        <f t="shared" si="38"/>
        <v>1.1175374271951727E-2</v>
      </c>
      <c r="X262" s="14">
        <f t="shared" si="39"/>
        <v>-1.7982271094128203E-4</v>
      </c>
    </row>
    <row r="263" spans="1:24" x14ac:dyDescent="0.25">
      <c r="A263" s="1">
        <v>45674.705555555556</v>
      </c>
      <c r="B263" s="2">
        <v>119.27</v>
      </c>
      <c r="C263" s="2">
        <v>407</v>
      </c>
      <c r="D263" s="2">
        <v>17.2</v>
      </c>
      <c r="F263" s="2">
        <f t="shared" si="35"/>
        <v>8.6257928118393945E-3</v>
      </c>
      <c r="G263" s="2">
        <f t="shared" si="33"/>
        <v>1.2110511526123302E-2</v>
      </c>
      <c r="H263" s="2">
        <f t="shared" si="34"/>
        <v>-1.1614401858304202E-3</v>
      </c>
      <c r="O263" s="6">
        <f t="shared" si="36"/>
        <v>8.176563364325368E-3</v>
      </c>
      <c r="P263" s="6">
        <f t="shared" si="37"/>
        <v>1.1064767803972789E-2</v>
      </c>
      <c r="Q263" s="6">
        <f t="shared" si="38"/>
        <v>-2.9272423844669271E-3</v>
      </c>
      <c r="X263" s="14">
        <f t="shared" si="39"/>
        <v>5.9896690637563999E-3</v>
      </c>
    </row>
    <row r="264" spans="1:24" x14ac:dyDescent="0.25">
      <c r="A264" s="1">
        <v>45677.705555555556</v>
      </c>
      <c r="B264" s="2">
        <v>119.78</v>
      </c>
      <c r="C264" s="2">
        <v>406.33</v>
      </c>
      <c r="D264" s="2">
        <v>17.2</v>
      </c>
      <c r="F264" s="2">
        <f t="shared" si="35"/>
        <v>4.2760124088203622E-3</v>
      </c>
      <c r="G264" s="2">
        <f t="shared" si="33"/>
        <v>-1.6461916461917303E-3</v>
      </c>
      <c r="H264" s="2">
        <f t="shared" si="34"/>
        <v>0</v>
      </c>
      <c r="O264" s="6">
        <f t="shared" si="36"/>
        <v>3.8267829613063357E-3</v>
      </c>
      <c r="P264" s="6">
        <f t="shared" si="37"/>
        <v>-2.6919353683422433E-3</v>
      </c>
      <c r="Q264" s="6">
        <f t="shared" si="38"/>
        <v>-1.7658021986365069E-3</v>
      </c>
      <c r="X264" s="14">
        <f t="shared" si="39"/>
        <v>3.3254122451524608E-4</v>
      </c>
    </row>
    <row r="265" spans="1:24" x14ac:dyDescent="0.25">
      <c r="A265" s="1">
        <v>45678.705555555556</v>
      </c>
      <c r="B265" s="2">
        <v>120.26</v>
      </c>
      <c r="C265" s="2">
        <v>407.79</v>
      </c>
      <c r="D265" s="2">
        <v>17.32</v>
      </c>
      <c r="F265" s="2">
        <f t="shared" si="35"/>
        <v>4.0073468024712788E-3</v>
      </c>
      <c r="G265" s="2">
        <f t="shared" si="33"/>
        <v>3.5931385819407691E-3</v>
      </c>
      <c r="H265" s="2">
        <f t="shared" si="34"/>
        <v>6.9767441860466572E-3</v>
      </c>
      <c r="O265" s="6">
        <f t="shared" si="36"/>
        <v>3.5581173549572524E-3</v>
      </c>
      <c r="P265" s="6">
        <f t="shared" si="37"/>
        <v>2.5473948597902561E-3</v>
      </c>
      <c r="Q265" s="6">
        <f t="shared" si="38"/>
        <v>5.2109419874101504E-3</v>
      </c>
      <c r="X265" s="14">
        <f t="shared" si="39"/>
        <v>3.7093434877743811E-3</v>
      </c>
    </row>
    <row r="266" spans="1:24" x14ac:dyDescent="0.25">
      <c r="A266" s="1">
        <v>45679.705555555556</v>
      </c>
      <c r="B266" s="2">
        <v>119.92</v>
      </c>
      <c r="C266" s="2">
        <v>404.18</v>
      </c>
      <c r="D266" s="2">
        <v>17.170000000000002</v>
      </c>
      <c r="F266" s="2">
        <f t="shared" si="35"/>
        <v>-2.8272077166140441E-3</v>
      </c>
      <c r="G266" s="2">
        <f t="shared" si="33"/>
        <v>-8.8525956987665078E-3</v>
      </c>
      <c r="H266" s="2">
        <f t="shared" si="34"/>
        <v>-8.6605080831407832E-3</v>
      </c>
      <c r="O266" s="6">
        <f t="shared" si="36"/>
        <v>-3.2764371641280706E-3</v>
      </c>
      <c r="P266" s="6">
        <f t="shared" si="37"/>
        <v>-9.8983394209170208E-3</v>
      </c>
      <c r="Q266" s="6">
        <f t="shared" si="38"/>
        <v>-1.042631028177729E-2</v>
      </c>
      <c r="X266" s="14">
        <f t="shared" si="39"/>
        <v>-7.2299100271565036E-3</v>
      </c>
    </row>
    <row r="267" spans="1:24" x14ac:dyDescent="0.25">
      <c r="A267" s="1">
        <v>45680.705555555556</v>
      </c>
      <c r="B267" s="2">
        <v>119.45</v>
      </c>
      <c r="C267" s="2">
        <v>405.16</v>
      </c>
      <c r="D267" s="2">
        <v>17.079999999999998</v>
      </c>
      <c r="F267" s="2">
        <f t="shared" si="35"/>
        <v>-3.9192795196797414E-3</v>
      </c>
      <c r="G267" s="2">
        <f t="shared" si="33"/>
        <v>2.4246622791825878E-3</v>
      </c>
      <c r="H267" s="2">
        <f t="shared" si="34"/>
        <v>-5.2417006406525468E-3</v>
      </c>
      <c r="O267" s="6">
        <f t="shared" si="36"/>
        <v>-4.3685089671937679E-3</v>
      </c>
      <c r="P267" s="6">
        <f t="shared" si="37"/>
        <v>1.3789185570320746E-3</v>
      </c>
      <c r="Q267" s="6">
        <f t="shared" si="38"/>
        <v>-7.0075028392890537E-3</v>
      </c>
      <c r="X267" s="14">
        <f t="shared" si="39"/>
        <v>-3.3694752964911851E-3</v>
      </c>
    </row>
    <row r="268" spans="1:24" x14ac:dyDescent="0.25">
      <c r="A268" s="1">
        <v>45681.705555555556</v>
      </c>
      <c r="B268" s="2">
        <v>119.41</v>
      </c>
      <c r="C268" s="2">
        <v>403.41</v>
      </c>
      <c r="D268" s="2">
        <v>17.190000000000001</v>
      </c>
      <c r="F268" s="2">
        <f t="shared" si="35"/>
        <v>-3.3486814566774381E-4</v>
      </c>
      <c r="G268" s="2">
        <f t="shared" si="33"/>
        <v>-4.3192812715964202E-3</v>
      </c>
      <c r="H268" s="2">
        <f t="shared" si="34"/>
        <v>6.4402810304451386E-3</v>
      </c>
      <c r="O268" s="6">
        <f t="shared" si="36"/>
        <v>-7.8409759318177029E-4</v>
      </c>
      <c r="P268" s="6">
        <f t="shared" si="37"/>
        <v>-5.3650249937469332E-3</v>
      </c>
      <c r="Q268" s="6">
        <f t="shared" si="38"/>
        <v>4.6744788318086317E-3</v>
      </c>
      <c r="X268" s="14">
        <f t="shared" si="39"/>
        <v>-6.5766306388602858E-4</v>
      </c>
    </row>
    <row r="269" spans="1:24" x14ac:dyDescent="0.25">
      <c r="A269" s="1">
        <v>45684.705555555556</v>
      </c>
      <c r="B269" s="2">
        <v>121.71</v>
      </c>
      <c r="C269" s="2">
        <v>396.75</v>
      </c>
      <c r="D269" s="2">
        <v>16.97</v>
      </c>
      <c r="F269" s="2">
        <f t="shared" si="35"/>
        <v>1.9261368394606793E-2</v>
      </c>
      <c r="G269" s="2">
        <f t="shared" si="33"/>
        <v>-1.650925857068497E-2</v>
      </c>
      <c r="H269" s="2">
        <f t="shared" si="34"/>
        <v>-1.2798138452588814E-2</v>
      </c>
      <c r="O269" s="6">
        <f t="shared" si="36"/>
        <v>1.8812138947092768E-2</v>
      </c>
      <c r="P269" s="6">
        <f t="shared" si="37"/>
        <v>-1.7555002292835485E-2</v>
      </c>
      <c r="Q269" s="6">
        <f t="shared" si="38"/>
        <v>-1.4563940651225321E-2</v>
      </c>
      <c r="X269" s="14">
        <f t="shared" si="39"/>
        <v>-1.2801536812594863E-3</v>
      </c>
    </row>
    <row r="270" spans="1:24" x14ac:dyDescent="0.25">
      <c r="A270" s="1">
        <v>45685.705555555556</v>
      </c>
      <c r="B270" s="2">
        <v>121</v>
      </c>
      <c r="C270" s="2">
        <v>397.95</v>
      </c>
      <c r="D270" s="2">
        <v>17</v>
      </c>
      <c r="F270" s="2">
        <f t="shared" si="35"/>
        <v>-5.8335387396268867E-3</v>
      </c>
      <c r="G270" s="2">
        <f t="shared" si="33"/>
        <v>3.0245746691870412E-3</v>
      </c>
      <c r="H270" s="2">
        <f t="shared" si="34"/>
        <v>1.767825574543469E-3</v>
      </c>
      <c r="O270" s="6">
        <f t="shared" si="36"/>
        <v>-6.2827681871409132E-3</v>
      </c>
      <c r="P270" s="6">
        <f t="shared" si="37"/>
        <v>1.9788309470365282E-3</v>
      </c>
      <c r="Q270" s="6">
        <f t="shared" si="38"/>
        <v>2.0233759069621104E-6</v>
      </c>
      <c r="X270" s="14">
        <f t="shared" si="39"/>
        <v>-2.0751337040328132E-3</v>
      </c>
    </row>
    <row r="271" spans="1:24" x14ac:dyDescent="0.25">
      <c r="A271" s="1">
        <v>45686.705555555556</v>
      </c>
      <c r="B271" s="2">
        <v>120.38</v>
      </c>
      <c r="C271" s="2">
        <v>394.1</v>
      </c>
      <c r="D271" s="2">
        <v>16.93</v>
      </c>
      <c r="F271" s="2">
        <f t="shared" si="35"/>
        <v>-5.1239669421487832E-3</v>
      </c>
      <c r="G271" s="2">
        <f t="shared" si="33"/>
        <v>-9.6745822339489029E-3</v>
      </c>
      <c r="H271" s="2">
        <f t="shared" si="34"/>
        <v>-4.1176470588235592E-3</v>
      </c>
      <c r="O271" s="6">
        <f t="shared" si="36"/>
        <v>-5.5731963896628097E-3</v>
      </c>
      <c r="P271" s="6">
        <f t="shared" si="37"/>
        <v>-1.0720325956099416E-2</v>
      </c>
      <c r="Q271" s="6">
        <f t="shared" si="38"/>
        <v>-5.8834492574600661E-3</v>
      </c>
      <c r="X271" s="14">
        <f t="shared" si="39"/>
        <v>-7.2031487421294242E-3</v>
      </c>
    </row>
    <row r="272" spans="1:24" x14ac:dyDescent="0.25">
      <c r="A272" s="1">
        <v>45687.705555555556</v>
      </c>
      <c r="B272" s="2">
        <v>123.7</v>
      </c>
      <c r="C272" s="2">
        <v>398.41</v>
      </c>
      <c r="D272" s="2">
        <v>17.22</v>
      </c>
      <c r="F272" s="2">
        <f t="shared" si="35"/>
        <v>2.7579332114969324E-2</v>
      </c>
      <c r="G272" s="2">
        <f t="shared" si="33"/>
        <v>1.0936310581070696E-2</v>
      </c>
      <c r="H272" s="2">
        <f t="shared" si="34"/>
        <v>1.7129356172474797E-2</v>
      </c>
      <c r="O272" s="6">
        <f t="shared" si="36"/>
        <v>2.7130102667455299E-2</v>
      </c>
      <c r="P272" s="6">
        <f t="shared" si="37"/>
        <v>9.8905668589201832E-3</v>
      </c>
      <c r="Q272" s="6">
        <f t="shared" si="38"/>
        <v>1.536355397383829E-2</v>
      </c>
      <c r="X272" s="14">
        <f t="shared" si="39"/>
        <v>1.8720704634013444E-2</v>
      </c>
    </row>
    <row r="273" spans="1:24" x14ac:dyDescent="0.25">
      <c r="A273" s="1">
        <v>45688.705555555556</v>
      </c>
      <c r="B273" s="2">
        <v>123.02</v>
      </c>
      <c r="C273" s="2">
        <v>394.15</v>
      </c>
      <c r="D273" s="2">
        <v>17.16</v>
      </c>
      <c r="F273" s="2">
        <f t="shared" si="35"/>
        <v>-5.4971705739693677E-3</v>
      </c>
      <c r="G273" s="2">
        <f t="shared" si="33"/>
        <v>-1.0692502698225526E-2</v>
      </c>
      <c r="H273" s="2">
        <f t="shared" si="34"/>
        <v>-3.4843205574912606E-3</v>
      </c>
      <c r="O273" s="6">
        <f t="shared" si="36"/>
        <v>-5.9464000214833942E-3</v>
      </c>
      <c r="P273" s="6">
        <f t="shared" si="37"/>
        <v>-1.1738246420376039E-2</v>
      </c>
      <c r="Q273" s="6">
        <f t="shared" si="38"/>
        <v>-5.2501227561277675E-3</v>
      </c>
      <c r="X273" s="14">
        <f t="shared" si="39"/>
        <v>-7.4930255154061435E-3</v>
      </c>
    </row>
    <row r="274" spans="1:24" x14ac:dyDescent="0.25">
      <c r="A274" s="1">
        <v>45691.705555555556</v>
      </c>
      <c r="B274" s="2">
        <v>122.85</v>
      </c>
      <c r="C274" s="2">
        <v>389.88</v>
      </c>
      <c r="D274" s="2">
        <v>17.16</v>
      </c>
      <c r="F274" s="2">
        <f t="shared" si="35"/>
        <v>-1.3818891237197262E-3</v>
      </c>
      <c r="G274" s="2">
        <f t="shared" si="33"/>
        <v>-1.0833439046048388E-2</v>
      </c>
      <c r="H274" s="2">
        <f t="shared" si="34"/>
        <v>0</v>
      </c>
      <c r="O274" s="6">
        <f t="shared" si="36"/>
        <v>-1.8311185712337526E-3</v>
      </c>
      <c r="P274" s="6">
        <f t="shared" si="37"/>
        <v>-1.1879182768198901E-2</v>
      </c>
      <c r="Q274" s="6">
        <f t="shared" si="38"/>
        <v>-1.7658021986365069E-3</v>
      </c>
      <c r="X274" s="14">
        <f t="shared" si="39"/>
        <v>-4.8285349600036753E-3</v>
      </c>
    </row>
    <row r="275" spans="1:24" x14ac:dyDescent="0.25">
      <c r="A275" s="1">
        <v>45692.705555555556</v>
      </c>
      <c r="B275" s="2">
        <v>122.06</v>
      </c>
      <c r="C275" s="2">
        <v>388.03</v>
      </c>
      <c r="D275" s="2">
        <v>17.170000000000002</v>
      </c>
      <c r="F275" s="2">
        <f t="shared" si="35"/>
        <v>-6.4306064306063337E-3</v>
      </c>
      <c r="G275" s="2">
        <f t="shared" ref="G275:G338" si="40">(C275/C274)-1</f>
        <v>-4.7450497589002216E-3</v>
      </c>
      <c r="H275" s="2">
        <f t="shared" ref="H275:H338" si="41">(D275/D274)-1</f>
        <v>5.827505827507018E-4</v>
      </c>
      <c r="O275" s="6">
        <f t="shared" si="36"/>
        <v>-6.8798358781203602E-3</v>
      </c>
      <c r="P275" s="6">
        <f t="shared" si="37"/>
        <v>-5.7907934810507346E-3</v>
      </c>
      <c r="Q275" s="6">
        <f t="shared" si="38"/>
        <v>-1.1830516158858051E-3</v>
      </c>
      <c r="X275" s="14">
        <f t="shared" si="39"/>
        <v>-4.9863599277806961E-3</v>
      </c>
    </row>
    <row r="276" spans="1:24" x14ac:dyDescent="0.25">
      <c r="A276" s="1">
        <v>45693.705555555556</v>
      </c>
      <c r="B276" s="2">
        <v>122.42</v>
      </c>
      <c r="C276" s="2">
        <v>392.9</v>
      </c>
      <c r="D276" s="2">
        <v>17.41</v>
      </c>
      <c r="F276" s="2">
        <f t="shared" si="35"/>
        <v>2.9493691627069385E-3</v>
      </c>
      <c r="G276" s="2">
        <f t="shared" si="40"/>
        <v>1.2550575986392865E-2</v>
      </c>
      <c r="H276" s="2">
        <f t="shared" si="41"/>
        <v>1.3977868375072644E-2</v>
      </c>
      <c r="O276" s="6">
        <f t="shared" si="36"/>
        <v>2.500139715192912E-3</v>
      </c>
      <c r="P276" s="6">
        <f t="shared" si="37"/>
        <v>1.1504832264242352E-2</v>
      </c>
      <c r="Q276" s="6">
        <f t="shared" si="38"/>
        <v>1.2212066176436137E-2</v>
      </c>
      <c r="X276" s="14">
        <f t="shared" si="39"/>
        <v>7.8732614881851948E-3</v>
      </c>
    </row>
    <row r="277" spans="1:24" x14ac:dyDescent="0.25">
      <c r="A277" s="1">
        <v>45694.705555555556</v>
      </c>
      <c r="B277" s="2">
        <v>123.09</v>
      </c>
      <c r="C277" s="2">
        <v>392.25</v>
      </c>
      <c r="D277" s="2">
        <v>17.25</v>
      </c>
      <c r="F277" s="2">
        <f t="shared" si="35"/>
        <v>5.4729619343245606E-3</v>
      </c>
      <c r="G277" s="2">
        <f t="shared" si="40"/>
        <v>-1.6543649783659076E-3</v>
      </c>
      <c r="H277" s="2">
        <f t="shared" si="41"/>
        <v>-9.1901206203331975E-3</v>
      </c>
      <c r="O277" s="6">
        <f t="shared" si="36"/>
        <v>5.0237324868105341E-3</v>
      </c>
      <c r="P277" s="6">
        <f t="shared" si="37"/>
        <v>-2.7001087005164206E-3</v>
      </c>
      <c r="Q277" s="6">
        <f t="shared" si="38"/>
        <v>-1.0955922818969704E-2</v>
      </c>
      <c r="X277" s="14">
        <f t="shared" si="39"/>
        <v>-1.6886848991978379E-3</v>
      </c>
    </row>
    <row r="278" spans="1:24" x14ac:dyDescent="0.25">
      <c r="A278" s="1">
        <v>45695.705555555556</v>
      </c>
      <c r="B278" s="2">
        <v>121.57</v>
      </c>
      <c r="C278" s="2">
        <v>391.4</v>
      </c>
      <c r="D278" s="2">
        <v>17.420000000000002</v>
      </c>
      <c r="F278" s="2">
        <f t="shared" si="35"/>
        <v>-1.2348687951905246E-2</v>
      </c>
      <c r="G278" s="2">
        <f t="shared" si="40"/>
        <v>-2.1669853409815865E-3</v>
      </c>
      <c r="H278" s="2">
        <f t="shared" si="41"/>
        <v>9.8550724637682663E-3</v>
      </c>
      <c r="O278" s="6">
        <f t="shared" si="36"/>
        <v>-1.2797917399419273E-2</v>
      </c>
      <c r="P278" s="6">
        <f t="shared" si="37"/>
        <v>-3.2127290631320995E-3</v>
      </c>
      <c r="Q278" s="6">
        <f t="shared" si="38"/>
        <v>8.0892702651317594E-3</v>
      </c>
      <c r="X278" s="14">
        <f t="shared" si="39"/>
        <v>-4.1773091863889326E-3</v>
      </c>
    </row>
    <row r="279" spans="1:24" x14ac:dyDescent="0.25">
      <c r="A279" s="1">
        <v>45698.705555555556</v>
      </c>
      <c r="B279" s="2">
        <v>122.45</v>
      </c>
      <c r="C279" s="2">
        <v>392.25</v>
      </c>
      <c r="D279" s="2">
        <v>17.62</v>
      </c>
      <c r="F279" s="2">
        <f t="shared" si="35"/>
        <v>7.2386279509748519E-3</v>
      </c>
      <c r="G279" s="2">
        <f t="shared" si="40"/>
        <v>2.1716913643332614E-3</v>
      </c>
      <c r="H279" s="2">
        <f t="shared" si="41"/>
        <v>1.1481056257175659E-2</v>
      </c>
      <c r="O279" s="6">
        <f t="shared" si="36"/>
        <v>6.7893985034608254E-3</v>
      </c>
      <c r="P279" s="6">
        <f t="shared" si="37"/>
        <v>1.1259476421827481E-3</v>
      </c>
      <c r="Q279" s="6">
        <f t="shared" si="38"/>
        <v>9.7152540585391522E-3</v>
      </c>
      <c r="X279" s="14">
        <f t="shared" si="39"/>
        <v>5.8944550075949644E-3</v>
      </c>
    </row>
    <row r="280" spans="1:24" x14ac:dyDescent="0.25">
      <c r="A280" s="1">
        <v>45699.705555555556</v>
      </c>
      <c r="B280" s="2">
        <v>123.38</v>
      </c>
      <c r="C280" s="2">
        <v>391.65</v>
      </c>
      <c r="D280" s="2">
        <v>17.510000000000002</v>
      </c>
      <c r="F280" s="2">
        <f t="shared" si="35"/>
        <v>7.5949367088608E-3</v>
      </c>
      <c r="G280" s="2">
        <f t="shared" si="40"/>
        <v>-1.529636711281146E-3</v>
      </c>
      <c r="H280" s="2">
        <f t="shared" si="41"/>
        <v>-6.2429057888762074E-3</v>
      </c>
      <c r="O280" s="6">
        <f t="shared" si="36"/>
        <v>7.1457072613467735E-3</v>
      </c>
      <c r="P280" s="6">
        <f t="shared" si="37"/>
        <v>-2.575380433431659E-3</v>
      </c>
      <c r="Q280" s="6">
        <f t="shared" si="38"/>
        <v>-8.0087079875127143E-3</v>
      </c>
      <c r="X280" s="14">
        <f t="shared" si="39"/>
        <v>6.0872502334323886E-5</v>
      </c>
    </row>
    <row r="281" spans="1:24" x14ac:dyDescent="0.25">
      <c r="A281" s="1">
        <v>45700.705555555556</v>
      </c>
      <c r="B281" s="2">
        <v>121.35</v>
      </c>
      <c r="C281" s="2">
        <v>389.5</v>
      </c>
      <c r="D281" s="2">
        <v>17.510000000000002</v>
      </c>
      <c r="F281" s="2">
        <f t="shared" si="35"/>
        <v>-1.6453233911493004E-2</v>
      </c>
      <c r="G281" s="2">
        <f t="shared" si="40"/>
        <v>-5.4895953019277188E-3</v>
      </c>
      <c r="H281" s="2">
        <f t="shared" si="41"/>
        <v>0</v>
      </c>
      <c r="O281" s="6">
        <f t="shared" si="36"/>
        <v>-1.6902463359007028E-2</v>
      </c>
      <c r="P281" s="6">
        <f t="shared" si="37"/>
        <v>-6.5353390240782318E-3</v>
      </c>
      <c r="Q281" s="6">
        <f t="shared" si="38"/>
        <v>-1.7658021986365069E-3</v>
      </c>
      <c r="X281" s="14">
        <f t="shared" si="39"/>
        <v>-9.62863841885374E-3</v>
      </c>
    </row>
    <row r="282" spans="1:24" x14ac:dyDescent="0.25">
      <c r="A282" s="1">
        <v>45701.705555555556</v>
      </c>
      <c r="B282" s="2">
        <v>121.76</v>
      </c>
      <c r="C282" s="2">
        <v>393.9</v>
      </c>
      <c r="D282" s="2">
        <v>17.690000000000001</v>
      </c>
      <c r="F282" s="2">
        <f t="shared" si="35"/>
        <v>3.3786567779152676E-3</v>
      </c>
      <c r="G282" s="2">
        <f t="shared" si="40"/>
        <v>1.1296534017971593E-2</v>
      </c>
      <c r="H282" s="2">
        <f t="shared" si="41"/>
        <v>1.0279840091376391E-2</v>
      </c>
      <c r="O282" s="6">
        <f t="shared" si="36"/>
        <v>2.9294273304012412E-3</v>
      </c>
      <c r="P282" s="6">
        <f t="shared" si="37"/>
        <v>1.025079029582108E-2</v>
      </c>
      <c r="Q282" s="6">
        <f t="shared" si="38"/>
        <v>8.5140378927398841E-3</v>
      </c>
      <c r="X282" s="14">
        <f t="shared" si="39"/>
        <v>6.6623460384835353E-3</v>
      </c>
    </row>
    <row r="283" spans="1:24" x14ac:dyDescent="0.25">
      <c r="A283" s="1">
        <v>45702.705555555556</v>
      </c>
      <c r="B283" s="2">
        <v>125</v>
      </c>
      <c r="C283" s="2">
        <v>388.62</v>
      </c>
      <c r="D283" s="2">
        <v>17.23</v>
      </c>
      <c r="F283" s="2">
        <f t="shared" si="35"/>
        <v>2.6609724047306216E-2</v>
      </c>
      <c r="G283" s="2">
        <f t="shared" si="40"/>
        <v>-1.3404417364813348E-2</v>
      </c>
      <c r="H283" s="2">
        <f t="shared" si="41"/>
        <v>-2.6003391746749593E-2</v>
      </c>
      <c r="O283" s="6">
        <f t="shared" si="36"/>
        <v>2.6160494599792191E-2</v>
      </c>
      <c r="P283" s="6">
        <f t="shared" si="37"/>
        <v>-1.4450161086963861E-2</v>
      </c>
      <c r="Q283" s="6">
        <f t="shared" si="38"/>
        <v>-2.77691939453861E-2</v>
      </c>
      <c r="X283" s="14">
        <f t="shared" si="39"/>
        <v>-8.5765722539014703E-4</v>
      </c>
    </row>
    <row r="284" spans="1:24" x14ac:dyDescent="0.25">
      <c r="A284" s="1">
        <v>45705.705555555556</v>
      </c>
      <c r="B284" s="2">
        <v>125.38</v>
      </c>
      <c r="C284" s="2">
        <v>391.15</v>
      </c>
      <c r="D284" s="2">
        <v>17.399999999999999</v>
      </c>
      <c r="F284" s="2">
        <f t="shared" si="35"/>
        <v>3.0399999999999316E-3</v>
      </c>
      <c r="G284" s="2">
        <f t="shared" si="40"/>
        <v>6.5102156348102458E-3</v>
      </c>
      <c r="H284" s="2">
        <f t="shared" si="41"/>
        <v>9.8665118978524813E-3</v>
      </c>
      <c r="O284" s="6">
        <f t="shared" si="36"/>
        <v>2.5907705524859052E-3</v>
      </c>
      <c r="P284" s="6">
        <f t="shared" si="37"/>
        <v>5.4644719126597328E-3</v>
      </c>
      <c r="Q284" s="6">
        <f t="shared" si="38"/>
        <v>8.1007096992159744E-3</v>
      </c>
      <c r="X284" s="14">
        <f t="shared" si="39"/>
        <v>4.9684307988646509E-3</v>
      </c>
    </row>
    <row r="285" spans="1:24" x14ac:dyDescent="0.25">
      <c r="A285" s="1">
        <v>45706.705555555556</v>
      </c>
      <c r="B285" s="2">
        <v>125.37</v>
      </c>
      <c r="C285" s="2">
        <v>389.39</v>
      </c>
      <c r="D285" s="2">
        <v>17.48</v>
      </c>
      <c r="F285" s="2">
        <f t="shared" si="35"/>
        <v>-7.9757537087221664E-5</v>
      </c>
      <c r="G285" s="2">
        <f t="shared" si="40"/>
        <v>-4.4995526013038578E-3</v>
      </c>
      <c r="H285" s="2">
        <f t="shared" si="41"/>
        <v>4.5977011494253706E-3</v>
      </c>
      <c r="O285" s="6">
        <f t="shared" si="36"/>
        <v>-5.2898698460124814E-4</v>
      </c>
      <c r="P285" s="6">
        <f t="shared" si="37"/>
        <v>-5.5452963234543708E-3</v>
      </c>
      <c r="Q285" s="6">
        <f t="shared" si="38"/>
        <v>2.8318989507888637E-3</v>
      </c>
      <c r="X285" s="14">
        <f t="shared" si="39"/>
        <v>-1.1100895387325211E-3</v>
      </c>
    </row>
    <row r="286" spans="1:24" x14ac:dyDescent="0.25">
      <c r="A286" s="1">
        <v>45707.705555555556</v>
      </c>
      <c r="B286" s="2">
        <v>124.21</v>
      </c>
      <c r="C286" s="2">
        <v>392.7</v>
      </c>
      <c r="D286" s="2">
        <v>17.61</v>
      </c>
      <c r="F286" s="2">
        <f t="shared" si="35"/>
        <v>-9.2526122676876987E-3</v>
      </c>
      <c r="G286" s="2">
        <f t="shared" si="40"/>
        <v>8.5004751020827385E-3</v>
      </c>
      <c r="H286" s="2">
        <f t="shared" si="41"/>
        <v>7.4370709382149958E-3</v>
      </c>
      <c r="O286" s="6">
        <f t="shared" si="36"/>
        <v>-9.7018417152017252E-3</v>
      </c>
      <c r="P286" s="6">
        <f t="shared" si="37"/>
        <v>7.4547313799322255E-3</v>
      </c>
      <c r="Q286" s="6">
        <f t="shared" si="38"/>
        <v>5.6712687395784889E-3</v>
      </c>
      <c r="X286" s="14">
        <f t="shared" si="39"/>
        <v>-3.2550836310909635E-4</v>
      </c>
    </row>
    <row r="287" spans="1:24" x14ac:dyDescent="0.25">
      <c r="A287" s="1">
        <v>45708.705555555556</v>
      </c>
      <c r="B287" s="2">
        <v>124.47</v>
      </c>
      <c r="C287" s="2">
        <v>390.41</v>
      </c>
      <c r="D287" s="2">
        <v>17.55</v>
      </c>
      <c r="F287" s="2">
        <f t="shared" si="35"/>
        <v>2.0932292085984461E-3</v>
      </c>
      <c r="G287" s="2">
        <f t="shared" si="40"/>
        <v>-5.8314234784822006E-3</v>
      </c>
      <c r="H287" s="2">
        <f t="shared" si="41"/>
        <v>-3.4071550255535543E-3</v>
      </c>
      <c r="O287" s="6">
        <f t="shared" si="36"/>
        <v>1.6439997610844196E-3</v>
      </c>
      <c r="P287" s="6">
        <f t="shared" si="37"/>
        <v>-6.8771672006327136E-3</v>
      </c>
      <c r="Q287" s="6">
        <f t="shared" si="38"/>
        <v>-5.1729572241900612E-3</v>
      </c>
      <c r="X287" s="14">
        <f t="shared" si="39"/>
        <v>-2.787879419519578E-3</v>
      </c>
    </row>
    <row r="288" spans="1:24" x14ac:dyDescent="0.25">
      <c r="A288" s="1">
        <v>45709.705555555556</v>
      </c>
      <c r="B288" s="2">
        <v>124.02</v>
      </c>
      <c r="C288" s="2">
        <v>385.35</v>
      </c>
      <c r="D288" s="2">
        <v>17.63</v>
      </c>
      <c r="F288" s="2">
        <f t="shared" si="35"/>
        <v>-3.6153289949385492E-3</v>
      </c>
      <c r="G288" s="2">
        <f t="shared" si="40"/>
        <v>-1.2960733587766726E-2</v>
      </c>
      <c r="H288" s="2">
        <f t="shared" si="41"/>
        <v>4.5584045584043942E-3</v>
      </c>
      <c r="O288" s="6">
        <f t="shared" si="36"/>
        <v>-4.0645584424525757E-3</v>
      </c>
      <c r="P288" s="6">
        <f t="shared" si="37"/>
        <v>-1.4006477309917239E-2</v>
      </c>
      <c r="Q288" s="6">
        <f t="shared" si="38"/>
        <v>2.7926023597678873E-3</v>
      </c>
      <c r="X288" s="14">
        <f t="shared" si="39"/>
        <v>-5.1623119542630966E-3</v>
      </c>
    </row>
    <row r="289" spans="1:24" x14ac:dyDescent="0.25">
      <c r="A289" s="1">
        <v>45712.705555555556</v>
      </c>
      <c r="B289" s="2">
        <v>122.36</v>
      </c>
      <c r="C289" s="2">
        <v>387.25</v>
      </c>
      <c r="D289" s="2">
        <v>17.850000000000001</v>
      </c>
      <c r="F289" s="2">
        <f t="shared" si="35"/>
        <v>-1.3384937913239803E-2</v>
      </c>
      <c r="G289" s="2">
        <f t="shared" si="40"/>
        <v>4.9305825872583142E-3</v>
      </c>
      <c r="H289" s="2">
        <f t="shared" si="41"/>
        <v>1.2478729438457403E-2</v>
      </c>
      <c r="O289" s="6">
        <f t="shared" si="36"/>
        <v>-1.3834167360753829E-2</v>
      </c>
      <c r="P289" s="6">
        <f t="shared" si="37"/>
        <v>3.8848388651078012E-3</v>
      </c>
      <c r="Q289" s="6">
        <f t="shared" si="38"/>
        <v>1.0712927239820896E-2</v>
      </c>
      <c r="X289" s="14">
        <f t="shared" si="39"/>
        <v>-1.7661345809177418E-3</v>
      </c>
    </row>
    <row r="290" spans="1:24" x14ac:dyDescent="0.25">
      <c r="A290" s="1">
        <v>45713.705555555556</v>
      </c>
      <c r="B290" s="2">
        <v>122.88</v>
      </c>
      <c r="C290" s="2">
        <v>383</v>
      </c>
      <c r="D290" s="2">
        <v>17.559999999999999</v>
      </c>
      <c r="F290" s="2">
        <f t="shared" si="35"/>
        <v>4.2497548218372039E-3</v>
      </c>
      <c r="G290" s="2">
        <f t="shared" si="40"/>
        <v>-1.0974822466107148E-2</v>
      </c>
      <c r="H290" s="2">
        <f t="shared" si="41"/>
        <v>-1.624649859943994E-2</v>
      </c>
      <c r="O290" s="6">
        <f t="shared" si="36"/>
        <v>3.8005253743231774E-3</v>
      </c>
      <c r="P290" s="6">
        <f t="shared" si="37"/>
        <v>-1.2020566188257661E-2</v>
      </c>
      <c r="Q290" s="6">
        <f t="shared" si="38"/>
        <v>-1.8012300798076447E-2</v>
      </c>
      <c r="X290" s="14">
        <f t="shared" si="39"/>
        <v>-6.9460070270421252E-3</v>
      </c>
    </row>
    <row r="291" spans="1:24" x14ac:dyDescent="0.25">
      <c r="A291" s="1">
        <v>45714.705555555556</v>
      </c>
      <c r="B291" s="2">
        <v>121.74</v>
      </c>
      <c r="C291" s="2">
        <v>386.88</v>
      </c>
      <c r="D291" s="2">
        <v>17.760000000000002</v>
      </c>
      <c r="F291" s="2">
        <f t="shared" si="35"/>
        <v>-9.27734375E-3</v>
      </c>
      <c r="G291" s="2">
        <f t="shared" si="40"/>
        <v>1.0130548302871967E-2</v>
      </c>
      <c r="H291" s="2">
        <f t="shared" si="41"/>
        <v>1.1389521640091216E-2</v>
      </c>
      <c r="O291" s="6">
        <f t="shared" si="36"/>
        <v>-9.7265731975140265E-3</v>
      </c>
      <c r="P291" s="6">
        <f t="shared" si="37"/>
        <v>9.0848045807214537E-3</v>
      </c>
      <c r="Q291" s="6">
        <f t="shared" si="38"/>
        <v>9.6237194414547089E-3</v>
      </c>
      <c r="X291" s="14">
        <f t="shared" si="39"/>
        <v>1.2401151057878069E-3</v>
      </c>
    </row>
    <row r="292" spans="1:24" x14ac:dyDescent="0.25">
      <c r="A292" s="1">
        <v>45715.705555555556</v>
      </c>
      <c r="B292" s="2">
        <v>121.74</v>
      </c>
      <c r="C292" s="2">
        <v>383.5</v>
      </c>
      <c r="D292" s="2">
        <v>17.55</v>
      </c>
      <c r="F292" s="2">
        <f t="shared" si="35"/>
        <v>0</v>
      </c>
      <c r="G292" s="2">
        <f t="shared" si="40"/>
        <v>-8.736559139784883E-3</v>
      </c>
      <c r="H292" s="2">
        <f t="shared" si="41"/>
        <v>-1.1824324324324342E-2</v>
      </c>
      <c r="O292" s="6">
        <f t="shared" si="36"/>
        <v>-4.4922944751402642E-4</v>
      </c>
      <c r="P292" s="6">
        <f t="shared" si="37"/>
        <v>-9.782302861935396E-3</v>
      </c>
      <c r="Q292" s="6">
        <f t="shared" si="38"/>
        <v>-1.3590126522960849E-2</v>
      </c>
      <c r="X292" s="14">
        <f t="shared" si="39"/>
        <v>-6.8638899747214968E-3</v>
      </c>
    </row>
    <row r="293" spans="1:24" x14ac:dyDescent="0.25">
      <c r="A293" s="1">
        <v>45716.705555555556</v>
      </c>
      <c r="B293" s="2">
        <v>119.83</v>
      </c>
      <c r="C293" s="2">
        <v>392.7</v>
      </c>
      <c r="D293" s="2">
        <v>17.59</v>
      </c>
      <c r="F293" s="2">
        <f t="shared" si="35"/>
        <v>-1.5689173648759658E-2</v>
      </c>
      <c r="G293" s="2">
        <f t="shared" si="40"/>
        <v>2.3989569752281614E-2</v>
      </c>
      <c r="H293" s="2">
        <f t="shared" si="41"/>
        <v>2.2792022792021971E-3</v>
      </c>
      <c r="O293" s="6">
        <f t="shared" si="36"/>
        <v>-1.6138403096273683E-2</v>
      </c>
      <c r="P293" s="6">
        <f t="shared" si="37"/>
        <v>2.29438260301311E-2</v>
      </c>
      <c r="Q293" s="6">
        <f t="shared" si="38"/>
        <v>5.134000805656902E-4</v>
      </c>
      <c r="X293" s="14">
        <f t="shared" si="39"/>
        <v>1.6937132955854384E-4</v>
      </c>
    </row>
    <row r="294" spans="1:24" x14ac:dyDescent="0.25">
      <c r="A294" s="1">
        <v>45721.705555555556</v>
      </c>
      <c r="B294" s="2">
        <v>120.03</v>
      </c>
      <c r="C294" s="2">
        <v>376.65</v>
      </c>
      <c r="D294" s="2">
        <v>17.63</v>
      </c>
      <c r="F294" s="2">
        <f t="shared" si="35"/>
        <v>1.6690311274305536E-3</v>
      </c>
      <c r="G294" s="2">
        <f t="shared" si="40"/>
        <v>-4.0870893812070319E-2</v>
      </c>
      <c r="H294" s="2">
        <f t="shared" si="41"/>
        <v>2.2740193291641564E-3</v>
      </c>
      <c r="O294" s="6">
        <f t="shared" si="36"/>
        <v>1.2198016799165271E-3</v>
      </c>
      <c r="P294" s="6">
        <f t="shared" si="37"/>
        <v>-4.1916637534220834E-2</v>
      </c>
      <c r="Q294" s="6">
        <f t="shared" si="38"/>
        <v>5.082171305276495E-4</v>
      </c>
      <c r="X294" s="14">
        <f t="shared" si="39"/>
        <v>-1.1920940982816946E-2</v>
      </c>
    </row>
    <row r="295" spans="1:24" x14ac:dyDescent="0.25">
      <c r="A295" s="1">
        <v>45722.705555555556</v>
      </c>
      <c r="B295" s="2">
        <v>120.33</v>
      </c>
      <c r="C295" s="2">
        <v>370.7</v>
      </c>
      <c r="D295" s="2">
        <v>17.57</v>
      </c>
      <c r="F295" s="2">
        <f t="shared" si="35"/>
        <v>2.4993751562110145E-3</v>
      </c>
      <c r="G295" s="2">
        <f t="shared" si="40"/>
        <v>-1.5797159166334729E-2</v>
      </c>
      <c r="H295" s="2">
        <f t="shared" si="41"/>
        <v>-3.4032898468518979E-3</v>
      </c>
      <c r="O295" s="6">
        <f t="shared" si="36"/>
        <v>2.050145708696988E-3</v>
      </c>
      <c r="P295" s="6">
        <f t="shared" si="37"/>
        <v>-1.6842902888485244E-2</v>
      </c>
      <c r="Q295" s="6">
        <f t="shared" si="38"/>
        <v>-5.1690920454884048E-3</v>
      </c>
      <c r="X295" s="14">
        <f t="shared" si="39"/>
        <v>-5.6049188067506034E-3</v>
      </c>
    </row>
    <row r="296" spans="1:24" x14ac:dyDescent="0.25">
      <c r="A296" s="1">
        <v>45723.705555555556</v>
      </c>
      <c r="B296" s="2">
        <v>121.94</v>
      </c>
      <c r="C296" s="2">
        <v>373.9</v>
      </c>
      <c r="D296" s="2">
        <v>17.649999999999999</v>
      </c>
      <c r="F296" s="2">
        <f t="shared" si="35"/>
        <v>1.3379872018615568E-2</v>
      </c>
      <c r="G296" s="2">
        <f t="shared" si="40"/>
        <v>8.63231723765856E-3</v>
      </c>
      <c r="H296" s="2">
        <f t="shared" si="41"/>
        <v>4.5532157085941272E-3</v>
      </c>
      <c r="O296" s="6">
        <f t="shared" si="36"/>
        <v>1.2930642571101542E-2</v>
      </c>
      <c r="P296" s="6">
        <f t="shared" si="37"/>
        <v>7.5865735155080469E-3</v>
      </c>
      <c r="Q296" s="6">
        <f t="shared" si="38"/>
        <v>2.7874135099576203E-3</v>
      </c>
      <c r="X296" s="14">
        <f t="shared" si="39"/>
        <v>8.5374459385358092E-3</v>
      </c>
    </row>
    <row r="297" spans="1:24" x14ac:dyDescent="0.25">
      <c r="A297" s="1">
        <v>45726.705555555556</v>
      </c>
      <c r="B297" s="2">
        <v>121.49</v>
      </c>
      <c r="C297" s="2">
        <v>367.95</v>
      </c>
      <c r="D297" s="2">
        <v>17.670000000000002</v>
      </c>
      <c r="F297" s="2">
        <f t="shared" si="35"/>
        <v>-3.6903395112350967E-3</v>
      </c>
      <c r="G297" s="2">
        <f t="shared" si="40"/>
        <v>-1.5913345814388857E-2</v>
      </c>
      <c r="H297" s="2">
        <f t="shared" si="41"/>
        <v>1.1331444759208331E-3</v>
      </c>
      <c r="O297" s="6">
        <f t="shared" si="36"/>
        <v>-4.1395689587491232E-3</v>
      </c>
      <c r="P297" s="6">
        <f t="shared" si="37"/>
        <v>-1.6959089536539372E-2</v>
      </c>
      <c r="Q297" s="6">
        <f t="shared" si="38"/>
        <v>-6.3265772271567378E-4</v>
      </c>
      <c r="X297" s="14">
        <f t="shared" si="39"/>
        <v>-7.0222220493263354E-3</v>
      </c>
    </row>
    <row r="298" spans="1:24" x14ac:dyDescent="0.25">
      <c r="A298" s="1">
        <v>45727.705555555556</v>
      </c>
      <c r="B298" s="2">
        <v>120.5</v>
      </c>
      <c r="C298" s="2">
        <v>363</v>
      </c>
      <c r="D298" s="2">
        <v>17.77</v>
      </c>
      <c r="F298" s="2">
        <f t="shared" si="35"/>
        <v>-8.1488188328256994E-3</v>
      </c>
      <c r="G298" s="2">
        <f t="shared" si="40"/>
        <v>-1.3452914798206206E-2</v>
      </c>
      <c r="H298" s="2">
        <f t="shared" si="41"/>
        <v>5.6593095642329949E-3</v>
      </c>
      <c r="O298" s="6">
        <f t="shared" si="36"/>
        <v>-8.5980482803397259E-3</v>
      </c>
      <c r="P298" s="6">
        <f t="shared" si="37"/>
        <v>-1.4498658520356719E-2</v>
      </c>
      <c r="Q298" s="6">
        <f t="shared" si="38"/>
        <v>3.893507365596488E-3</v>
      </c>
      <c r="X298" s="14">
        <f t="shared" si="39"/>
        <v>-6.9335215861741377E-3</v>
      </c>
    </row>
    <row r="299" spans="1:24" x14ac:dyDescent="0.25">
      <c r="A299" s="1">
        <v>45728.705555555556</v>
      </c>
      <c r="B299" s="2">
        <v>120.85</v>
      </c>
      <c r="C299" s="2">
        <v>364.01</v>
      </c>
      <c r="D299" s="2">
        <v>17.82</v>
      </c>
      <c r="F299" s="2">
        <f t="shared" si="35"/>
        <v>2.9045643153526868E-3</v>
      </c>
      <c r="G299" s="2">
        <f t="shared" si="40"/>
        <v>2.7823691460053812E-3</v>
      </c>
      <c r="H299" s="2">
        <f t="shared" si="41"/>
        <v>2.8137310073157451E-3</v>
      </c>
      <c r="O299" s="6">
        <f t="shared" si="36"/>
        <v>2.4553348678386603E-3</v>
      </c>
      <c r="P299" s="6">
        <f t="shared" si="37"/>
        <v>1.736625423854868E-3</v>
      </c>
      <c r="Q299" s="6">
        <f t="shared" si="38"/>
        <v>1.0479288086792382E-3</v>
      </c>
      <c r="X299" s="14">
        <f t="shared" si="39"/>
        <v>1.8526059692539217E-3</v>
      </c>
    </row>
    <row r="300" spans="1:24" x14ac:dyDescent="0.25">
      <c r="A300" s="1">
        <v>45729.705555555556</v>
      </c>
      <c r="B300" s="2">
        <v>122.55</v>
      </c>
      <c r="C300" s="2">
        <v>358.8</v>
      </c>
      <c r="D300" s="2">
        <v>18.12</v>
      </c>
      <c r="F300" s="2">
        <f t="shared" si="35"/>
        <v>1.4067025237898267E-2</v>
      </c>
      <c r="G300" s="2">
        <f t="shared" si="40"/>
        <v>-1.4312793604571272E-2</v>
      </c>
      <c r="H300" s="2">
        <f t="shared" si="41"/>
        <v>1.6835016835016869E-2</v>
      </c>
      <c r="O300" s="6">
        <f t="shared" si="36"/>
        <v>1.3617795790384241E-2</v>
      </c>
      <c r="P300" s="6">
        <f t="shared" si="37"/>
        <v>-1.5358537326721785E-2</v>
      </c>
      <c r="Q300" s="6">
        <f t="shared" si="38"/>
        <v>1.5069214636380363E-2</v>
      </c>
      <c r="X300" s="14">
        <f t="shared" si="39"/>
        <v>5.3212797747335637E-3</v>
      </c>
    </row>
    <row r="301" spans="1:24" x14ac:dyDescent="0.25">
      <c r="A301" s="1">
        <v>45730.705555555556</v>
      </c>
      <c r="B301" s="2">
        <v>125.77</v>
      </c>
      <c r="C301" s="2">
        <v>362</v>
      </c>
      <c r="D301" s="2">
        <v>17.940000000000001</v>
      </c>
      <c r="F301" s="2">
        <f t="shared" si="35"/>
        <v>2.6274989800081583E-2</v>
      </c>
      <c r="G301" s="2">
        <f t="shared" si="40"/>
        <v>8.9186176142697082E-3</v>
      </c>
      <c r="H301" s="2">
        <f t="shared" si="41"/>
        <v>-9.9337748344370258E-3</v>
      </c>
      <c r="O301" s="6">
        <f t="shared" si="36"/>
        <v>2.5825760352567558E-2</v>
      </c>
      <c r="P301" s="6">
        <f t="shared" si="37"/>
        <v>7.8728738921191952E-3</v>
      </c>
      <c r="Q301" s="6">
        <f t="shared" si="38"/>
        <v>-1.1699577033073533E-2</v>
      </c>
      <c r="X301" s="14">
        <f t="shared" si="39"/>
        <v>1.0118425183188926E-2</v>
      </c>
    </row>
    <row r="302" spans="1:24" x14ac:dyDescent="0.25">
      <c r="A302" s="1">
        <v>45733.705555555556</v>
      </c>
      <c r="B302" s="2">
        <v>127.55</v>
      </c>
      <c r="C302" s="2">
        <v>361.1</v>
      </c>
      <c r="D302" s="2">
        <v>17.87</v>
      </c>
      <c r="F302" s="2">
        <f t="shared" si="35"/>
        <v>1.4152818637194864E-2</v>
      </c>
      <c r="G302" s="2">
        <f t="shared" si="40"/>
        <v>-2.4861878453038555E-3</v>
      </c>
      <c r="H302" s="2">
        <f t="shared" si="41"/>
        <v>-3.9018952062430667E-3</v>
      </c>
      <c r="O302" s="6">
        <f t="shared" si="36"/>
        <v>1.3703589189680837E-2</v>
      </c>
      <c r="P302" s="6">
        <f t="shared" si="37"/>
        <v>-3.5319315674543685E-3</v>
      </c>
      <c r="Q302" s="6">
        <f t="shared" si="38"/>
        <v>-5.6676974048795736E-3</v>
      </c>
      <c r="X302" s="14">
        <f t="shared" si="39"/>
        <v>3.2040349952558601E-3</v>
      </c>
    </row>
    <row r="303" spans="1:24" x14ac:dyDescent="0.25">
      <c r="A303" s="1">
        <v>45734.705555555556</v>
      </c>
      <c r="B303" s="2">
        <v>128.28</v>
      </c>
      <c r="C303" s="2">
        <v>356.95</v>
      </c>
      <c r="D303" s="2">
        <v>18.04</v>
      </c>
      <c r="F303" s="2">
        <f t="shared" si="35"/>
        <v>5.723245785966391E-3</v>
      </c>
      <c r="G303" s="2">
        <f t="shared" si="40"/>
        <v>-1.1492661312655916E-2</v>
      </c>
      <c r="H303" s="2">
        <f t="shared" si="41"/>
        <v>9.5131505316170539E-3</v>
      </c>
      <c r="O303" s="6">
        <f t="shared" si="36"/>
        <v>5.2740163384523645E-3</v>
      </c>
      <c r="P303" s="6">
        <f t="shared" si="37"/>
        <v>-1.2538405034806429E-2</v>
      </c>
      <c r="Q303" s="6">
        <f t="shared" si="38"/>
        <v>7.747348332980547E-3</v>
      </c>
      <c r="X303" s="14">
        <f t="shared" si="39"/>
        <v>6.0877397368828187E-4</v>
      </c>
    </row>
    <row r="304" spans="1:24" x14ac:dyDescent="0.25">
      <c r="A304" s="1">
        <v>45735.705555555556</v>
      </c>
      <c r="B304" s="2">
        <v>129.29</v>
      </c>
      <c r="C304" s="2">
        <v>358.9</v>
      </c>
      <c r="D304" s="2">
        <v>18.03</v>
      </c>
      <c r="F304" s="2">
        <f t="shared" si="35"/>
        <v>7.8734019332709071E-3</v>
      </c>
      <c r="G304" s="2">
        <f t="shared" si="40"/>
        <v>5.4629499929961245E-3</v>
      </c>
      <c r="H304" s="2">
        <f t="shared" si="41"/>
        <v>-5.5432372505537231E-4</v>
      </c>
      <c r="O304" s="6">
        <f t="shared" si="36"/>
        <v>7.4241724857568806E-3</v>
      </c>
      <c r="P304" s="6">
        <f t="shared" si="37"/>
        <v>4.4172062708456115E-3</v>
      </c>
      <c r="Q304" s="6">
        <f t="shared" si="38"/>
        <v>-2.3201259236918792E-3</v>
      </c>
      <c r="X304" s="14">
        <f t="shared" si="39"/>
        <v>3.8420388873163453E-3</v>
      </c>
    </row>
    <row r="305" spans="1:24" x14ac:dyDescent="0.25">
      <c r="A305" s="1">
        <v>45736.705555555556</v>
      </c>
      <c r="B305" s="2">
        <v>128.83000000000001</v>
      </c>
      <c r="C305" s="2">
        <v>359.2</v>
      </c>
      <c r="D305" s="2">
        <v>18.09</v>
      </c>
      <c r="F305" s="2">
        <f t="shared" si="35"/>
        <v>-3.5578931085156196E-3</v>
      </c>
      <c r="G305" s="2">
        <f t="shared" si="40"/>
        <v>8.3588743382567721E-4</v>
      </c>
      <c r="H305" s="2">
        <f t="shared" si="41"/>
        <v>3.3277870216306127E-3</v>
      </c>
      <c r="O305" s="6">
        <f t="shared" si="36"/>
        <v>-4.0071225560296461E-3</v>
      </c>
      <c r="P305" s="6">
        <f t="shared" si="37"/>
        <v>-2.0985628832483603E-4</v>
      </c>
      <c r="Q305" s="6">
        <f t="shared" si="38"/>
        <v>1.5619848229941058E-3</v>
      </c>
      <c r="X305" s="14">
        <f t="shared" si="39"/>
        <v>-1.3360329169293059E-3</v>
      </c>
    </row>
    <row r="306" spans="1:24" x14ac:dyDescent="0.25">
      <c r="A306" s="1">
        <v>45737.705555555556</v>
      </c>
      <c r="B306" s="2">
        <v>129.1</v>
      </c>
      <c r="C306" s="2">
        <v>362.65</v>
      </c>
      <c r="D306" s="2">
        <v>18.07</v>
      </c>
      <c r="F306" s="2">
        <f t="shared" si="35"/>
        <v>2.0957851432117369E-3</v>
      </c>
      <c r="G306" s="2">
        <f t="shared" si="40"/>
        <v>9.6046770601336817E-3</v>
      </c>
      <c r="H306" s="2">
        <f t="shared" si="41"/>
        <v>-1.1055831951354289E-3</v>
      </c>
      <c r="O306" s="6">
        <f t="shared" si="36"/>
        <v>1.6465556956977104E-3</v>
      </c>
      <c r="P306" s="6">
        <f t="shared" si="37"/>
        <v>8.5589333379831687E-3</v>
      </c>
      <c r="Q306" s="6">
        <f t="shared" si="38"/>
        <v>-2.8713853937719358E-3</v>
      </c>
      <c r="X306" s="14">
        <f t="shared" si="39"/>
        <v>2.4784608102964307E-3</v>
      </c>
    </row>
    <row r="307" spans="1:24" x14ac:dyDescent="0.25">
      <c r="A307" s="1">
        <v>45740.705555555556</v>
      </c>
      <c r="B307" s="2">
        <v>128.16999999999999</v>
      </c>
      <c r="C307" s="2">
        <v>371</v>
      </c>
      <c r="D307" s="2">
        <v>18.11</v>
      </c>
      <c r="F307" s="2">
        <f t="shared" si="35"/>
        <v>-7.2037180480248875E-3</v>
      </c>
      <c r="G307" s="2">
        <f t="shared" si="40"/>
        <v>2.3024955190955598E-2</v>
      </c>
      <c r="H307" s="2">
        <f t="shared" si="41"/>
        <v>2.2136137244050946E-3</v>
      </c>
      <c r="O307" s="6">
        <f t="shared" si="36"/>
        <v>-7.6529474955389139E-3</v>
      </c>
      <c r="P307" s="6">
        <f t="shared" si="37"/>
        <v>2.1979211468805084E-2</v>
      </c>
      <c r="Q307" s="6">
        <f t="shared" si="38"/>
        <v>4.4781152576858774E-4</v>
      </c>
      <c r="X307" s="14">
        <f t="shared" si="39"/>
        <v>3.4673008468471718E-3</v>
      </c>
    </row>
    <row r="308" spans="1:24" x14ac:dyDescent="0.25">
      <c r="A308" s="1">
        <v>45741.705555555556</v>
      </c>
      <c r="B308" s="2">
        <v>128.88</v>
      </c>
      <c r="C308" s="2">
        <v>368.65</v>
      </c>
      <c r="D308" s="2">
        <v>18.059999999999999</v>
      </c>
      <c r="F308" s="2">
        <f t="shared" si="35"/>
        <v>5.5395178278849766E-3</v>
      </c>
      <c r="G308" s="2">
        <f t="shared" si="40"/>
        <v>-6.3342318059299574E-3</v>
      </c>
      <c r="H308" s="2">
        <f t="shared" si="41"/>
        <v>-2.7609055770293489E-3</v>
      </c>
      <c r="O308" s="6">
        <f t="shared" si="36"/>
        <v>5.0902883803709501E-3</v>
      </c>
      <c r="P308" s="6">
        <f t="shared" si="37"/>
        <v>-7.3799755280804704E-3</v>
      </c>
      <c r="Q308" s="6">
        <f t="shared" si="38"/>
        <v>-4.5267077756658558E-3</v>
      </c>
      <c r="X308" s="14">
        <f t="shared" si="39"/>
        <v>-1.2967292171076695E-3</v>
      </c>
    </row>
    <row r="309" spans="1:24" x14ac:dyDescent="0.25">
      <c r="A309" s="1">
        <v>45742.705555555556</v>
      </c>
      <c r="B309" s="2">
        <v>129.33000000000001</v>
      </c>
      <c r="C309" s="2">
        <v>366.45</v>
      </c>
      <c r="D309" s="2">
        <v>18.100000000000001</v>
      </c>
      <c r="F309" s="2">
        <f t="shared" si="35"/>
        <v>3.4916201117318746E-3</v>
      </c>
      <c r="G309" s="2">
        <f t="shared" si="40"/>
        <v>-5.9677200596771618E-3</v>
      </c>
      <c r="H309" s="2">
        <f t="shared" si="41"/>
        <v>2.2148394241419123E-3</v>
      </c>
      <c r="O309" s="6">
        <f t="shared" si="36"/>
        <v>3.0423906642178481E-3</v>
      </c>
      <c r="P309" s="6">
        <f t="shared" si="37"/>
        <v>-7.0134637818276748E-3</v>
      </c>
      <c r="Q309" s="6">
        <f t="shared" si="38"/>
        <v>4.4903722550540537E-4</v>
      </c>
      <c r="X309" s="14">
        <f t="shared" si="39"/>
        <v>-6.8851806652506274E-4</v>
      </c>
    </row>
    <row r="310" spans="1:24" x14ac:dyDescent="0.25">
      <c r="A310" s="1">
        <v>45743.705555555556</v>
      </c>
      <c r="B310" s="2">
        <v>129.94999999999999</v>
      </c>
      <c r="C310" s="2">
        <v>366.15</v>
      </c>
      <c r="D310" s="2">
        <v>18.399999999999999</v>
      </c>
      <c r="F310" s="2">
        <f t="shared" si="35"/>
        <v>4.7939379880923561E-3</v>
      </c>
      <c r="G310" s="2">
        <f t="shared" si="40"/>
        <v>-8.1866557511256488E-4</v>
      </c>
      <c r="H310" s="2">
        <f t="shared" si="41"/>
        <v>1.6574585635358963E-2</v>
      </c>
      <c r="O310" s="6">
        <f t="shared" si="36"/>
        <v>4.3447085405783296E-3</v>
      </c>
      <c r="P310" s="6">
        <f t="shared" si="37"/>
        <v>-1.8644092972630781E-3</v>
      </c>
      <c r="Q310" s="6">
        <f t="shared" si="38"/>
        <v>1.4808783436722456E-2</v>
      </c>
      <c r="X310" s="14">
        <f t="shared" si="39"/>
        <v>5.3590807856679105E-3</v>
      </c>
    </row>
    <row r="311" spans="1:24" x14ac:dyDescent="0.25">
      <c r="A311" s="1">
        <v>45744.705555555556</v>
      </c>
      <c r="B311" s="2">
        <v>128.76</v>
      </c>
      <c r="C311" s="2">
        <v>359.85</v>
      </c>
      <c r="D311" s="2">
        <v>18.579999999999998</v>
      </c>
      <c r="F311" s="2">
        <f t="shared" si="35"/>
        <v>-9.1573682185456251E-3</v>
      </c>
      <c r="G311" s="2">
        <f t="shared" si="40"/>
        <v>-1.7206063088897827E-2</v>
      </c>
      <c r="H311" s="2">
        <f t="shared" si="41"/>
        <v>9.7826086956520619E-3</v>
      </c>
      <c r="O311" s="6">
        <f t="shared" si="36"/>
        <v>-9.6065976660596516E-3</v>
      </c>
      <c r="P311" s="6">
        <f t="shared" si="37"/>
        <v>-1.8251806811048342E-2</v>
      </c>
      <c r="Q311" s="6">
        <f t="shared" si="38"/>
        <v>8.016806497015555E-3</v>
      </c>
      <c r="X311" s="14">
        <f t="shared" si="39"/>
        <v>-7.3544151894381687E-3</v>
      </c>
    </row>
    <row r="312" spans="1:24" x14ac:dyDescent="0.25">
      <c r="A312" s="1">
        <v>45747.705555555556</v>
      </c>
      <c r="B312" s="2">
        <v>127.16</v>
      </c>
      <c r="C312" s="2">
        <v>358.7</v>
      </c>
      <c r="D312" s="2">
        <v>18.670000000000002</v>
      </c>
      <c r="F312" s="2">
        <f t="shared" si="35"/>
        <v>-1.2426219322770993E-2</v>
      </c>
      <c r="G312" s="2">
        <f t="shared" si="40"/>
        <v>-3.1957760177853123E-3</v>
      </c>
      <c r="H312" s="2">
        <f t="shared" si="41"/>
        <v>4.843918191604013E-3</v>
      </c>
      <c r="O312" s="6">
        <f t="shared" si="36"/>
        <v>-1.2875448770285019E-2</v>
      </c>
      <c r="P312" s="6">
        <f t="shared" si="37"/>
        <v>-4.2415197399358253E-3</v>
      </c>
      <c r="Q312" s="6">
        <f t="shared" si="38"/>
        <v>3.0781159929675062E-3</v>
      </c>
      <c r="X312" s="14">
        <f t="shared" si="39"/>
        <v>-5.8970932128894153E-3</v>
      </c>
    </row>
    <row r="313" spans="1:24" x14ac:dyDescent="0.25">
      <c r="A313" s="1">
        <v>45748.705555555556</v>
      </c>
      <c r="B313" s="2">
        <v>128.02000000000001</v>
      </c>
      <c r="C313" s="2">
        <v>358.5</v>
      </c>
      <c r="D313" s="2">
        <v>18.57</v>
      </c>
      <c r="F313" s="2">
        <f t="shared" si="35"/>
        <v>6.7631330607109685E-3</v>
      </c>
      <c r="G313" s="2">
        <f t="shared" si="40"/>
        <v>-5.5756899916359348E-4</v>
      </c>
      <c r="H313" s="2">
        <f t="shared" si="41"/>
        <v>-5.3561863952866773E-3</v>
      </c>
      <c r="O313" s="6">
        <f t="shared" si="36"/>
        <v>6.3139036131969421E-3</v>
      </c>
      <c r="P313" s="6">
        <f t="shared" si="37"/>
        <v>-1.6033127213141067E-3</v>
      </c>
      <c r="Q313" s="6">
        <f t="shared" si="38"/>
        <v>-7.1219885939231842E-3</v>
      </c>
      <c r="X313" s="14">
        <f t="shared" si="39"/>
        <v>2.4300951373560503E-4</v>
      </c>
    </row>
    <row r="314" spans="1:24" x14ac:dyDescent="0.25">
      <c r="A314" s="1">
        <v>45749.705555555556</v>
      </c>
      <c r="B314" s="2">
        <v>128.07</v>
      </c>
      <c r="C314" s="2">
        <v>363.21</v>
      </c>
      <c r="D314" s="2">
        <v>18.649999999999999</v>
      </c>
      <c r="F314" s="2">
        <f t="shared" si="35"/>
        <v>3.9056397437886581E-4</v>
      </c>
      <c r="G314" s="2">
        <f t="shared" si="40"/>
        <v>1.3138075313807507E-2</v>
      </c>
      <c r="H314" s="2">
        <f t="shared" si="41"/>
        <v>4.3080236941301919E-3</v>
      </c>
      <c r="O314" s="6">
        <f t="shared" si="36"/>
        <v>-5.8665473135160616E-5</v>
      </c>
      <c r="P314" s="6">
        <f t="shared" si="37"/>
        <v>1.2092331591656994E-2</v>
      </c>
      <c r="Q314" s="6">
        <f t="shared" si="38"/>
        <v>2.542221495493685E-3</v>
      </c>
      <c r="X314" s="14">
        <f t="shared" si="39"/>
        <v>4.3030579162930847E-3</v>
      </c>
    </row>
    <row r="315" spans="1:24" x14ac:dyDescent="0.25">
      <c r="A315" s="1">
        <v>45750.705555555556</v>
      </c>
      <c r="B315" s="2">
        <v>128.03</v>
      </c>
      <c r="C315" s="2">
        <v>339.84</v>
      </c>
      <c r="D315" s="2">
        <v>18.32</v>
      </c>
      <c r="F315" s="2">
        <f t="shared" si="35"/>
        <v>-3.1232919497148348E-4</v>
      </c>
      <c r="G315" s="2">
        <f t="shared" si="40"/>
        <v>-6.4342942099611777E-2</v>
      </c>
      <c r="H315" s="2">
        <f t="shared" si="41"/>
        <v>-1.7694369973190294E-2</v>
      </c>
      <c r="O315" s="6">
        <f t="shared" si="36"/>
        <v>-7.6155864248550996E-4</v>
      </c>
      <c r="P315" s="6">
        <f t="shared" si="37"/>
        <v>-6.5388685821762285E-2</v>
      </c>
      <c r="Q315" s="6">
        <f t="shared" si="38"/>
        <v>-1.9460172171826801E-2</v>
      </c>
      <c r="X315" s="14">
        <f t="shared" si="39"/>
        <v>-2.5298130621561488E-2</v>
      </c>
    </row>
    <row r="316" spans="1:24" x14ac:dyDescent="0.25">
      <c r="A316" s="1">
        <v>45751.705555555556</v>
      </c>
      <c r="B316" s="2">
        <v>124.28</v>
      </c>
      <c r="C316" s="2">
        <v>331.78</v>
      </c>
      <c r="D316" s="2">
        <v>18.53</v>
      </c>
      <c r="F316" s="2">
        <f t="shared" si="35"/>
        <v>-2.9290010153870227E-2</v>
      </c>
      <c r="G316" s="2">
        <f t="shared" si="40"/>
        <v>-2.3717043314500974E-2</v>
      </c>
      <c r="H316" s="2">
        <f t="shared" si="41"/>
        <v>1.1462882096069826E-2</v>
      </c>
      <c r="O316" s="6">
        <f t="shared" si="36"/>
        <v>-2.9739239601384252E-2</v>
      </c>
      <c r="P316" s="6">
        <f t="shared" si="37"/>
        <v>-2.4762787036651489E-2</v>
      </c>
      <c r="Q316" s="6">
        <f t="shared" si="38"/>
        <v>9.6970798974333194E-3</v>
      </c>
      <c r="X316" s="14">
        <f t="shared" si="39"/>
        <v>-1.7400539213255999E-2</v>
      </c>
    </row>
    <row r="317" spans="1:24" x14ac:dyDescent="0.25">
      <c r="A317" s="1">
        <v>45754.705555555556</v>
      </c>
      <c r="B317" s="2">
        <v>122.63</v>
      </c>
      <c r="C317" s="2">
        <v>334.35</v>
      </c>
      <c r="D317" s="2">
        <v>18.37</v>
      </c>
      <c r="F317" s="2">
        <f t="shared" si="35"/>
        <v>-1.327647248149344E-2</v>
      </c>
      <c r="G317" s="2">
        <f t="shared" si="40"/>
        <v>7.7460968111400241E-3</v>
      </c>
      <c r="H317" s="2">
        <f t="shared" si="41"/>
        <v>-8.634646519158129E-3</v>
      </c>
      <c r="O317" s="6">
        <f t="shared" si="36"/>
        <v>-1.3725701929007466E-2</v>
      </c>
      <c r="P317" s="6">
        <f t="shared" si="37"/>
        <v>6.7003530889895111E-3</v>
      </c>
      <c r="Q317" s="6">
        <f t="shared" si="38"/>
        <v>-1.0400448717794636E-2</v>
      </c>
      <c r="X317" s="14">
        <f t="shared" si="39"/>
        <v>-6.6814645971478535E-3</v>
      </c>
    </row>
    <row r="318" spans="1:24" x14ac:dyDescent="0.25">
      <c r="A318" s="1">
        <v>45755.705555555556</v>
      </c>
      <c r="B318" s="2">
        <v>121.02</v>
      </c>
      <c r="C318" s="2">
        <v>334.4</v>
      </c>
      <c r="D318" s="2">
        <v>18.73</v>
      </c>
      <c r="F318" s="2">
        <f t="shared" si="35"/>
        <v>-1.3128924406752063E-2</v>
      </c>
      <c r="G318" s="2">
        <f t="shared" si="40"/>
        <v>1.4954389113186473E-4</v>
      </c>
      <c r="H318" s="2">
        <f t="shared" si="41"/>
        <v>1.9597169297768113E-2</v>
      </c>
      <c r="O318" s="6">
        <f t="shared" si="36"/>
        <v>-1.3578153854266089E-2</v>
      </c>
      <c r="P318" s="6">
        <f t="shared" si="37"/>
        <v>-8.9619983101864851E-4</v>
      </c>
      <c r="Q318" s="6">
        <f t="shared" si="38"/>
        <v>1.7831367099131606E-2</v>
      </c>
      <c r="X318" s="14">
        <f t="shared" si="39"/>
        <v>-1.1344980851652952E-3</v>
      </c>
    </row>
    <row r="319" spans="1:24" x14ac:dyDescent="0.25">
      <c r="A319" s="1">
        <v>45756.705555555556</v>
      </c>
      <c r="B319" s="2">
        <v>124.73</v>
      </c>
      <c r="C319" s="2">
        <v>356.1</v>
      </c>
      <c r="D319" s="2">
        <v>18.93</v>
      </c>
      <c r="F319" s="2">
        <f t="shared" si="35"/>
        <v>3.0656089902495465E-2</v>
      </c>
      <c r="G319" s="2">
        <f t="shared" si="40"/>
        <v>6.4892344497607723E-2</v>
      </c>
      <c r="H319" s="2">
        <f t="shared" si="41"/>
        <v>1.0678056593699914E-2</v>
      </c>
      <c r="O319" s="6">
        <f t="shared" si="36"/>
        <v>3.020686045498144E-2</v>
      </c>
      <c r="P319" s="6">
        <f t="shared" si="37"/>
        <v>6.3846600775457216E-2</v>
      </c>
      <c r="Q319" s="6">
        <f t="shared" si="38"/>
        <v>8.912254395063407E-3</v>
      </c>
      <c r="X319" s="14">
        <f t="shared" si="39"/>
        <v>3.4445815824158114E-2</v>
      </c>
    </row>
    <row r="320" spans="1:24" x14ac:dyDescent="0.25">
      <c r="A320" s="1">
        <v>45757.705555555556</v>
      </c>
      <c r="B320" s="2">
        <v>123.38</v>
      </c>
      <c r="C320" s="2">
        <v>347.5</v>
      </c>
      <c r="D320" s="2">
        <v>19.579999999999998</v>
      </c>
      <c r="F320" s="2">
        <f t="shared" si="35"/>
        <v>-1.082337849755477E-2</v>
      </c>
      <c r="G320" s="2">
        <f t="shared" si="40"/>
        <v>-2.4150519516989655E-2</v>
      </c>
      <c r="H320" s="2">
        <f t="shared" si="41"/>
        <v>3.4337031167458898E-2</v>
      </c>
      <c r="O320" s="6">
        <f t="shared" si="36"/>
        <v>-1.1272607945068796E-2</v>
      </c>
      <c r="P320" s="6">
        <f t="shared" si="37"/>
        <v>-2.5196263239140169E-2</v>
      </c>
      <c r="Q320" s="6">
        <f t="shared" si="38"/>
        <v>3.2571228968822391E-2</v>
      </c>
      <c r="X320" s="14">
        <f t="shared" si="39"/>
        <v>-3.3936439686916911E-3</v>
      </c>
    </row>
    <row r="321" spans="1:24" x14ac:dyDescent="0.25">
      <c r="A321" s="1">
        <v>45758.705555555556</v>
      </c>
      <c r="B321" s="2">
        <v>124.65</v>
      </c>
      <c r="C321" s="2">
        <v>351.5</v>
      </c>
      <c r="D321" s="2">
        <v>19.850000000000001</v>
      </c>
      <c r="F321" s="2">
        <f t="shared" si="35"/>
        <v>1.0293402496352799E-2</v>
      </c>
      <c r="G321" s="2">
        <f t="shared" si="40"/>
        <v>1.1510791366906581E-2</v>
      </c>
      <c r="H321" s="2">
        <f t="shared" si="41"/>
        <v>1.3789581205311707E-2</v>
      </c>
      <c r="O321" s="6">
        <f t="shared" si="36"/>
        <v>9.8441730488387728E-3</v>
      </c>
      <c r="P321" s="6">
        <f t="shared" si="37"/>
        <v>1.0465047644756068E-2</v>
      </c>
      <c r="Q321" s="6">
        <f t="shared" si="38"/>
        <v>1.20237790066752E-2</v>
      </c>
      <c r="X321" s="14">
        <f t="shared" si="39"/>
        <v>1.0629903024863285E-2</v>
      </c>
    </row>
    <row r="322" spans="1:24" x14ac:dyDescent="0.25">
      <c r="A322" s="1">
        <v>45761.705555555556</v>
      </c>
      <c r="B322" s="2">
        <v>126.37</v>
      </c>
      <c r="C322" s="2">
        <v>354.45</v>
      </c>
      <c r="D322" s="2">
        <v>19.64</v>
      </c>
      <c r="F322" s="2">
        <f t="shared" si="35"/>
        <v>1.3798636181307611E-2</v>
      </c>
      <c r="G322" s="2">
        <f t="shared" si="40"/>
        <v>8.3926031294452308E-3</v>
      </c>
      <c r="H322" s="2">
        <f t="shared" si="41"/>
        <v>-1.0579345088161274E-2</v>
      </c>
      <c r="O322" s="6">
        <f t="shared" si="36"/>
        <v>1.3349406733793584E-2</v>
      </c>
      <c r="P322" s="6">
        <f t="shared" si="37"/>
        <v>7.3468594072947178E-3</v>
      </c>
      <c r="Q322" s="6">
        <f t="shared" si="38"/>
        <v>-1.2345147286797781E-2</v>
      </c>
      <c r="X322" s="14">
        <f t="shared" si="39"/>
        <v>4.4818704811421988E-3</v>
      </c>
    </row>
    <row r="323" spans="1:24" x14ac:dyDescent="0.25">
      <c r="A323" s="1">
        <v>45762.705555555556</v>
      </c>
      <c r="B323" s="2">
        <v>126.19</v>
      </c>
      <c r="C323" s="2">
        <v>355.75</v>
      </c>
      <c r="D323" s="2">
        <v>19.91</v>
      </c>
      <c r="F323" s="2">
        <f t="shared" si="35"/>
        <v>-1.4243886998497324E-3</v>
      </c>
      <c r="G323" s="2">
        <f t="shared" si="40"/>
        <v>3.667654112004648E-3</v>
      </c>
      <c r="H323" s="2">
        <f t="shared" si="41"/>
        <v>1.3747454175152773E-2</v>
      </c>
      <c r="O323" s="6">
        <f t="shared" si="36"/>
        <v>-1.8736181473637589E-3</v>
      </c>
      <c r="P323" s="6">
        <f t="shared" si="37"/>
        <v>2.621910389854135E-3</v>
      </c>
      <c r="Q323" s="6">
        <f t="shared" si="38"/>
        <v>1.1981651976516267E-2</v>
      </c>
      <c r="X323" s="14">
        <f t="shared" si="39"/>
        <v>3.2857749608359095E-3</v>
      </c>
    </row>
    <row r="324" spans="1:24" x14ac:dyDescent="0.25">
      <c r="A324" s="1">
        <v>45763.705555555556</v>
      </c>
      <c r="B324" s="2">
        <v>125.3</v>
      </c>
      <c r="C324" s="2">
        <v>346.4</v>
      </c>
      <c r="D324" s="2">
        <v>20.47</v>
      </c>
      <c r="F324" s="2">
        <f t="shared" ref="F324:F387" si="42">(B324/B323)-1</f>
        <v>-7.0528568032331984E-3</v>
      </c>
      <c r="G324" s="2">
        <f t="shared" si="40"/>
        <v>-2.6282501756851762E-2</v>
      </c>
      <c r="H324" s="2">
        <f t="shared" si="41"/>
        <v>2.8126569563033499E-2</v>
      </c>
      <c r="O324" s="6">
        <f t="shared" ref="O324:O387" si="43">F324-$K$3</f>
        <v>-7.5020862507472249E-3</v>
      </c>
      <c r="P324" s="6">
        <f t="shared" ref="P324:P387" si="44">G324-$L$3</f>
        <v>-2.7328245479002276E-2</v>
      </c>
      <c r="Q324" s="6">
        <f t="shared" ref="Q324:Q387" si="45">H324-$M$3</f>
        <v>2.6360767364396992E-2</v>
      </c>
      <c r="X324" s="14">
        <f t="shared" ref="X324:X387" si="46">$T$47*O324+$T$48*P324+$T$49*Q324</f>
        <v>-4.139283878337733E-3</v>
      </c>
    </row>
    <row r="325" spans="1:24" x14ac:dyDescent="0.25">
      <c r="A325" s="1">
        <v>45764.705555555556</v>
      </c>
      <c r="B325" s="2">
        <v>126.56</v>
      </c>
      <c r="C325" s="2">
        <v>343.75</v>
      </c>
      <c r="D325" s="2">
        <v>20.18</v>
      </c>
      <c r="F325" s="2">
        <f t="shared" si="42"/>
        <v>1.0055865921787754E-2</v>
      </c>
      <c r="G325" s="2">
        <f t="shared" si="40"/>
        <v>-7.650115473441077E-3</v>
      </c>
      <c r="H325" s="2">
        <f t="shared" si="41"/>
        <v>-1.4167073766487515E-2</v>
      </c>
      <c r="O325" s="6">
        <f t="shared" si="43"/>
        <v>9.6066364742737279E-3</v>
      </c>
      <c r="P325" s="6">
        <f t="shared" si="44"/>
        <v>-8.69585919559159E-3</v>
      </c>
      <c r="Q325" s="6">
        <f t="shared" si="45"/>
        <v>-1.5932875965124021E-2</v>
      </c>
      <c r="X325" s="14">
        <f t="shared" si="46"/>
        <v>-2.9094213569705006E-3</v>
      </c>
    </row>
    <row r="326" spans="1:24" x14ac:dyDescent="0.25">
      <c r="A326" s="1">
        <v>45769.705555555556</v>
      </c>
      <c r="B326" s="2">
        <v>127.38</v>
      </c>
      <c r="C326" s="2">
        <v>339.25</v>
      </c>
      <c r="D326" s="2">
        <v>20.239999999999998</v>
      </c>
      <c r="F326" s="2">
        <f t="shared" si="42"/>
        <v>6.4791403286978966E-3</v>
      </c>
      <c r="G326" s="2">
        <f t="shared" si="40"/>
        <v>-1.3090909090909042E-2</v>
      </c>
      <c r="H326" s="2">
        <f t="shared" si="41"/>
        <v>2.9732408325073845E-3</v>
      </c>
      <c r="O326" s="6">
        <f t="shared" si="43"/>
        <v>6.0299108811838701E-3</v>
      </c>
      <c r="P326" s="6">
        <f t="shared" si="44"/>
        <v>-1.4136652813059555E-2</v>
      </c>
      <c r="Q326" s="6">
        <f t="shared" si="45"/>
        <v>1.2074386338708776E-3</v>
      </c>
      <c r="X326" s="14">
        <f t="shared" si="46"/>
        <v>-1.3482009520063001E-3</v>
      </c>
    </row>
    <row r="327" spans="1:24" x14ac:dyDescent="0.25">
      <c r="A327" s="1">
        <v>45770.705555555556</v>
      </c>
      <c r="B327" s="2">
        <v>129.08000000000001</v>
      </c>
      <c r="C327" s="2">
        <v>343.9</v>
      </c>
      <c r="D327" s="2">
        <v>19.71</v>
      </c>
      <c r="F327" s="2">
        <f t="shared" si="42"/>
        <v>1.3345894174909834E-2</v>
      </c>
      <c r="G327" s="2">
        <f t="shared" si="40"/>
        <v>1.3706705969049215E-2</v>
      </c>
      <c r="H327" s="2">
        <f t="shared" si="41"/>
        <v>-2.6185770750988047E-2</v>
      </c>
      <c r="O327" s="6">
        <f t="shared" si="43"/>
        <v>1.2896664727395807E-2</v>
      </c>
      <c r="P327" s="6">
        <f t="shared" si="44"/>
        <v>1.2660962246898702E-2</v>
      </c>
      <c r="Q327" s="6">
        <f t="shared" si="45"/>
        <v>-2.7951572949624554E-2</v>
      </c>
      <c r="X327" s="14">
        <f t="shared" si="46"/>
        <v>1.592353832767888E-3</v>
      </c>
    </row>
    <row r="328" spans="1:24" x14ac:dyDescent="0.25">
      <c r="A328" s="1">
        <v>45771.705555555556</v>
      </c>
      <c r="B328" s="2">
        <v>131.38</v>
      </c>
      <c r="C328" s="2">
        <v>349.1</v>
      </c>
      <c r="D328" s="2">
        <v>19.89</v>
      </c>
      <c r="F328" s="2">
        <f t="shared" si="42"/>
        <v>1.7818407189339913E-2</v>
      </c>
      <c r="G328" s="2">
        <f t="shared" si="40"/>
        <v>1.5120674614713669E-2</v>
      </c>
      <c r="H328" s="2">
        <f t="shared" si="41"/>
        <v>9.1324200913240894E-3</v>
      </c>
      <c r="O328" s="6">
        <f t="shared" si="43"/>
        <v>1.7369177741825888E-2</v>
      </c>
      <c r="P328" s="6">
        <f t="shared" si="44"/>
        <v>1.4074930892563156E-2</v>
      </c>
      <c r="Q328" s="6">
        <f t="shared" si="45"/>
        <v>7.3666178926875825E-3</v>
      </c>
      <c r="X328" s="14">
        <f t="shared" si="46"/>
        <v>1.3629808646312001E-2</v>
      </c>
    </row>
    <row r="329" spans="1:24" x14ac:dyDescent="0.25">
      <c r="A329" s="1">
        <v>45772.705555555556</v>
      </c>
      <c r="B329" s="2">
        <v>131.57</v>
      </c>
      <c r="C329" s="2">
        <v>351.4</v>
      </c>
      <c r="D329" s="2">
        <v>19.690000000000001</v>
      </c>
      <c r="F329" s="2">
        <f t="shared" si="42"/>
        <v>1.4461866341908269E-3</v>
      </c>
      <c r="G329" s="2">
        <f t="shared" si="40"/>
        <v>6.5883700945286172E-3</v>
      </c>
      <c r="H329" s="2">
        <f t="shared" si="41"/>
        <v>-1.0055304172951196E-2</v>
      </c>
      <c r="O329" s="6">
        <f t="shared" si="43"/>
        <v>9.9695718667680046E-4</v>
      </c>
      <c r="P329" s="6">
        <f t="shared" si="44"/>
        <v>5.5426263723781042E-3</v>
      </c>
      <c r="Q329" s="6">
        <f t="shared" si="45"/>
        <v>-1.1821106371587703E-2</v>
      </c>
      <c r="X329" s="14">
        <f t="shared" si="46"/>
        <v>-1.1639733982247947E-3</v>
      </c>
    </row>
    <row r="330" spans="1:24" x14ac:dyDescent="0.25">
      <c r="A330" s="1">
        <v>45775.705555555556</v>
      </c>
      <c r="B330" s="2">
        <v>131.84</v>
      </c>
      <c r="C330" s="2">
        <v>349.25</v>
      </c>
      <c r="D330" s="2">
        <v>19.829999999999998</v>
      </c>
      <c r="F330" s="2">
        <f t="shared" si="42"/>
        <v>2.0521395454891067E-3</v>
      </c>
      <c r="G330" s="2">
        <f t="shared" si="40"/>
        <v>-6.1183836084234278E-3</v>
      </c>
      <c r="H330" s="2">
        <f t="shared" si="41"/>
        <v>7.1102082275265044E-3</v>
      </c>
      <c r="O330" s="6">
        <f t="shared" si="43"/>
        <v>1.6029100979750802E-3</v>
      </c>
      <c r="P330" s="6">
        <f t="shared" si="44"/>
        <v>-7.1641273305739408E-3</v>
      </c>
      <c r="Q330" s="6">
        <f t="shared" si="45"/>
        <v>5.3444060288899975E-3</v>
      </c>
      <c r="X330" s="14">
        <f t="shared" si="46"/>
        <v>9.0156544470818348E-7</v>
      </c>
    </row>
    <row r="331" spans="1:24" x14ac:dyDescent="0.25">
      <c r="A331" s="1">
        <v>45776.705555555556</v>
      </c>
      <c r="B331" s="2">
        <v>131.91999999999999</v>
      </c>
      <c r="C331" s="2">
        <v>350.6</v>
      </c>
      <c r="D331" s="2">
        <v>19.579999999999998</v>
      </c>
      <c r="F331" s="2">
        <f t="shared" si="42"/>
        <v>6.0679611650482634E-4</v>
      </c>
      <c r="G331" s="2">
        <f t="shared" si="40"/>
        <v>3.8654259126700286E-3</v>
      </c>
      <c r="H331" s="2">
        <f t="shared" si="41"/>
        <v>-1.260716086737268E-2</v>
      </c>
      <c r="O331" s="6">
        <f t="shared" si="43"/>
        <v>1.5756666899079992E-4</v>
      </c>
      <c r="P331" s="6">
        <f t="shared" si="44"/>
        <v>2.8196821905195155E-3</v>
      </c>
      <c r="Q331" s="6">
        <f t="shared" si="45"/>
        <v>-1.4372963066009187E-2</v>
      </c>
      <c r="X331" s="14">
        <f t="shared" si="46"/>
        <v>-3.0395511924414796E-3</v>
      </c>
    </row>
    <row r="332" spans="1:24" x14ac:dyDescent="0.25">
      <c r="A332" s="1">
        <v>45777.705555555556</v>
      </c>
      <c r="B332" s="2">
        <v>131.79</v>
      </c>
      <c r="C332" s="2">
        <v>354.35</v>
      </c>
      <c r="D332" s="2">
        <v>19.600000000000001</v>
      </c>
      <c r="F332" s="2">
        <f t="shared" si="42"/>
        <v>-9.8544572468162173E-4</v>
      </c>
      <c r="G332" s="2">
        <f t="shared" si="40"/>
        <v>1.0695949800342275E-2</v>
      </c>
      <c r="H332" s="2">
        <f t="shared" si="41"/>
        <v>1.0214504596528506E-3</v>
      </c>
      <c r="O332" s="6">
        <f t="shared" si="43"/>
        <v>-1.4346751721956482E-3</v>
      </c>
      <c r="P332" s="6">
        <f t="shared" si="44"/>
        <v>9.6502060781917618E-3</v>
      </c>
      <c r="Q332" s="6">
        <f t="shared" si="45"/>
        <v>-7.4435173898365625E-4</v>
      </c>
      <c r="X332" s="14">
        <f t="shared" si="46"/>
        <v>2.0816920762482651E-3</v>
      </c>
    </row>
    <row r="333" spans="1:24" x14ac:dyDescent="0.25">
      <c r="A333" s="1">
        <v>45779.705555555556</v>
      </c>
      <c r="B333" s="2">
        <v>132</v>
      </c>
      <c r="C333" s="2">
        <v>360</v>
      </c>
      <c r="D333" s="2">
        <v>19.12</v>
      </c>
      <c r="F333" s="2">
        <f t="shared" si="42"/>
        <v>1.5934441156386647E-3</v>
      </c>
      <c r="G333" s="2">
        <f t="shared" si="40"/>
        <v>1.5944687455905049E-2</v>
      </c>
      <c r="H333" s="2">
        <f t="shared" si="41"/>
        <v>-2.4489795918367419E-2</v>
      </c>
      <c r="O333" s="6">
        <f t="shared" si="43"/>
        <v>1.1442146681246382E-3</v>
      </c>
      <c r="P333" s="6">
        <f t="shared" si="44"/>
        <v>1.4898943733754536E-2</v>
      </c>
      <c r="Q333" s="6">
        <f t="shared" si="45"/>
        <v>-2.6255598117003925E-2</v>
      </c>
      <c r="X333" s="14">
        <f t="shared" si="46"/>
        <v>-2.2632109623904094E-3</v>
      </c>
    </row>
    <row r="334" spans="1:24" x14ac:dyDescent="0.25">
      <c r="A334" s="1">
        <v>45782.705555555556</v>
      </c>
      <c r="B334" s="2">
        <v>130.4</v>
      </c>
      <c r="C334" s="2">
        <v>360.05</v>
      </c>
      <c r="D334" s="2">
        <v>19.82</v>
      </c>
      <c r="F334" s="2">
        <f t="shared" si="42"/>
        <v>-1.2121212121212088E-2</v>
      </c>
      <c r="G334" s="2">
        <f t="shared" si="40"/>
        <v>1.388888888889106E-4</v>
      </c>
      <c r="H334" s="2">
        <f t="shared" si="41"/>
        <v>3.661087866108792E-2</v>
      </c>
      <c r="O334" s="6">
        <f t="shared" si="43"/>
        <v>-1.2570441568726115E-2</v>
      </c>
      <c r="P334" s="6">
        <f t="shared" si="44"/>
        <v>-9.0685483326160264E-4</v>
      </c>
      <c r="Q334" s="6">
        <f t="shared" si="45"/>
        <v>3.4845076462451413E-2</v>
      </c>
      <c r="X334" s="14">
        <f t="shared" si="46"/>
        <v>3.9693783156453302E-3</v>
      </c>
    </row>
    <row r="335" spans="1:24" x14ac:dyDescent="0.25">
      <c r="A335" s="1">
        <v>45783.705555555556</v>
      </c>
      <c r="B335" s="2">
        <v>130.41</v>
      </c>
      <c r="C335" s="2">
        <v>358.55</v>
      </c>
      <c r="D335" s="2">
        <v>20.43</v>
      </c>
      <c r="F335" s="2">
        <f t="shared" si="42"/>
        <v>7.6687116564277957E-5</v>
      </c>
      <c r="G335" s="2">
        <f t="shared" si="40"/>
        <v>-4.1660880433272984E-3</v>
      </c>
      <c r="H335" s="2">
        <f t="shared" si="41"/>
        <v>3.0776992936427883E-2</v>
      </c>
      <c r="O335" s="6">
        <f t="shared" si="43"/>
        <v>-3.7254233094974847E-4</v>
      </c>
      <c r="P335" s="6">
        <f t="shared" si="44"/>
        <v>-5.2118317654778114E-3</v>
      </c>
      <c r="Q335" s="6">
        <f t="shared" si="45"/>
        <v>2.9011190737791376E-2</v>
      </c>
      <c r="X335" s="14">
        <f t="shared" si="46"/>
        <v>6.2559598948385749E-3</v>
      </c>
    </row>
    <row r="336" spans="1:24" x14ac:dyDescent="0.25">
      <c r="A336" s="1">
        <v>45784.705555555556</v>
      </c>
      <c r="B336" s="2">
        <v>130.29</v>
      </c>
      <c r="C336" s="2">
        <v>362.34</v>
      </c>
      <c r="D336" s="2">
        <v>20.27</v>
      </c>
      <c r="F336" s="2">
        <f t="shared" si="42"/>
        <v>-9.2017483321837901E-4</v>
      </c>
      <c r="G336" s="2">
        <f t="shared" si="40"/>
        <v>1.0570352809928796E-2</v>
      </c>
      <c r="H336" s="2">
        <f t="shared" si="41"/>
        <v>-7.8316201664219154E-3</v>
      </c>
      <c r="O336" s="6">
        <f t="shared" si="43"/>
        <v>-1.3694042807324055E-3</v>
      </c>
      <c r="P336" s="6">
        <f t="shared" si="44"/>
        <v>9.5246090877782828E-3</v>
      </c>
      <c r="Q336" s="6">
        <f t="shared" si="45"/>
        <v>-9.5974223650584223E-3</v>
      </c>
      <c r="X336" s="14">
        <f t="shared" si="46"/>
        <v>-3.6292772224574702E-4</v>
      </c>
    </row>
    <row r="337" spans="1:24" x14ac:dyDescent="0.25">
      <c r="A337" s="1">
        <v>45785.705555555556</v>
      </c>
      <c r="B337" s="2">
        <v>133.02000000000001</v>
      </c>
      <c r="C337" s="2">
        <v>359.55</v>
      </c>
      <c r="D337" s="2">
        <v>19.600000000000001</v>
      </c>
      <c r="F337" s="2">
        <f t="shared" si="42"/>
        <v>2.0953258116509499E-2</v>
      </c>
      <c r="G337" s="2">
        <f t="shared" si="40"/>
        <v>-7.6999503229010502E-3</v>
      </c>
      <c r="H337" s="2">
        <f t="shared" si="41"/>
        <v>-3.3053774050320617E-2</v>
      </c>
      <c r="O337" s="6">
        <f t="shared" si="43"/>
        <v>2.0504028668995474E-2</v>
      </c>
      <c r="P337" s="6">
        <f t="shared" si="44"/>
        <v>-8.7456940450515632E-3</v>
      </c>
      <c r="Q337" s="6">
        <f t="shared" si="45"/>
        <v>-3.4819576248957124E-2</v>
      </c>
      <c r="X337" s="14">
        <f t="shared" si="46"/>
        <v>-3.4880959073226199E-3</v>
      </c>
    </row>
    <row r="338" spans="1:24" x14ac:dyDescent="0.25">
      <c r="A338" s="1">
        <v>45786.705555555556</v>
      </c>
      <c r="B338" s="2">
        <v>133.33000000000001</v>
      </c>
      <c r="C338" s="2">
        <v>358.1</v>
      </c>
      <c r="D338" s="2">
        <v>19.690000000000001</v>
      </c>
      <c r="F338" s="2">
        <f t="shared" si="42"/>
        <v>2.3304766200571425E-3</v>
      </c>
      <c r="G338" s="2">
        <f t="shared" si="40"/>
        <v>-4.0328188012793698E-3</v>
      </c>
      <c r="H338" s="2">
        <f t="shared" si="41"/>
        <v>4.5918367346937661E-3</v>
      </c>
      <c r="O338" s="6">
        <f t="shared" si="43"/>
        <v>1.881247172543116E-3</v>
      </c>
      <c r="P338" s="6">
        <f t="shared" si="44"/>
        <v>-5.0785625234298828E-3</v>
      </c>
      <c r="Q338" s="6">
        <f t="shared" si="45"/>
        <v>2.8260345360572592E-3</v>
      </c>
      <c r="X338" s="14">
        <f t="shared" si="46"/>
        <v>5.2463321011787236E-5</v>
      </c>
    </row>
    <row r="339" spans="1:24" x14ac:dyDescent="0.25">
      <c r="A339" s="1">
        <v>45789.705555555556</v>
      </c>
      <c r="B339" s="2">
        <v>133.38</v>
      </c>
      <c r="C339" s="2">
        <v>372.2</v>
      </c>
      <c r="D339" s="2">
        <v>19.239999999999998</v>
      </c>
      <c r="F339" s="2">
        <f t="shared" si="42"/>
        <v>3.7500937523415878E-4</v>
      </c>
      <c r="G339" s="2">
        <f t="shared" ref="G339:G402" si="47">(C339/C338)-1</f>
        <v>3.9374476403239322E-2</v>
      </c>
      <c r="H339" s="2">
        <f t="shared" ref="H339:H402" si="48">(D339/D338)-1</f>
        <v>-2.2854240731335795E-2</v>
      </c>
      <c r="O339" s="6">
        <f t="shared" si="43"/>
        <v>-7.4220072279867642E-5</v>
      </c>
      <c r="P339" s="6">
        <f t="shared" si="44"/>
        <v>3.8328732681088808E-2</v>
      </c>
      <c r="Q339" s="6">
        <f t="shared" si="45"/>
        <v>-2.4620042929972302E-2</v>
      </c>
      <c r="X339" s="14">
        <f t="shared" si="46"/>
        <v>4.7000444586926754E-3</v>
      </c>
    </row>
    <row r="340" spans="1:24" x14ac:dyDescent="0.25">
      <c r="A340" s="1">
        <v>45790.705555555556</v>
      </c>
      <c r="B340" s="2">
        <v>135.68</v>
      </c>
      <c r="C340" s="2">
        <v>369.95</v>
      </c>
      <c r="D340" s="2">
        <v>19.07</v>
      </c>
      <c r="F340" s="2">
        <f t="shared" si="42"/>
        <v>1.7243964612385643E-2</v>
      </c>
      <c r="G340" s="2">
        <f t="shared" si="47"/>
        <v>-6.0451370231058288E-3</v>
      </c>
      <c r="H340" s="2">
        <f t="shared" si="48"/>
        <v>-8.8357588357587113E-3</v>
      </c>
      <c r="O340" s="6">
        <f t="shared" si="43"/>
        <v>1.6794735164871618E-2</v>
      </c>
      <c r="P340" s="6">
        <f t="shared" si="44"/>
        <v>-7.0908807452563418E-3</v>
      </c>
      <c r="Q340" s="6">
        <f t="shared" si="45"/>
        <v>-1.0601561034395218E-2</v>
      </c>
      <c r="X340" s="14">
        <f t="shared" si="46"/>
        <v>2.0925783217895983E-3</v>
      </c>
    </row>
    <row r="341" spans="1:24" x14ac:dyDescent="0.25">
      <c r="A341" s="1">
        <v>45791.705555555556</v>
      </c>
      <c r="B341" s="2">
        <v>135.21</v>
      </c>
      <c r="C341" s="2">
        <v>371.95</v>
      </c>
      <c r="D341" s="2">
        <v>18.75</v>
      </c>
      <c r="F341" s="2">
        <f t="shared" si="42"/>
        <v>-3.4640330188678847E-3</v>
      </c>
      <c r="G341" s="2">
        <f t="shared" si="47"/>
        <v>5.4061359643196027E-3</v>
      </c>
      <c r="H341" s="2">
        <f t="shared" si="48"/>
        <v>-1.678028316727842E-2</v>
      </c>
      <c r="O341" s="6">
        <f t="shared" si="43"/>
        <v>-3.9132624663819112E-3</v>
      </c>
      <c r="P341" s="6">
        <f t="shared" si="44"/>
        <v>4.3603922421690897E-3</v>
      </c>
      <c r="Q341" s="6">
        <f t="shared" si="45"/>
        <v>-1.8546085365914927E-2</v>
      </c>
      <c r="X341" s="14">
        <f t="shared" si="46"/>
        <v>-5.4545140488863478E-3</v>
      </c>
    </row>
    <row r="342" spans="1:24" x14ac:dyDescent="0.25">
      <c r="A342" s="1">
        <v>45792.705555555556</v>
      </c>
      <c r="B342" s="2">
        <v>136.07</v>
      </c>
      <c r="C342" s="2">
        <v>376.75</v>
      </c>
      <c r="D342" s="2">
        <v>19.2</v>
      </c>
      <c r="F342" s="2">
        <f t="shared" si="42"/>
        <v>6.3604762961317896E-3</v>
      </c>
      <c r="G342" s="2">
        <f t="shared" si="47"/>
        <v>1.2904960344132244E-2</v>
      </c>
      <c r="H342" s="2">
        <f t="shared" si="48"/>
        <v>2.4000000000000021E-2</v>
      </c>
      <c r="O342" s="6">
        <f t="shared" si="43"/>
        <v>5.9112468486177631E-3</v>
      </c>
      <c r="P342" s="6">
        <f t="shared" si="44"/>
        <v>1.1859216621981731E-2</v>
      </c>
      <c r="Q342" s="6">
        <f t="shared" si="45"/>
        <v>2.2234197801363514E-2</v>
      </c>
      <c r="X342" s="14">
        <f t="shared" si="46"/>
        <v>1.2185142134769499E-2</v>
      </c>
    </row>
    <row r="343" spans="1:24" x14ac:dyDescent="0.25">
      <c r="A343" s="1">
        <v>45793.705555555556</v>
      </c>
      <c r="B343" s="2">
        <v>135.94999999999999</v>
      </c>
      <c r="C343" s="2">
        <v>378.35</v>
      </c>
      <c r="D343" s="2">
        <v>18.899999999999999</v>
      </c>
      <c r="F343" s="2">
        <f t="shared" si="42"/>
        <v>-8.8189902256197161E-4</v>
      </c>
      <c r="G343" s="2">
        <f t="shared" si="47"/>
        <v>4.2468480424684429E-3</v>
      </c>
      <c r="H343" s="2">
        <f t="shared" si="48"/>
        <v>-1.5625E-2</v>
      </c>
      <c r="O343" s="6">
        <f t="shared" si="43"/>
        <v>-1.3311284700759981E-3</v>
      </c>
      <c r="P343" s="6">
        <f t="shared" si="44"/>
        <v>3.2011043203179299E-3</v>
      </c>
      <c r="Q343" s="6">
        <f t="shared" si="45"/>
        <v>-1.7390802198636507E-2</v>
      </c>
      <c r="X343" s="14">
        <f t="shared" si="46"/>
        <v>-4.3875588352630277E-3</v>
      </c>
    </row>
    <row r="344" spans="1:24" x14ac:dyDescent="0.25">
      <c r="A344" s="1">
        <v>45796.705555555556</v>
      </c>
      <c r="B344" s="2">
        <v>136.38</v>
      </c>
      <c r="C344" s="2">
        <v>377.54</v>
      </c>
      <c r="D344" s="2">
        <v>19.11</v>
      </c>
      <c r="F344" s="2">
        <f t="shared" si="42"/>
        <v>3.1629275468922913E-3</v>
      </c>
      <c r="G344" s="2">
        <f t="shared" si="47"/>
        <v>-2.1408748513281894E-3</v>
      </c>
      <c r="H344" s="2">
        <f t="shared" si="48"/>
        <v>1.1111111111111072E-2</v>
      </c>
      <c r="O344" s="6">
        <f t="shared" si="43"/>
        <v>2.7136980993782648E-3</v>
      </c>
      <c r="P344" s="6">
        <f t="shared" si="44"/>
        <v>-3.1866185734787025E-3</v>
      </c>
      <c r="Q344" s="6">
        <f t="shared" si="45"/>
        <v>9.3453089124745647E-3</v>
      </c>
      <c r="X344" s="14">
        <f t="shared" si="46"/>
        <v>2.7667832642853628E-3</v>
      </c>
    </row>
    <row r="345" spans="1:24" x14ac:dyDescent="0.25">
      <c r="A345" s="1">
        <v>45797.705555555556</v>
      </c>
      <c r="B345" s="2">
        <v>136.84</v>
      </c>
      <c r="C345" s="2">
        <v>377.55</v>
      </c>
      <c r="D345" s="2">
        <v>19.55</v>
      </c>
      <c r="F345" s="2">
        <f t="shared" si="42"/>
        <v>3.3729285819035226E-3</v>
      </c>
      <c r="G345" s="2">
        <f t="shared" si="47"/>
        <v>2.6487259628060755E-5</v>
      </c>
      <c r="H345" s="2">
        <f t="shared" si="48"/>
        <v>2.3024594453165959E-2</v>
      </c>
      <c r="O345" s="6">
        <f t="shared" si="43"/>
        <v>2.9236991343894961E-3</v>
      </c>
      <c r="P345" s="6">
        <f t="shared" si="44"/>
        <v>-1.0192564625224525E-3</v>
      </c>
      <c r="Q345" s="6">
        <f t="shared" si="45"/>
        <v>2.1258792254529452E-2</v>
      </c>
      <c r="X345" s="14">
        <f t="shared" si="46"/>
        <v>6.78272666394736E-3</v>
      </c>
    </row>
    <row r="346" spans="1:24" x14ac:dyDescent="0.25">
      <c r="A346" s="1">
        <v>45798.705555555556</v>
      </c>
      <c r="B346" s="2">
        <v>134.72</v>
      </c>
      <c r="C346" s="2">
        <v>369.8</v>
      </c>
      <c r="D346" s="2">
        <v>19.600000000000001</v>
      </c>
      <c r="F346" s="2">
        <f t="shared" si="42"/>
        <v>-1.549254603916983E-2</v>
      </c>
      <c r="G346" s="2">
        <f t="shared" si="47"/>
        <v>-2.0527082505628402E-2</v>
      </c>
      <c r="H346" s="2">
        <f t="shared" si="48"/>
        <v>2.5575447570331811E-3</v>
      </c>
      <c r="O346" s="6">
        <f t="shared" si="43"/>
        <v>-1.5941775486683855E-2</v>
      </c>
      <c r="P346" s="6">
        <f t="shared" si="44"/>
        <v>-2.1572826227778917E-2</v>
      </c>
      <c r="Q346" s="6">
        <f t="shared" si="45"/>
        <v>7.9174255839667418E-4</v>
      </c>
      <c r="X346" s="14">
        <f t="shared" si="46"/>
        <v>-1.3029783109859859E-2</v>
      </c>
    </row>
    <row r="347" spans="1:24" x14ac:dyDescent="0.25">
      <c r="A347" s="1">
        <v>45799.705555555556</v>
      </c>
      <c r="B347" s="2">
        <v>134.1</v>
      </c>
      <c r="C347" s="2">
        <v>370.8</v>
      </c>
      <c r="D347" s="2">
        <v>19.489999999999998</v>
      </c>
      <c r="F347" s="2">
        <f t="shared" si="42"/>
        <v>-4.6021377672209596E-3</v>
      </c>
      <c r="G347" s="2">
        <f t="shared" si="47"/>
        <v>2.7041644131964304E-3</v>
      </c>
      <c r="H347" s="2">
        <f t="shared" si="48"/>
        <v>-5.6122448979593065E-3</v>
      </c>
      <c r="O347" s="6">
        <f t="shared" si="43"/>
        <v>-5.0513672147349861E-3</v>
      </c>
      <c r="P347" s="6">
        <f t="shared" si="44"/>
        <v>1.6584206910459172E-3</v>
      </c>
      <c r="Q347" s="6">
        <f t="shared" si="45"/>
        <v>-7.3780470965958134E-3</v>
      </c>
      <c r="X347" s="14">
        <f t="shared" si="46"/>
        <v>-3.6776447852805453E-3</v>
      </c>
    </row>
    <row r="348" spans="1:24" x14ac:dyDescent="0.25">
      <c r="A348" s="1">
        <v>45800.705555555556</v>
      </c>
      <c r="B348" s="2">
        <v>134.62</v>
      </c>
      <c r="C348" s="2">
        <v>367.4</v>
      </c>
      <c r="D348" s="2">
        <v>19.829999999999998</v>
      </c>
      <c r="F348" s="2">
        <f t="shared" si="42"/>
        <v>3.8777032065624439E-3</v>
      </c>
      <c r="G348" s="2">
        <f t="shared" si="47"/>
        <v>-9.1693635382956717E-3</v>
      </c>
      <c r="H348" s="2">
        <f t="shared" si="48"/>
        <v>1.7444843509492047E-2</v>
      </c>
      <c r="O348" s="6">
        <f t="shared" si="43"/>
        <v>3.4284737590484175E-3</v>
      </c>
      <c r="P348" s="6">
        <f t="shared" si="44"/>
        <v>-1.0215107260446185E-2</v>
      </c>
      <c r="Q348" s="6">
        <f t="shared" si="45"/>
        <v>1.567904131085554E-2</v>
      </c>
      <c r="X348" s="14">
        <f t="shared" si="46"/>
        <v>2.7030961655950519E-3</v>
      </c>
    </row>
    <row r="349" spans="1:24" x14ac:dyDescent="0.25">
      <c r="A349" s="1">
        <v>45803.705555555556</v>
      </c>
      <c r="B349" s="2">
        <v>134.93</v>
      </c>
      <c r="C349" s="2">
        <v>371.79</v>
      </c>
      <c r="D349" s="2">
        <v>19.95</v>
      </c>
      <c r="F349" s="2">
        <f t="shared" si="42"/>
        <v>2.3027781904620959E-3</v>
      </c>
      <c r="G349" s="2">
        <f t="shared" si="47"/>
        <v>1.1948829613500411E-2</v>
      </c>
      <c r="H349" s="2">
        <f t="shared" si="48"/>
        <v>6.0514372163389396E-3</v>
      </c>
      <c r="O349" s="6">
        <f t="shared" si="43"/>
        <v>1.8535487429480694E-3</v>
      </c>
      <c r="P349" s="6">
        <f t="shared" si="44"/>
        <v>1.0903085891349898E-2</v>
      </c>
      <c r="Q349" s="6">
        <f t="shared" si="45"/>
        <v>4.2856350177024327E-3</v>
      </c>
      <c r="X349" s="14">
        <f t="shared" si="46"/>
        <v>5.2381164740028362E-3</v>
      </c>
    </row>
    <row r="350" spans="1:24" x14ac:dyDescent="0.25">
      <c r="A350" s="1">
        <v>45804.705555555556</v>
      </c>
      <c r="B350" s="2">
        <v>136.29</v>
      </c>
      <c r="C350" s="2">
        <v>375</v>
      </c>
      <c r="D350" s="2">
        <v>19.510000000000002</v>
      </c>
      <c r="F350" s="2">
        <f t="shared" si="42"/>
        <v>1.0079300377973555E-2</v>
      </c>
      <c r="G350" s="2">
        <f t="shared" si="47"/>
        <v>8.6339062373921305E-3</v>
      </c>
      <c r="H350" s="2">
        <f t="shared" si="48"/>
        <v>-2.2055137844611439E-2</v>
      </c>
      <c r="O350" s="6">
        <f t="shared" si="43"/>
        <v>9.6300709304595281E-3</v>
      </c>
      <c r="P350" s="6">
        <f t="shared" si="44"/>
        <v>7.5881625152416175E-3</v>
      </c>
      <c r="Q350" s="6">
        <f t="shared" si="45"/>
        <v>-2.3820940043247946E-2</v>
      </c>
      <c r="X350" s="14">
        <f t="shared" si="46"/>
        <v>-1.8198035056775277E-4</v>
      </c>
    </row>
    <row r="351" spans="1:24" x14ac:dyDescent="0.25">
      <c r="A351" s="1">
        <v>45805.705555555556</v>
      </c>
      <c r="B351" s="2">
        <v>135.68</v>
      </c>
      <c r="C351" s="2">
        <v>376.85</v>
      </c>
      <c r="D351" s="2">
        <v>19.63</v>
      </c>
      <c r="F351" s="2">
        <f t="shared" si="42"/>
        <v>-4.4757502384620285E-3</v>
      </c>
      <c r="G351" s="2">
        <f t="shared" si="47"/>
        <v>4.9333333333334561E-3</v>
      </c>
      <c r="H351" s="2">
        <f t="shared" si="48"/>
        <v>6.1506919528444559E-3</v>
      </c>
      <c r="O351" s="6">
        <f t="shared" si="43"/>
        <v>-4.9249796859760549E-3</v>
      </c>
      <c r="P351" s="6">
        <f t="shared" si="44"/>
        <v>3.8875896111829431E-3</v>
      </c>
      <c r="Q351" s="6">
        <f t="shared" si="45"/>
        <v>4.384889754207949E-3</v>
      </c>
      <c r="X351" s="14">
        <f t="shared" si="46"/>
        <v>2.799180084301473E-4</v>
      </c>
    </row>
    <row r="352" spans="1:24" x14ac:dyDescent="0.25">
      <c r="A352" s="1">
        <v>45806.705555555556</v>
      </c>
      <c r="B352" s="2">
        <v>135.33000000000001</v>
      </c>
      <c r="C352" s="2">
        <v>375.65</v>
      </c>
      <c r="D352" s="2">
        <v>19.670000000000002</v>
      </c>
      <c r="F352" s="2">
        <f t="shared" si="42"/>
        <v>-2.5795990566037652E-3</v>
      </c>
      <c r="G352" s="2">
        <f t="shared" si="47"/>
        <v>-3.1842908318960861E-3</v>
      </c>
      <c r="H352" s="2">
        <f t="shared" si="48"/>
        <v>2.037697401936045E-3</v>
      </c>
      <c r="O352" s="6">
        <f t="shared" si="43"/>
        <v>-3.0288285041177917E-3</v>
      </c>
      <c r="P352" s="6">
        <f t="shared" si="44"/>
        <v>-4.2300345540465991E-3</v>
      </c>
      <c r="Q352" s="6">
        <f t="shared" si="45"/>
        <v>2.7189520329953809E-4</v>
      </c>
      <c r="X352" s="14">
        <f t="shared" si="46"/>
        <v>-2.4815807861323694E-3</v>
      </c>
    </row>
    <row r="353" spans="1:24" x14ac:dyDescent="0.25">
      <c r="A353" s="1">
        <v>45807.705555555556</v>
      </c>
      <c r="B353" s="2">
        <v>133.87</v>
      </c>
      <c r="C353" s="2">
        <v>378.8</v>
      </c>
      <c r="D353" s="2">
        <v>19.71</v>
      </c>
      <c r="F353" s="2">
        <f t="shared" si="42"/>
        <v>-1.0788443065100184E-2</v>
      </c>
      <c r="G353" s="2">
        <f t="shared" si="47"/>
        <v>8.3854651936643432E-3</v>
      </c>
      <c r="H353" s="2">
        <f t="shared" si="48"/>
        <v>2.0335536349771477E-3</v>
      </c>
      <c r="O353" s="6">
        <f t="shared" si="43"/>
        <v>-1.123767251261421E-2</v>
      </c>
      <c r="P353" s="6">
        <f t="shared" si="44"/>
        <v>7.3397214715138302E-3</v>
      </c>
      <c r="Q353" s="6">
        <f t="shared" si="45"/>
        <v>2.677514363406408E-4</v>
      </c>
      <c r="X353" s="14">
        <f t="shared" si="46"/>
        <v>-2.4986005565756017E-3</v>
      </c>
    </row>
    <row r="354" spans="1:24" x14ac:dyDescent="0.25">
      <c r="A354" s="1">
        <v>45810.705555555556</v>
      </c>
      <c r="B354" s="2">
        <v>133.63</v>
      </c>
      <c r="C354" s="2">
        <v>377.95</v>
      </c>
      <c r="D354" s="2">
        <v>20.07</v>
      </c>
      <c r="F354" s="2">
        <f t="shared" si="42"/>
        <v>-1.7927840442221177E-3</v>
      </c>
      <c r="G354" s="2">
        <f t="shared" si="47"/>
        <v>-2.2439281942978617E-3</v>
      </c>
      <c r="H354" s="2">
        <f t="shared" si="48"/>
        <v>1.8264840182648401E-2</v>
      </c>
      <c r="O354" s="6">
        <f t="shared" si="43"/>
        <v>-2.2420134917361442E-3</v>
      </c>
      <c r="P354" s="6">
        <f t="shared" si="44"/>
        <v>-3.2896719164483747E-3</v>
      </c>
      <c r="Q354" s="6">
        <f t="shared" si="45"/>
        <v>1.6499037984011894E-2</v>
      </c>
      <c r="X354" s="14">
        <f t="shared" si="46"/>
        <v>2.5975213535596089E-3</v>
      </c>
    </row>
    <row r="355" spans="1:24" x14ac:dyDescent="0.25">
      <c r="A355" s="1">
        <v>45811.705555555556</v>
      </c>
      <c r="B355" s="2">
        <v>134.4</v>
      </c>
      <c r="C355" s="2">
        <v>377.11</v>
      </c>
      <c r="D355" s="2">
        <v>19.79</v>
      </c>
      <c r="F355" s="2">
        <f t="shared" si="42"/>
        <v>5.7621791513882137E-3</v>
      </c>
      <c r="G355" s="2">
        <f t="shared" si="47"/>
        <v>-2.2225162058472359E-3</v>
      </c>
      <c r="H355" s="2">
        <f t="shared" si="48"/>
        <v>-1.3951170901843613E-2</v>
      </c>
      <c r="O355" s="6">
        <f t="shared" si="43"/>
        <v>5.3129497038741872E-3</v>
      </c>
      <c r="P355" s="6">
        <f t="shared" si="44"/>
        <v>-3.2682599279977489E-3</v>
      </c>
      <c r="Q355" s="6">
        <f t="shared" si="45"/>
        <v>-1.5716973100480119E-2</v>
      </c>
      <c r="X355" s="14">
        <f t="shared" si="46"/>
        <v>-3.0456222683688857E-3</v>
      </c>
    </row>
    <row r="356" spans="1:24" x14ac:dyDescent="0.25">
      <c r="A356" s="1">
        <v>45812.705555555556</v>
      </c>
      <c r="B356" s="2">
        <v>133.88999999999999</v>
      </c>
      <c r="C356" s="2">
        <v>377.6</v>
      </c>
      <c r="D356" s="2">
        <v>19.920000000000002</v>
      </c>
      <c r="F356" s="2">
        <f t="shared" si="42"/>
        <v>-3.794642857143038E-3</v>
      </c>
      <c r="G356" s="2">
        <f t="shared" si="47"/>
        <v>1.2993556256795102E-3</v>
      </c>
      <c r="H356" s="2">
        <f t="shared" si="48"/>
        <v>6.5689742294088305E-3</v>
      </c>
      <c r="O356" s="6">
        <f t="shared" si="43"/>
        <v>-4.2438723046570644E-3</v>
      </c>
      <c r="P356" s="6">
        <f t="shared" si="44"/>
        <v>2.53611903528997E-4</v>
      </c>
      <c r="Q356" s="6">
        <f t="shared" si="45"/>
        <v>4.8031720307723236E-3</v>
      </c>
      <c r="X356" s="14">
        <f t="shared" si="46"/>
        <v>-4.061911583919445E-4</v>
      </c>
    </row>
    <row r="357" spans="1:24" x14ac:dyDescent="0.25">
      <c r="A357" s="1">
        <v>45813.705555555556</v>
      </c>
      <c r="B357" s="2">
        <v>133.13</v>
      </c>
      <c r="C357" s="2">
        <v>371.85</v>
      </c>
      <c r="D357" s="2">
        <v>19.61</v>
      </c>
      <c r="F357" s="2">
        <f t="shared" si="42"/>
        <v>-5.6763014414817903E-3</v>
      </c>
      <c r="G357" s="2">
        <f t="shared" si="47"/>
        <v>-1.5227754237288171E-2</v>
      </c>
      <c r="H357" s="2">
        <f t="shared" si="48"/>
        <v>-1.5562248995984018E-2</v>
      </c>
      <c r="O357" s="6">
        <f t="shared" si="43"/>
        <v>-6.1255308889958168E-3</v>
      </c>
      <c r="P357" s="6">
        <f t="shared" si="44"/>
        <v>-1.6273497959438686E-2</v>
      </c>
      <c r="Q357" s="6">
        <f t="shared" si="45"/>
        <v>-1.7328051194620525E-2</v>
      </c>
      <c r="X357" s="14">
        <f t="shared" si="46"/>
        <v>-1.2251668908402102E-2</v>
      </c>
    </row>
    <row r="358" spans="1:24" x14ac:dyDescent="0.25">
      <c r="A358" s="1">
        <v>45814.705555555556</v>
      </c>
      <c r="B358" s="2">
        <v>132.94999999999999</v>
      </c>
      <c r="C358" s="2">
        <v>374.7</v>
      </c>
      <c r="D358" s="2">
        <v>19.29</v>
      </c>
      <c r="F358" s="2">
        <f t="shared" si="42"/>
        <v>-1.3520618943889673E-3</v>
      </c>
      <c r="G358" s="2">
        <f t="shared" si="47"/>
        <v>7.664380798709125E-3</v>
      </c>
      <c r="H358" s="2">
        <f t="shared" si="48"/>
        <v>-1.6318204997450292E-2</v>
      </c>
      <c r="O358" s="6">
        <f t="shared" si="43"/>
        <v>-1.8012913419029938E-3</v>
      </c>
      <c r="P358" s="6">
        <f t="shared" si="44"/>
        <v>6.618637076558612E-3</v>
      </c>
      <c r="Q358" s="6">
        <f t="shared" si="45"/>
        <v>-1.8084007196086799E-2</v>
      </c>
      <c r="X358" s="14">
        <f t="shared" si="46"/>
        <v>-3.7523800174098561E-3</v>
      </c>
    </row>
    <row r="359" spans="1:24" x14ac:dyDescent="0.25">
      <c r="A359" s="1">
        <v>45817.705555555556</v>
      </c>
      <c r="B359" s="2">
        <v>132.62</v>
      </c>
      <c r="C359" s="2">
        <v>374.45</v>
      </c>
      <c r="D359" s="2">
        <v>19.350000000000001</v>
      </c>
      <c r="F359" s="2">
        <f t="shared" si="42"/>
        <v>-2.4821361414064658E-3</v>
      </c>
      <c r="G359" s="2">
        <f t="shared" si="47"/>
        <v>-6.6720042700829651E-4</v>
      </c>
      <c r="H359" s="2">
        <f t="shared" si="48"/>
        <v>3.1104199066875893E-3</v>
      </c>
      <c r="O359" s="6">
        <f t="shared" si="43"/>
        <v>-2.9313655889204922E-3</v>
      </c>
      <c r="P359" s="6">
        <f t="shared" si="44"/>
        <v>-1.7129441491588098E-3</v>
      </c>
      <c r="Q359" s="6">
        <f t="shared" si="45"/>
        <v>1.3446177080510824E-3</v>
      </c>
      <c r="X359" s="14">
        <f t="shared" si="46"/>
        <v>-1.3897946968030033E-3</v>
      </c>
    </row>
    <row r="360" spans="1:24" x14ac:dyDescent="0.25">
      <c r="A360" s="1">
        <v>45818.705555555556</v>
      </c>
      <c r="B360" s="2">
        <v>133.33000000000001</v>
      </c>
      <c r="C360" s="2">
        <v>377.2</v>
      </c>
      <c r="D360" s="2">
        <v>19.38</v>
      </c>
      <c r="F360" s="2">
        <f t="shared" si="42"/>
        <v>5.3536419846178518E-3</v>
      </c>
      <c r="G360" s="2">
        <f t="shared" si="47"/>
        <v>7.3441046868740756E-3</v>
      </c>
      <c r="H360" s="2">
        <f t="shared" si="48"/>
        <v>1.5503875968991832E-3</v>
      </c>
      <c r="O360" s="6">
        <f t="shared" si="43"/>
        <v>4.9044125371038253E-3</v>
      </c>
      <c r="P360" s="6">
        <f t="shared" si="44"/>
        <v>6.2983609647235626E-3</v>
      </c>
      <c r="Q360" s="6">
        <f t="shared" si="45"/>
        <v>-2.1541460173732374E-4</v>
      </c>
      <c r="X360" s="14">
        <f t="shared" si="46"/>
        <v>3.9147385896973917E-3</v>
      </c>
    </row>
    <row r="361" spans="1:24" x14ac:dyDescent="0.25">
      <c r="A361" s="1">
        <v>45819.705555555556</v>
      </c>
      <c r="B361" s="2">
        <v>134</v>
      </c>
      <c r="C361" s="2">
        <v>374.2</v>
      </c>
      <c r="D361" s="2">
        <v>19.39</v>
      </c>
      <c r="F361" s="2">
        <f t="shared" si="42"/>
        <v>5.0251256281406143E-3</v>
      </c>
      <c r="G361" s="2">
        <f t="shared" si="47"/>
        <v>-7.9533404029692445E-3</v>
      </c>
      <c r="H361" s="2">
        <f t="shared" si="48"/>
        <v>5.1599587203310371E-4</v>
      </c>
      <c r="O361" s="6">
        <f t="shared" si="43"/>
        <v>4.5758961806265878E-3</v>
      </c>
      <c r="P361" s="6">
        <f t="shared" si="44"/>
        <v>-8.9990841251197575E-3</v>
      </c>
      <c r="Q361" s="6">
        <f t="shared" si="45"/>
        <v>-1.2498063266034032E-3</v>
      </c>
      <c r="X361" s="14">
        <f t="shared" si="46"/>
        <v>-1.1000071037007386E-3</v>
      </c>
    </row>
    <row r="362" spans="1:24" x14ac:dyDescent="0.25">
      <c r="A362" s="1">
        <v>45820.705555555556</v>
      </c>
      <c r="B362" s="2">
        <v>134.66</v>
      </c>
      <c r="C362" s="2">
        <v>375.45</v>
      </c>
      <c r="D362" s="2">
        <v>19.62</v>
      </c>
      <c r="F362" s="2">
        <f t="shared" si="42"/>
        <v>4.9253731343283924E-3</v>
      </c>
      <c r="G362" s="2">
        <f t="shared" si="47"/>
        <v>3.3404596472474957E-3</v>
      </c>
      <c r="H362" s="2">
        <f t="shared" si="48"/>
        <v>1.186178442496133E-2</v>
      </c>
      <c r="O362" s="6">
        <f t="shared" si="43"/>
        <v>4.4761436868143659E-3</v>
      </c>
      <c r="P362" s="6">
        <f t="shared" si="44"/>
        <v>2.2947159250969826E-3</v>
      </c>
      <c r="Q362" s="6">
        <f t="shared" si="45"/>
        <v>1.0095982226324823E-2</v>
      </c>
      <c r="X362" s="14">
        <f t="shared" si="46"/>
        <v>5.3670055841719567E-3</v>
      </c>
    </row>
    <row r="363" spans="1:24" x14ac:dyDescent="0.25">
      <c r="A363" s="1">
        <v>45821.705555555556</v>
      </c>
      <c r="B363" s="2">
        <v>134.11000000000001</v>
      </c>
      <c r="C363" s="2">
        <v>371.68</v>
      </c>
      <c r="D363" s="2">
        <v>19.87</v>
      </c>
      <c r="F363" s="2">
        <f t="shared" si="42"/>
        <v>-4.0843606119113085E-3</v>
      </c>
      <c r="G363" s="2">
        <f t="shared" si="47"/>
        <v>-1.0041283792781908E-2</v>
      </c>
      <c r="H363" s="2">
        <f t="shared" si="48"/>
        <v>1.2742099898063186E-2</v>
      </c>
      <c r="O363" s="6">
        <f t="shared" si="43"/>
        <v>-4.533590059425335E-3</v>
      </c>
      <c r="P363" s="6">
        <f t="shared" si="44"/>
        <v>-1.1087027514932421E-2</v>
      </c>
      <c r="Q363" s="6">
        <f t="shared" si="45"/>
        <v>1.0976297699426679E-2</v>
      </c>
      <c r="X363" s="14">
        <f t="shared" si="46"/>
        <v>-2.2349094718373758E-3</v>
      </c>
    </row>
    <row r="364" spans="1:24" x14ac:dyDescent="0.25">
      <c r="A364" s="1">
        <v>45824.705555555556</v>
      </c>
      <c r="B364" s="2">
        <v>136.06</v>
      </c>
      <c r="C364" s="2">
        <v>371.3</v>
      </c>
      <c r="D364" s="2">
        <v>19.399999999999999</v>
      </c>
      <c r="F364" s="2">
        <f t="shared" si="42"/>
        <v>1.4540302736559374E-2</v>
      </c>
      <c r="G364" s="2">
        <f t="shared" si="47"/>
        <v>-1.0223848471803132E-3</v>
      </c>
      <c r="H364" s="2">
        <f t="shared" si="48"/>
        <v>-2.3653749370911026E-2</v>
      </c>
      <c r="O364" s="6">
        <f t="shared" si="43"/>
        <v>1.4091073289045348E-2</v>
      </c>
      <c r="P364" s="6">
        <f t="shared" si="44"/>
        <v>-2.0681285693308262E-3</v>
      </c>
      <c r="Q364" s="6">
        <f t="shared" si="45"/>
        <v>-2.5419551569547533E-2</v>
      </c>
      <c r="X364" s="14">
        <f t="shared" si="46"/>
        <v>-1.6239544277422387E-3</v>
      </c>
    </row>
    <row r="365" spans="1:24" x14ac:dyDescent="0.25">
      <c r="A365" s="1">
        <v>45826.705555555556</v>
      </c>
      <c r="B365" s="2">
        <v>135.58000000000001</v>
      </c>
      <c r="C365" s="2">
        <v>369.2</v>
      </c>
      <c r="D365" s="2">
        <v>19.36</v>
      </c>
      <c r="F365" s="2">
        <f t="shared" si="42"/>
        <v>-3.5278553579302097E-3</v>
      </c>
      <c r="G365" s="2">
        <f t="shared" si="47"/>
        <v>-5.6558039321303877E-3</v>
      </c>
      <c r="H365" s="2">
        <f t="shared" si="48"/>
        <v>-2.0618556701030855E-3</v>
      </c>
      <c r="O365" s="6">
        <f t="shared" si="43"/>
        <v>-3.9770848054442361E-3</v>
      </c>
      <c r="P365" s="6">
        <f t="shared" si="44"/>
        <v>-6.7015476542809007E-3</v>
      </c>
      <c r="Q365" s="6">
        <f t="shared" si="45"/>
        <v>-3.8276578687395924E-3</v>
      </c>
      <c r="X365" s="14">
        <f t="shared" si="46"/>
        <v>-4.7535903075678464E-3</v>
      </c>
    </row>
    <row r="366" spans="1:24" x14ac:dyDescent="0.25">
      <c r="A366" s="1">
        <v>45828.705555555556</v>
      </c>
      <c r="B366" s="2">
        <v>134.04</v>
      </c>
      <c r="C366" s="2">
        <v>369.75</v>
      </c>
      <c r="D366" s="2">
        <v>19.420000000000002</v>
      </c>
      <c r="F366" s="2">
        <f t="shared" si="42"/>
        <v>-1.1358607464227899E-2</v>
      </c>
      <c r="G366" s="2">
        <f t="shared" si="47"/>
        <v>1.4897074756230477E-3</v>
      </c>
      <c r="H366" s="2">
        <f t="shared" si="48"/>
        <v>3.0991735537191367E-3</v>
      </c>
      <c r="O366" s="6">
        <f t="shared" si="43"/>
        <v>-1.1807836911741925E-2</v>
      </c>
      <c r="P366" s="6">
        <f t="shared" si="44"/>
        <v>4.4396375347253449E-4</v>
      </c>
      <c r="Q366" s="6">
        <f t="shared" si="45"/>
        <v>1.3333713550826298E-3</v>
      </c>
      <c r="X366" s="14">
        <f t="shared" si="46"/>
        <v>-4.5171938788256122E-3</v>
      </c>
    </row>
    <row r="367" spans="1:24" x14ac:dyDescent="0.25">
      <c r="A367" s="1">
        <v>45831.705555555556</v>
      </c>
      <c r="B367" s="2">
        <v>133.47</v>
      </c>
      <c r="C367" s="2">
        <v>371.75</v>
      </c>
      <c r="D367" s="2">
        <v>19.41</v>
      </c>
      <c r="F367" s="2">
        <f t="shared" si="42"/>
        <v>-4.2524619516561835E-3</v>
      </c>
      <c r="G367" s="2">
        <f t="shared" si="47"/>
        <v>5.4090601757945667E-3</v>
      </c>
      <c r="H367" s="2">
        <f t="shared" si="48"/>
        <v>-5.14933058702427E-4</v>
      </c>
      <c r="O367" s="6">
        <f t="shared" si="43"/>
        <v>-4.7016913991702099E-3</v>
      </c>
      <c r="P367" s="6">
        <f t="shared" si="44"/>
        <v>4.3633164536440536E-3</v>
      </c>
      <c r="Q367" s="6">
        <f t="shared" si="45"/>
        <v>-2.2807352573389339E-3</v>
      </c>
      <c r="X367" s="14">
        <f t="shared" si="46"/>
        <v>-1.3155418509178509E-3</v>
      </c>
    </row>
    <row r="368" spans="1:24" x14ac:dyDescent="0.25">
      <c r="A368" s="1">
        <v>45832.705555555556</v>
      </c>
      <c r="B368" s="2">
        <v>134.07</v>
      </c>
      <c r="C368" s="2">
        <v>377.1</v>
      </c>
      <c r="D368" s="2">
        <v>19.2</v>
      </c>
      <c r="F368" s="2">
        <f t="shared" si="42"/>
        <v>4.4953922229713505E-3</v>
      </c>
      <c r="G368" s="2">
        <f t="shared" si="47"/>
        <v>1.4391392064559527E-2</v>
      </c>
      <c r="H368" s="2">
        <f t="shared" si="48"/>
        <v>-1.0819165378670781E-2</v>
      </c>
      <c r="O368" s="6">
        <f t="shared" si="43"/>
        <v>4.0461627754573241E-3</v>
      </c>
      <c r="P368" s="6">
        <f t="shared" si="44"/>
        <v>1.3345648342409014E-2</v>
      </c>
      <c r="Q368" s="6">
        <f t="shared" si="45"/>
        <v>-1.2584967577307288E-2</v>
      </c>
      <c r="X368" s="14">
        <f t="shared" si="46"/>
        <v>2.2632085951374667E-3</v>
      </c>
    </row>
    <row r="369" spans="1:24" x14ac:dyDescent="0.25">
      <c r="A369" s="1">
        <v>45833.705555555556</v>
      </c>
      <c r="B369" s="2">
        <v>132.74</v>
      </c>
      <c r="C369" s="2">
        <v>379.5</v>
      </c>
      <c r="D369" s="2">
        <v>19.36</v>
      </c>
      <c r="F369" s="2">
        <f t="shared" si="42"/>
        <v>-9.9201909450286063E-3</v>
      </c>
      <c r="G369" s="2">
        <f t="shared" si="47"/>
        <v>6.364359586316537E-3</v>
      </c>
      <c r="H369" s="2">
        <f t="shared" si="48"/>
        <v>8.3333333333333037E-3</v>
      </c>
      <c r="O369" s="6">
        <f t="shared" si="43"/>
        <v>-1.0369420392542633E-2</v>
      </c>
      <c r="P369" s="6">
        <f t="shared" si="44"/>
        <v>5.318615864166024E-3</v>
      </c>
      <c r="Q369" s="6">
        <f t="shared" si="45"/>
        <v>6.5675311346967968E-3</v>
      </c>
      <c r="X369" s="14">
        <f t="shared" si="46"/>
        <v>-1.0037200930284843E-3</v>
      </c>
    </row>
    <row r="370" spans="1:24" x14ac:dyDescent="0.25">
      <c r="A370" s="1">
        <v>45834.705555555556</v>
      </c>
      <c r="B370" s="2">
        <v>134.01</v>
      </c>
      <c r="C370" s="2">
        <v>378.5</v>
      </c>
      <c r="D370" s="2">
        <v>19.16</v>
      </c>
      <c r="F370" s="2">
        <f t="shared" si="42"/>
        <v>9.5675757119177973E-3</v>
      </c>
      <c r="G370" s="2">
        <f t="shared" si="47"/>
        <v>-2.6350461133070047E-3</v>
      </c>
      <c r="H370" s="2">
        <f t="shared" si="48"/>
        <v>-1.0330578512396604E-2</v>
      </c>
      <c r="O370" s="6">
        <f t="shared" si="43"/>
        <v>9.1183462644037708E-3</v>
      </c>
      <c r="P370" s="6">
        <f t="shared" si="44"/>
        <v>-3.6807898354575177E-3</v>
      </c>
      <c r="Q370" s="6">
        <f t="shared" si="45"/>
        <v>-1.2096380711033111E-2</v>
      </c>
      <c r="X370" s="14">
        <f t="shared" si="46"/>
        <v>-5.5682903741887703E-4</v>
      </c>
    </row>
    <row r="371" spans="1:24" x14ac:dyDescent="0.25">
      <c r="A371" s="1">
        <v>45835.705555555556</v>
      </c>
      <c r="B371" s="2">
        <v>133.79</v>
      </c>
      <c r="C371" s="2">
        <v>380</v>
      </c>
      <c r="D371" s="2">
        <v>18.73</v>
      </c>
      <c r="F371" s="2">
        <f t="shared" si="42"/>
        <v>-1.6416685321990476E-3</v>
      </c>
      <c r="G371" s="2">
        <f t="shared" si="47"/>
        <v>3.9630118890356947E-3</v>
      </c>
      <c r="H371" s="2">
        <f t="shared" si="48"/>
        <v>-2.2442588726513502E-2</v>
      </c>
      <c r="O371" s="6">
        <f t="shared" si="43"/>
        <v>-2.0908979797130741E-3</v>
      </c>
      <c r="P371" s="6">
        <f t="shared" si="44"/>
        <v>2.9172681668851817E-3</v>
      </c>
      <c r="Q371" s="6">
        <f t="shared" si="45"/>
        <v>-2.4208390925150008E-2</v>
      </c>
      <c r="X371" s="14">
        <f t="shared" si="46"/>
        <v>-6.6704494802186584E-3</v>
      </c>
    </row>
    <row r="372" spans="1:24" x14ac:dyDescent="0.25">
      <c r="A372" s="1">
        <v>45838.705555555556</v>
      </c>
      <c r="B372" s="2">
        <v>135.71</v>
      </c>
      <c r="C372" s="2">
        <v>377.85</v>
      </c>
      <c r="D372" s="2">
        <v>18.77</v>
      </c>
      <c r="F372" s="2">
        <f t="shared" si="42"/>
        <v>1.4350848344420575E-2</v>
      </c>
      <c r="G372" s="2">
        <f t="shared" si="47"/>
        <v>-5.657894736842084E-3</v>
      </c>
      <c r="H372" s="2">
        <f t="shared" si="48"/>
        <v>2.1356113187398496E-3</v>
      </c>
      <c r="O372" s="6">
        <f t="shared" si="43"/>
        <v>1.3901618896906548E-2</v>
      </c>
      <c r="P372" s="6">
        <f t="shared" si="44"/>
        <v>-6.703638458992597E-3</v>
      </c>
      <c r="Q372" s="6">
        <f t="shared" si="45"/>
        <v>3.6980912010334266E-4</v>
      </c>
      <c r="X372" s="14">
        <f t="shared" si="46"/>
        <v>3.9967226659614E-3</v>
      </c>
    </row>
    <row r="373" spans="1:24" x14ac:dyDescent="0.25">
      <c r="A373" s="1">
        <v>45839.705555555556</v>
      </c>
      <c r="B373" s="2">
        <v>136.43</v>
      </c>
      <c r="C373" s="2">
        <v>379.85</v>
      </c>
      <c r="D373" s="2">
        <v>19.04</v>
      </c>
      <c r="F373" s="2">
        <f t="shared" si="42"/>
        <v>5.3054306978115306E-3</v>
      </c>
      <c r="G373" s="2">
        <f t="shared" si="47"/>
        <v>5.2931057297869177E-3</v>
      </c>
      <c r="H373" s="2">
        <f t="shared" si="48"/>
        <v>1.4384656366542403E-2</v>
      </c>
      <c r="O373" s="6">
        <f t="shared" si="43"/>
        <v>4.8562012502975042E-3</v>
      </c>
      <c r="P373" s="6">
        <f t="shared" si="44"/>
        <v>4.2473620076364047E-3</v>
      </c>
      <c r="Q373" s="6">
        <f t="shared" si="45"/>
        <v>1.2618854167905896E-2</v>
      </c>
      <c r="X373" s="14">
        <f t="shared" si="46"/>
        <v>6.8082802275229925E-3</v>
      </c>
    </row>
    <row r="374" spans="1:24" x14ac:dyDescent="0.25">
      <c r="A374" s="1">
        <v>45840.705555555556</v>
      </c>
      <c r="B374" s="2">
        <v>135.41999999999999</v>
      </c>
      <c r="C374" s="2">
        <v>378.75</v>
      </c>
      <c r="D374" s="2">
        <v>19.04</v>
      </c>
      <c r="F374" s="2">
        <f t="shared" si="42"/>
        <v>-7.4030638422635242E-3</v>
      </c>
      <c r="G374" s="2">
        <f t="shared" si="47"/>
        <v>-2.8958799526129786E-3</v>
      </c>
      <c r="H374" s="2">
        <f t="shared" si="48"/>
        <v>0</v>
      </c>
      <c r="O374" s="6">
        <f t="shared" si="43"/>
        <v>-7.8522932897775507E-3</v>
      </c>
      <c r="P374" s="6">
        <f t="shared" si="44"/>
        <v>-3.9416236747634916E-3</v>
      </c>
      <c r="Q374" s="6">
        <f t="shared" si="45"/>
        <v>-1.7658021986365069E-3</v>
      </c>
      <c r="X374" s="14">
        <f t="shared" si="46"/>
        <v>-5.0048873398438254E-3</v>
      </c>
    </row>
    <row r="375" spans="1:24" x14ac:dyDescent="0.25">
      <c r="A375" s="1">
        <v>45841.705555555556</v>
      </c>
      <c r="B375" s="2">
        <v>137.75</v>
      </c>
      <c r="C375" s="2">
        <v>380.25</v>
      </c>
      <c r="D375" s="2">
        <v>18.84</v>
      </c>
      <c r="F375" s="2">
        <f t="shared" si="42"/>
        <v>1.7205730320484447E-2</v>
      </c>
      <c r="G375" s="2">
        <f t="shared" si="47"/>
        <v>3.9603960396039639E-3</v>
      </c>
      <c r="H375" s="2">
        <f t="shared" si="48"/>
        <v>-1.0504201680672232E-2</v>
      </c>
      <c r="O375" s="6">
        <f t="shared" si="43"/>
        <v>1.6756500872970422E-2</v>
      </c>
      <c r="P375" s="6">
        <f t="shared" si="44"/>
        <v>2.9146523174534509E-3</v>
      </c>
      <c r="Q375" s="6">
        <f t="shared" si="45"/>
        <v>-1.2270003879308738E-2</v>
      </c>
      <c r="X375" s="14">
        <f t="shared" si="46"/>
        <v>4.6201136426023102E-3</v>
      </c>
    </row>
    <row r="376" spans="1:24" x14ac:dyDescent="0.25">
      <c r="A376" s="1">
        <v>45842.705555555556</v>
      </c>
      <c r="B376" s="2">
        <v>138.11000000000001</v>
      </c>
      <c r="C376" s="2">
        <v>379.4</v>
      </c>
      <c r="D376" s="2">
        <v>18.91</v>
      </c>
      <c r="F376" s="2">
        <f t="shared" si="42"/>
        <v>2.6134301270417382E-3</v>
      </c>
      <c r="G376" s="2">
        <f t="shared" si="47"/>
        <v>-2.2353714661407231E-3</v>
      </c>
      <c r="H376" s="2">
        <f t="shared" si="48"/>
        <v>3.7154989384289294E-3</v>
      </c>
      <c r="O376" s="6">
        <f t="shared" si="43"/>
        <v>2.1642006795277117E-3</v>
      </c>
      <c r="P376" s="6">
        <f t="shared" si="44"/>
        <v>-3.2811151882912361E-3</v>
      </c>
      <c r="Q376" s="6">
        <f t="shared" si="45"/>
        <v>1.9496967397924225E-3</v>
      </c>
      <c r="X376" s="14">
        <f t="shared" si="46"/>
        <v>4.7109564583102282E-4</v>
      </c>
    </row>
    <row r="377" spans="1:24" x14ac:dyDescent="0.25">
      <c r="A377" s="1">
        <v>45845.705555555556</v>
      </c>
      <c r="B377" s="2">
        <v>136.41</v>
      </c>
      <c r="C377" s="2">
        <v>382.75</v>
      </c>
      <c r="D377" s="2">
        <v>19.11</v>
      </c>
      <c r="F377" s="2">
        <f t="shared" si="42"/>
        <v>-1.2309029034827446E-2</v>
      </c>
      <c r="G377" s="2">
        <f t="shared" si="47"/>
        <v>8.8297311544545121E-3</v>
      </c>
      <c r="H377" s="2">
        <f t="shared" si="48"/>
        <v>1.057641459545211E-2</v>
      </c>
      <c r="O377" s="6">
        <f t="shared" si="43"/>
        <v>-1.2758258482341472E-2</v>
      </c>
      <c r="P377" s="6">
        <f t="shared" si="44"/>
        <v>7.783987432303999E-3</v>
      </c>
      <c r="Q377" s="6">
        <f t="shared" si="45"/>
        <v>8.8106123968156036E-3</v>
      </c>
      <c r="X377" s="14">
        <f t="shared" si="46"/>
        <v>-6.6201845633245739E-4</v>
      </c>
    </row>
    <row r="378" spans="1:24" x14ac:dyDescent="0.25">
      <c r="A378" s="1">
        <v>45846.705555555556</v>
      </c>
      <c r="B378" s="2">
        <v>136.19999999999999</v>
      </c>
      <c r="C378" s="2">
        <v>380.1</v>
      </c>
      <c r="D378" s="2">
        <v>18.760000000000002</v>
      </c>
      <c r="F378" s="2">
        <f t="shared" si="42"/>
        <v>-1.5394765779636055E-3</v>
      </c>
      <c r="G378" s="2">
        <f t="shared" si="47"/>
        <v>-6.9235793598954043E-3</v>
      </c>
      <c r="H378" s="2">
        <f t="shared" si="48"/>
        <v>-1.831501831501825E-2</v>
      </c>
      <c r="O378" s="6">
        <f t="shared" si="43"/>
        <v>-1.988706025477632E-3</v>
      </c>
      <c r="P378" s="6">
        <f t="shared" si="44"/>
        <v>-7.9693230820459173E-3</v>
      </c>
      <c r="Q378" s="6">
        <f t="shared" si="45"/>
        <v>-2.0080820513654757E-2</v>
      </c>
      <c r="X378" s="14">
        <f t="shared" si="46"/>
        <v>-8.7589321117780006E-3</v>
      </c>
    </row>
    <row r="379" spans="1:24" x14ac:dyDescent="0.25">
      <c r="A379" s="1">
        <v>45847.705555555556</v>
      </c>
      <c r="B379" s="2">
        <v>134.44999999999999</v>
      </c>
      <c r="C379" s="2">
        <v>386.65</v>
      </c>
      <c r="D379" s="2">
        <v>19.09</v>
      </c>
      <c r="F379" s="2">
        <f t="shared" si="42"/>
        <v>-1.2848751835536021E-2</v>
      </c>
      <c r="G379" s="2">
        <f t="shared" si="47"/>
        <v>1.7232307287555759E-2</v>
      </c>
      <c r="H379" s="2">
        <f t="shared" si="48"/>
        <v>1.7590618336886799E-2</v>
      </c>
      <c r="O379" s="6">
        <f t="shared" si="43"/>
        <v>-1.3297981283050047E-2</v>
      </c>
      <c r="P379" s="6">
        <f t="shared" si="44"/>
        <v>1.6186563565405244E-2</v>
      </c>
      <c r="Q379" s="6">
        <f t="shared" si="45"/>
        <v>1.5824816138250292E-2</v>
      </c>
      <c r="X379" s="14">
        <f t="shared" si="46"/>
        <v>3.5591899971893501E-3</v>
      </c>
    </row>
    <row r="380" spans="1:24" x14ac:dyDescent="0.25">
      <c r="A380" s="1">
        <v>45848.705555555556</v>
      </c>
      <c r="B380" s="2">
        <v>133.71</v>
      </c>
      <c r="C380" s="2">
        <v>390.5</v>
      </c>
      <c r="D380" s="2">
        <v>19.239999999999998</v>
      </c>
      <c r="F380" s="2">
        <f t="shared" si="42"/>
        <v>-5.5039047973223232E-3</v>
      </c>
      <c r="G380" s="2">
        <f t="shared" si="47"/>
        <v>9.957325746799528E-3</v>
      </c>
      <c r="H380" s="2">
        <f t="shared" si="48"/>
        <v>7.8575170246202308E-3</v>
      </c>
      <c r="O380" s="6">
        <f t="shared" si="43"/>
        <v>-5.9531342448363497E-3</v>
      </c>
      <c r="P380" s="6">
        <f t="shared" si="44"/>
        <v>8.911582024649015E-3</v>
      </c>
      <c r="Q380" s="6">
        <f t="shared" si="45"/>
        <v>6.0917148259837239E-3</v>
      </c>
      <c r="X380" s="14">
        <f t="shared" si="46"/>
        <v>1.8201258531483108E-3</v>
      </c>
    </row>
    <row r="381" spans="1:24" x14ac:dyDescent="0.25">
      <c r="A381" s="1">
        <v>45849.705555555556</v>
      </c>
      <c r="B381" s="2">
        <v>133.16999999999999</v>
      </c>
      <c r="C381" s="2">
        <v>388.8</v>
      </c>
      <c r="D381" s="2">
        <v>19.48</v>
      </c>
      <c r="F381" s="2">
        <f t="shared" si="42"/>
        <v>-4.0385909804803166E-3</v>
      </c>
      <c r="G381" s="2">
        <f t="shared" si="47"/>
        <v>-4.3533930857874159E-3</v>
      </c>
      <c r="H381" s="2">
        <f t="shared" si="48"/>
        <v>1.2474012474012586E-2</v>
      </c>
      <c r="O381" s="6">
        <f t="shared" si="43"/>
        <v>-4.4878204279943431E-3</v>
      </c>
      <c r="P381" s="6">
        <f t="shared" si="44"/>
        <v>-5.3991368079379289E-3</v>
      </c>
      <c r="Q381" s="6">
        <f t="shared" si="45"/>
        <v>1.0708210275376079E-2</v>
      </c>
      <c r="X381" s="14">
        <f t="shared" si="46"/>
        <v>-5.822777616055169E-4</v>
      </c>
    </row>
    <row r="382" spans="1:24" x14ac:dyDescent="0.25">
      <c r="A382" s="1">
        <v>45852.705555555556</v>
      </c>
      <c r="B382" s="2">
        <v>132.31</v>
      </c>
      <c r="C382" s="2">
        <v>392</v>
      </c>
      <c r="D382" s="2">
        <v>19.52</v>
      </c>
      <c r="F382" s="2">
        <f t="shared" si="42"/>
        <v>-6.4579109409025337E-3</v>
      </c>
      <c r="G382" s="2">
        <f t="shared" si="47"/>
        <v>8.2304526748970819E-3</v>
      </c>
      <c r="H382" s="2">
        <f t="shared" si="48"/>
        <v>2.0533880903490509E-3</v>
      </c>
      <c r="O382" s="6">
        <f t="shared" si="43"/>
        <v>-6.9071403884165602E-3</v>
      </c>
      <c r="P382" s="6">
        <f t="shared" si="44"/>
        <v>7.1847089527465689E-3</v>
      </c>
      <c r="Q382" s="6">
        <f t="shared" si="45"/>
        <v>2.8758589171254401E-4</v>
      </c>
      <c r="X382" s="14">
        <f t="shared" si="46"/>
        <v>-6.9963502681268206E-4</v>
      </c>
    </row>
    <row r="383" spans="1:24" x14ac:dyDescent="0.25">
      <c r="A383" s="1">
        <v>45853.705555555556</v>
      </c>
      <c r="B383" s="2">
        <v>132.24</v>
      </c>
      <c r="C383" s="2">
        <v>388.89</v>
      </c>
      <c r="D383" s="2">
        <v>19.37</v>
      </c>
      <c r="F383" s="2">
        <f t="shared" si="42"/>
        <v>-5.2906053964174582E-4</v>
      </c>
      <c r="G383" s="2">
        <f t="shared" si="47"/>
        <v>-7.9336734693877808E-3</v>
      </c>
      <c r="H383" s="2">
        <f t="shared" si="48"/>
        <v>-7.6844262295081567E-3</v>
      </c>
      <c r="O383" s="6">
        <f t="shared" si="43"/>
        <v>-9.782899871557723E-4</v>
      </c>
      <c r="P383" s="6">
        <f t="shared" si="44"/>
        <v>-8.9794171915382939E-3</v>
      </c>
      <c r="Q383" s="6">
        <f t="shared" si="45"/>
        <v>-9.4502284281446636E-3</v>
      </c>
      <c r="X383" s="14">
        <f t="shared" si="46"/>
        <v>-5.7092401270327497E-3</v>
      </c>
    </row>
    <row r="384" spans="1:24" x14ac:dyDescent="0.25">
      <c r="A384" s="1">
        <v>45854.705555555556</v>
      </c>
      <c r="B384" s="2">
        <v>132.5</v>
      </c>
      <c r="C384" s="2">
        <v>390.7</v>
      </c>
      <c r="D384" s="2">
        <v>19.46</v>
      </c>
      <c r="F384" s="2">
        <f t="shared" si="42"/>
        <v>1.9661222020568303E-3</v>
      </c>
      <c r="G384" s="2">
        <f t="shared" si="47"/>
        <v>4.6542724163645133E-3</v>
      </c>
      <c r="H384" s="2">
        <f t="shared" si="48"/>
        <v>4.6463603510582541E-3</v>
      </c>
      <c r="O384" s="6">
        <f t="shared" si="43"/>
        <v>1.5168927545428038E-3</v>
      </c>
      <c r="P384" s="6">
        <f t="shared" si="44"/>
        <v>3.6085286942140003E-3</v>
      </c>
      <c r="Q384" s="6">
        <f t="shared" si="45"/>
        <v>2.8805581524217472E-3</v>
      </c>
      <c r="X384" s="14">
        <f t="shared" si="46"/>
        <v>2.5196017057206757E-3</v>
      </c>
    </row>
    <row r="385" spans="1:24" x14ac:dyDescent="0.25">
      <c r="A385" s="1">
        <v>45855.705555555556</v>
      </c>
      <c r="B385" s="2">
        <v>132.55000000000001</v>
      </c>
      <c r="C385" s="2">
        <v>391.98</v>
      </c>
      <c r="D385" s="2">
        <v>19.36</v>
      </c>
      <c r="F385" s="2">
        <f t="shared" si="42"/>
        <v>3.7735849056619308E-4</v>
      </c>
      <c r="G385" s="2">
        <f t="shared" si="47"/>
        <v>3.276170975172743E-3</v>
      </c>
      <c r="H385" s="2">
        <f t="shared" si="48"/>
        <v>-5.1387461459404538E-3</v>
      </c>
      <c r="O385" s="6">
        <f t="shared" si="43"/>
        <v>-7.1870956947833341E-5</v>
      </c>
      <c r="P385" s="6">
        <f t="shared" si="44"/>
        <v>2.23042725302223E-3</v>
      </c>
      <c r="Q385" s="6">
        <f t="shared" si="45"/>
        <v>-6.9045483445769607E-3</v>
      </c>
      <c r="X385" s="14">
        <f t="shared" si="46"/>
        <v>-1.2600001314108504E-3</v>
      </c>
    </row>
    <row r="386" spans="1:24" x14ac:dyDescent="0.25">
      <c r="A386" s="1">
        <v>45856.705555555556</v>
      </c>
      <c r="B386" s="2">
        <v>130.46</v>
      </c>
      <c r="C386" s="2">
        <v>394.28</v>
      </c>
      <c r="D386" s="2">
        <v>19.55</v>
      </c>
      <c r="F386" s="2">
        <f t="shared" si="42"/>
        <v>-1.5767634854771839E-2</v>
      </c>
      <c r="G386" s="2">
        <f t="shared" si="47"/>
        <v>5.8676463084850194E-3</v>
      </c>
      <c r="H386" s="2">
        <f t="shared" si="48"/>
        <v>9.8140495867768962E-3</v>
      </c>
      <c r="O386" s="6">
        <f t="shared" si="43"/>
        <v>-1.6216864302285864E-2</v>
      </c>
      <c r="P386" s="6">
        <f t="shared" si="44"/>
        <v>4.8219025863345064E-3</v>
      </c>
      <c r="Q386" s="6">
        <f t="shared" si="45"/>
        <v>8.0482473881403893E-3</v>
      </c>
      <c r="X386" s="14">
        <f t="shared" si="46"/>
        <v>-3.2301337288265439E-3</v>
      </c>
    </row>
    <row r="387" spans="1:24" x14ac:dyDescent="0.25">
      <c r="A387" s="1">
        <v>45859.705555555556</v>
      </c>
      <c r="B387" s="2">
        <v>131.18</v>
      </c>
      <c r="C387" s="2">
        <v>393.64</v>
      </c>
      <c r="D387" s="2">
        <v>19.77</v>
      </c>
      <c r="F387" s="2">
        <f t="shared" si="42"/>
        <v>5.5189330062854758E-3</v>
      </c>
      <c r="G387" s="2">
        <f t="shared" si="47"/>
        <v>-1.6232119306076598E-3</v>
      </c>
      <c r="H387" s="2">
        <f t="shared" si="48"/>
        <v>1.1253196930946174E-2</v>
      </c>
      <c r="O387" s="6">
        <f t="shared" si="43"/>
        <v>5.0697035587714493E-3</v>
      </c>
      <c r="P387" s="6">
        <f t="shared" si="44"/>
        <v>-2.6689556527581728E-3</v>
      </c>
      <c r="Q387" s="6">
        <f t="shared" si="45"/>
        <v>9.4873947323096675E-3</v>
      </c>
      <c r="X387" s="14">
        <f t="shared" si="46"/>
        <v>3.9622655668325266E-3</v>
      </c>
    </row>
    <row r="388" spans="1:24" x14ac:dyDescent="0.25">
      <c r="A388" s="1">
        <v>45860.705555555556</v>
      </c>
      <c r="B388" s="2">
        <v>131.07</v>
      </c>
      <c r="C388" s="2">
        <v>393.48</v>
      </c>
      <c r="D388" s="2">
        <v>19.96</v>
      </c>
      <c r="F388" s="2">
        <f t="shared" ref="F388:F451" si="49">(B388/B387)-1</f>
        <v>-8.3854246074110961E-4</v>
      </c>
      <c r="G388" s="2">
        <f t="shared" si="47"/>
        <v>-4.0646275784972374E-4</v>
      </c>
      <c r="H388" s="2">
        <f t="shared" si="48"/>
        <v>9.6105209914012502E-3</v>
      </c>
      <c r="O388" s="6">
        <f t="shared" ref="O388:O451" si="50">F388-$K$3</f>
        <v>-1.2877719082551361E-3</v>
      </c>
      <c r="P388" s="6">
        <f t="shared" ref="P388:P451" si="51">G388-$L$3</f>
        <v>-1.452206480000237E-3</v>
      </c>
      <c r="Q388" s="6">
        <f t="shared" ref="Q388:Q451" si="52">H388-$M$3</f>
        <v>7.8447187927647433E-3</v>
      </c>
      <c r="X388" s="14">
        <f t="shared" ref="X388:X451" si="53">$T$47*O388+$T$48*P388+$T$49*Q388</f>
        <v>1.1743867753655601E-3</v>
      </c>
    </row>
    <row r="389" spans="1:24" x14ac:dyDescent="0.25">
      <c r="A389" s="1">
        <v>45861.705555555556</v>
      </c>
      <c r="B389" s="2">
        <v>132.35</v>
      </c>
      <c r="C389" s="2">
        <v>393.78</v>
      </c>
      <c r="D389" s="2">
        <v>19.559999999999999</v>
      </c>
      <c r="F389" s="2">
        <f t="shared" si="49"/>
        <v>9.7657740138856752E-3</v>
      </c>
      <c r="G389" s="2">
        <f t="shared" si="47"/>
        <v>7.6242756938071921E-4</v>
      </c>
      <c r="H389" s="2">
        <f t="shared" si="48"/>
        <v>-2.0040080160320772E-2</v>
      </c>
      <c r="O389" s="6">
        <f t="shared" si="50"/>
        <v>9.3165445663716488E-3</v>
      </c>
      <c r="P389" s="6">
        <f t="shared" si="51"/>
        <v>-2.8331615276979403E-4</v>
      </c>
      <c r="Q389" s="6">
        <f t="shared" si="52"/>
        <v>-2.1805882358957279E-2</v>
      </c>
      <c r="X389" s="14">
        <f t="shared" si="53"/>
        <v>-2.1232358063936418E-3</v>
      </c>
    </row>
    <row r="390" spans="1:24" x14ac:dyDescent="0.25">
      <c r="A390" s="1">
        <v>45862.705555555556</v>
      </c>
      <c r="B390" s="2">
        <v>130.87</v>
      </c>
      <c r="C390" s="2">
        <v>393.98</v>
      </c>
      <c r="D390" s="2">
        <v>19.43</v>
      </c>
      <c r="F390" s="2">
        <f t="shared" si="49"/>
        <v>-1.1182470721571525E-2</v>
      </c>
      <c r="G390" s="2">
        <f t="shared" si="47"/>
        <v>5.0789781096050035E-4</v>
      </c>
      <c r="H390" s="2">
        <f t="shared" si="48"/>
        <v>-6.64621676891608E-3</v>
      </c>
      <c r="O390" s="6">
        <f t="shared" si="50"/>
        <v>-1.1631700169085551E-2</v>
      </c>
      <c r="P390" s="6">
        <f t="shared" si="51"/>
        <v>-5.3784591119001289E-4</v>
      </c>
      <c r="Q390" s="6">
        <f t="shared" si="52"/>
        <v>-8.4120189675525869E-3</v>
      </c>
      <c r="X390" s="14">
        <f t="shared" si="53"/>
        <v>-7.4170474385753839E-3</v>
      </c>
    </row>
    <row r="391" spans="1:24" x14ac:dyDescent="0.25">
      <c r="A391" s="1">
        <v>45863.705555555556</v>
      </c>
      <c r="B391" s="2">
        <v>130.57</v>
      </c>
      <c r="C391" s="2">
        <v>398.3</v>
      </c>
      <c r="D391" s="2">
        <v>19.38</v>
      </c>
      <c r="F391" s="2">
        <f t="shared" si="49"/>
        <v>-2.2923511882021463E-3</v>
      </c>
      <c r="G391" s="2">
        <f t="shared" si="47"/>
        <v>1.0965023605259194E-2</v>
      </c>
      <c r="H391" s="2">
        <f t="shared" si="48"/>
        <v>-2.5733401955738699E-3</v>
      </c>
      <c r="O391" s="6">
        <f t="shared" si="50"/>
        <v>-2.7415806357161728E-3</v>
      </c>
      <c r="P391" s="6">
        <f t="shared" si="51"/>
        <v>9.9192798831086813E-3</v>
      </c>
      <c r="Q391" s="6">
        <f t="shared" si="52"/>
        <v>-4.3391423942103768E-3</v>
      </c>
      <c r="X391" s="14">
        <f t="shared" si="53"/>
        <v>6.1854498750083041E-4</v>
      </c>
    </row>
    <row r="392" spans="1:24" x14ac:dyDescent="0.25">
      <c r="A392" s="1">
        <v>45866.705555555556</v>
      </c>
      <c r="B392" s="2">
        <v>129.22999999999999</v>
      </c>
      <c r="C392" s="2">
        <v>400.41</v>
      </c>
      <c r="D392" s="2">
        <v>19.36</v>
      </c>
      <c r="F392" s="2">
        <f t="shared" si="49"/>
        <v>-1.0262694340200662E-2</v>
      </c>
      <c r="G392" s="2">
        <f t="shared" si="47"/>
        <v>5.2975144363545112E-3</v>
      </c>
      <c r="H392" s="2">
        <f t="shared" si="48"/>
        <v>-1.0319917440659854E-3</v>
      </c>
      <c r="O392" s="6">
        <f t="shared" si="50"/>
        <v>-1.0711923787714689E-2</v>
      </c>
      <c r="P392" s="6">
        <f t="shared" si="51"/>
        <v>4.2517707142039982E-3</v>
      </c>
      <c r="Q392" s="6">
        <f t="shared" si="52"/>
        <v>-2.7977939427024923E-3</v>
      </c>
      <c r="X392" s="14">
        <f t="shared" si="53"/>
        <v>-4.0449401330068385E-3</v>
      </c>
    </row>
    <row r="393" spans="1:24" x14ac:dyDescent="0.25">
      <c r="A393" s="1">
        <v>45867.705555555556</v>
      </c>
      <c r="B393" s="2">
        <v>129.79</v>
      </c>
      <c r="C393" s="2">
        <v>397.67</v>
      </c>
      <c r="D393" s="2">
        <v>19.36</v>
      </c>
      <c r="F393" s="2">
        <f t="shared" si="49"/>
        <v>4.3333591271377259E-3</v>
      </c>
      <c r="G393" s="2">
        <f t="shared" si="47"/>
        <v>-6.8429859394121273E-3</v>
      </c>
      <c r="H393" s="2">
        <f t="shared" si="48"/>
        <v>0</v>
      </c>
      <c r="O393" s="6">
        <f t="shared" si="50"/>
        <v>3.8841296796236994E-3</v>
      </c>
      <c r="P393" s="6">
        <f t="shared" si="51"/>
        <v>-7.8887296615626403E-3</v>
      </c>
      <c r="Q393" s="6">
        <f t="shared" si="52"/>
        <v>-1.7658021986365069E-3</v>
      </c>
      <c r="X393" s="14">
        <f t="shared" si="53"/>
        <v>-1.2026269386605966E-3</v>
      </c>
    </row>
    <row r="394" spans="1:24" x14ac:dyDescent="0.25">
      <c r="A394" s="1">
        <v>45868.705555555556</v>
      </c>
      <c r="B394" s="2">
        <v>131.01</v>
      </c>
      <c r="C394" s="2">
        <v>398.49</v>
      </c>
      <c r="D394" s="2">
        <v>19.04</v>
      </c>
      <c r="F394" s="2">
        <f t="shared" si="49"/>
        <v>9.3997996764003666E-3</v>
      </c>
      <c r="G394" s="2">
        <f t="shared" si="47"/>
        <v>2.0620112153293402E-3</v>
      </c>
      <c r="H394" s="2">
        <f t="shared" si="48"/>
        <v>-1.6528925619834767E-2</v>
      </c>
      <c r="O394" s="6">
        <f t="shared" si="50"/>
        <v>8.9505702288863401E-3</v>
      </c>
      <c r="P394" s="6">
        <f t="shared" si="51"/>
        <v>1.0162674931788269E-3</v>
      </c>
      <c r="Q394" s="6">
        <f t="shared" si="52"/>
        <v>-1.8294727818471274E-2</v>
      </c>
      <c r="X394" s="14">
        <f t="shared" si="53"/>
        <v>-9.2314359968806783E-4</v>
      </c>
    </row>
    <row r="395" spans="1:24" x14ac:dyDescent="0.25">
      <c r="A395" s="1">
        <v>45869.705555555556</v>
      </c>
      <c r="B395" s="2">
        <v>130.68</v>
      </c>
      <c r="C395" s="2">
        <v>398.01</v>
      </c>
      <c r="D395" s="2">
        <v>19.239999999999998</v>
      </c>
      <c r="F395" s="2">
        <f t="shared" si="49"/>
        <v>-2.5188916876572875E-3</v>
      </c>
      <c r="G395" s="2">
        <f t="shared" si="47"/>
        <v>-1.2045471655499629E-3</v>
      </c>
      <c r="H395" s="2">
        <f t="shared" si="48"/>
        <v>1.0504201680672232E-2</v>
      </c>
      <c r="O395" s="6">
        <f t="shared" si="50"/>
        <v>-2.968121135171314E-3</v>
      </c>
      <c r="P395" s="6">
        <f t="shared" si="51"/>
        <v>-2.2502908877004759E-3</v>
      </c>
      <c r="Q395" s="6">
        <f t="shared" si="52"/>
        <v>8.7383994820357247E-3</v>
      </c>
      <c r="X395" s="14">
        <f t="shared" si="53"/>
        <v>4.666791591647671E-4</v>
      </c>
    </row>
    <row r="396" spans="1:24" x14ac:dyDescent="0.25">
      <c r="A396" s="1">
        <v>45870.705555555556</v>
      </c>
      <c r="B396" s="2">
        <v>130.13</v>
      </c>
      <c r="C396" s="2">
        <v>387.8</v>
      </c>
      <c r="D396" s="2">
        <v>19.47</v>
      </c>
      <c r="F396" s="2">
        <f t="shared" si="49"/>
        <v>-4.2087542087543284E-3</v>
      </c>
      <c r="G396" s="2">
        <f t="shared" si="47"/>
        <v>-2.5652621793422203E-2</v>
      </c>
      <c r="H396" s="2">
        <f t="shared" si="48"/>
        <v>1.195426195426208E-2</v>
      </c>
      <c r="O396" s="6">
        <f t="shared" si="50"/>
        <v>-4.6579836562683549E-3</v>
      </c>
      <c r="P396" s="6">
        <f t="shared" si="51"/>
        <v>-2.6698365515572718E-2</v>
      </c>
      <c r="Q396" s="6">
        <f t="shared" si="52"/>
        <v>1.0188459755625573E-2</v>
      </c>
      <c r="X396" s="14">
        <f t="shared" si="53"/>
        <v>-7.1893177240864616E-3</v>
      </c>
    </row>
    <row r="397" spans="1:24" x14ac:dyDescent="0.25">
      <c r="A397" s="1">
        <v>45873.705555555556</v>
      </c>
      <c r="B397" s="2">
        <v>130.09</v>
      </c>
      <c r="C397" s="2">
        <v>391.3</v>
      </c>
      <c r="D397" s="2">
        <v>19.41</v>
      </c>
      <c r="F397" s="2">
        <f t="shared" si="49"/>
        <v>-3.0738492276949358E-4</v>
      </c>
      <c r="G397" s="2">
        <f t="shared" si="47"/>
        <v>9.0252707581226499E-3</v>
      </c>
      <c r="H397" s="2">
        <f t="shared" si="48"/>
        <v>-3.0816640986132127E-3</v>
      </c>
      <c r="O397" s="6">
        <f t="shared" si="50"/>
        <v>-7.5661437028352006E-4</v>
      </c>
      <c r="P397" s="6">
        <f t="shared" si="51"/>
        <v>7.9795270359721369E-3</v>
      </c>
      <c r="Q397" s="6">
        <f t="shared" si="52"/>
        <v>-4.8474662972497196E-3</v>
      </c>
      <c r="X397" s="14">
        <f t="shared" si="53"/>
        <v>7.4004683517250413E-4</v>
      </c>
    </row>
    <row r="398" spans="1:24" x14ac:dyDescent="0.25">
      <c r="A398" s="1">
        <v>45874.705555555556</v>
      </c>
      <c r="B398" s="2">
        <v>130.22</v>
      </c>
      <c r="C398" s="2">
        <v>389.3</v>
      </c>
      <c r="D398" s="2">
        <v>19.45</v>
      </c>
      <c r="F398" s="2">
        <f t="shared" si="49"/>
        <v>9.9930817126603344E-4</v>
      </c>
      <c r="G398" s="2">
        <f t="shared" si="47"/>
        <v>-5.1111679018656098E-3</v>
      </c>
      <c r="H398" s="2">
        <f t="shared" si="48"/>
        <v>2.0607934054610588E-3</v>
      </c>
      <c r="O398" s="6">
        <f t="shared" si="50"/>
        <v>5.5007872375200696E-4</v>
      </c>
      <c r="P398" s="6">
        <f t="shared" si="51"/>
        <v>-6.1569116240161228E-3</v>
      </c>
      <c r="Q398" s="6">
        <f t="shared" si="52"/>
        <v>2.9499120682455193E-4</v>
      </c>
      <c r="X398" s="14">
        <f t="shared" si="53"/>
        <v>-1.5328099430173641E-3</v>
      </c>
    </row>
    <row r="399" spans="1:24" x14ac:dyDescent="0.25">
      <c r="A399" s="1">
        <v>45875.705555555556</v>
      </c>
      <c r="B399" s="2">
        <v>131.55000000000001</v>
      </c>
      <c r="C399" s="2">
        <v>388.8</v>
      </c>
      <c r="D399" s="2">
        <v>19.260000000000002</v>
      </c>
      <c r="F399" s="2">
        <f t="shared" si="49"/>
        <v>1.0213484871755663E-2</v>
      </c>
      <c r="G399" s="2">
        <f t="shared" si="47"/>
        <v>-1.2843565373747978E-3</v>
      </c>
      <c r="H399" s="2">
        <f t="shared" si="48"/>
        <v>-9.7686375321335284E-3</v>
      </c>
      <c r="O399" s="6">
        <f t="shared" si="50"/>
        <v>9.7642554242416361E-3</v>
      </c>
      <c r="P399" s="6">
        <f t="shared" si="51"/>
        <v>-2.3301002595253108E-3</v>
      </c>
      <c r="Q399" s="6">
        <f t="shared" si="52"/>
        <v>-1.1534439730770035E-2</v>
      </c>
      <c r="X399" s="14">
        <f t="shared" si="53"/>
        <v>2.7748966536980928E-4</v>
      </c>
    </row>
    <row r="400" spans="1:24" x14ac:dyDescent="0.25">
      <c r="A400" s="1">
        <v>45876.705555555556</v>
      </c>
      <c r="B400" s="2">
        <v>133.49</v>
      </c>
      <c r="C400" s="2">
        <v>385.9</v>
      </c>
      <c r="D400" s="2">
        <v>19.27</v>
      </c>
      <c r="F400" s="2">
        <f t="shared" si="49"/>
        <v>1.4747244393766623E-2</v>
      </c>
      <c r="G400" s="2">
        <f t="shared" si="47"/>
        <v>-7.45884773662564E-3</v>
      </c>
      <c r="H400" s="2">
        <f t="shared" si="48"/>
        <v>5.1921079958461291E-4</v>
      </c>
      <c r="O400" s="6">
        <f t="shared" si="50"/>
        <v>1.4298014946252597E-2</v>
      </c>
      <c r="P400" s="6">
        <f t="shared" si="51"/>
        <v>-8.5045914587761531E-3</v>
      </c>
      <c r="Q400" s="6">
        <f t="shared" si="52"/>
        <v>-1.246591399051894E-3</v>
      </c>
      <c r="X400" s="14">
        <f t="shared" si="53"/>
        <v>3.1801697008220623E-3</v>
      </c>
    </row>
    <row r="401" spans="1:24" x14ac:dyDescent="0.25">
      <c r="A401" s="1">
        <v>45877.705555555556</v>
      </c>
      <c r="B401" s="2">
        <v>132.94</v>
      </c>
      <c r="C401" s="2">
        <v>390.35</v>
      </c>
      <c r="D401" s="2">
        <v>19.309999999999999</v>
      </c>
      <c r="F401" s="2">
        <f t="shared" si="49"/>
        <v>-4.1201588133943368E-3</v>
      </c>
      <c r="G401" s="2">
        <f t="shared" si="47"/>
        <v>1.1531484840632489E-2</v>
      </c>
      <c r="H401" s="2">
        <f t="shared" si="48"/>
        <v>2.0757654385052948E-3</v>
      </c>
      <c r="O401" s="6">
        <f t="shared" si="50"/>
        <v>-4.5693882609083632E-3</v>
      </c>
      <c r="P401" s="6">
        <f t="shared" si="51"/>
        <v>1.0485741118481976E-2</v>
      </c>
      <c r="Q401" s="6">
        <f t="shared" si="52"/>
        <v>3.0996323986878793E-4</v>
      </c>
      <c r="X401" s="14">
        <f t="shared" si="53"/>
        <v>1.29044734435137E-3</v>
      </c>
    </row>
    <row r="402" spans="1:24" x14ac:dyDescent="0.25">
      <c r="A402" s="1">
        <v>45880.705555555556</v>
      </c>
      <c r="B402" s="2">
        <v>132.66</v>
      </c>
      <c r="C402" s="2">
        <v>389.54</v>
      </c>
      <c r="D402" s="2">
        <v>19.03</v>
      </c>
      <c r="F402" s="2">
        <f t="shared" si="49"/>
        <v>-2.1062133293214824E-3</v>
      </c>
      <c r="G402" s="2">
        <f t="shared" si="47"/>
        <v>-2.0750608428333761E-3</v>
      </c>
      <c r="H402" s="2">
        <f t="shared" si="48"/>
        <v>-1.4500258933195065E-2</v>
      </c>
      <c r="O402" s="6">
        <f t="shared" si="50"/>
        <v>-2.5554427768355089E-3</v>
      </c>
      <c r="P402" s="6">
        <f t="shared" si="51"/>
        <v>-3.1208045649838891E-3</v>
      </c>
      <c r="Q402" s="6">
        <f t="shared" si="52"/>
        <v>-1.6266061131831572E-2</v>
      </c>
      <c r="X402" s="14">
        <f t="shared" si="53"/>
        <v>-6.4956301709326435E-3</v>
      </c>
    </row>
    <row r="403" spans="1:24" x14ac:dyDescent="0.25">
      <c r="A403" s="1">
        <v>45881.705555555556</v>
      </c>
      <c r="B403" s="2">
        <v>134.84</v>
      </c>
      <c r="C403" s="2">
        <v>389.88</v>
      </c>
      <c r="D403" s="2">
        <v>18.829999999999998</v>
      </c>
      <c r="F403" s="2">
        <f t="shared" si="49"/>
        <v>1.643298658224035E-2</v>
      </c>
      <c r="G403" s="2">
        <f t="shared" ref="G403:G466" si="54">(C403/C402)-1</f>
        <v>8.7282435693381011E-4</v>
      </c>
      <c r="H403" s="2">
        <f t="shared" ref="H403:H466" si="55">(D403/D402)-1</f>
        <v>-1.0509721492380608E-2</v>
      </c>
      <c r="O403" s="6">
        <f t="shared" si="50"/>
        <v>1.5983757134726325E-2</v>
      </c>
      <c r="P403" s="6">
        <f t="shared" si="51"/>
        <v>-1.7291936521670313E-4</v>
      </c>
      <c r="Q403" s="6">
        <f t="shared" si="52"/>
        <v>-1.2275523691017115E-2</v>
      </c>
      <c r="X403" s="14">
        <f t="shared" si="53"/>
        <v>3.3636928905470547E-3</v>
      </c>
    </row>
    <row r="404" spans="1:24" x14ac:dyDescent="0.25">
      <c r="A404" s="1">
        <v>45882.705555555556</v>
      </c>
      <c r="B404" s="2">
        <v>133.79</v>
      </c>
      <c r="C404" s="2">
        <v>391.95</v>
      </c>
      <c r="D404" s="2">
        <v>18.93</v>
      </c>
      <c r="F404" s="2">
        <f t="shared" si="49"/>
        <v>-7.7870068229013434E-3</v>
      </c>
      <c r="G404" s="2">
        <f t="shared" si="54"/>
        <v>5.3093259464449538E-3</v>
      </c>
      <c r="H404" s="2">
        <f t="shared" si="55"/>
        <v>5.3106744556559171E-3</v>
      </c>
      <c r="O404" s="6">
        <f t="shared" si="50"/>
        <v>-8.2362362704153699E-3</v>
      </c>
      <c r="P404" s="6">
        <f t="shared" si="51"/>
        <v>4.2635822242944408E-3</v>
      </c>
      <c r="Q404" s="6">
        <f t="shared" si="52"/>
        <v>3.5448722570194102E-3</v>
      </c>
      <c r="X404" s="14">
        <f t="shared" si="53"/>
        <v>-1.2452020280208712E-3</v>
      </c>
    </row>
    <row r="405" spans="1:24" x14ac:dyDescent="0.25">
      <c r="A405" s="1">
        <v>45883.705555555556</v>
      </c>
      <c r="B405" s="2">
        <v>133.44999999999999</v>
      </c>
      <c r="C405" s="2">
        <v>393</v>
      </c>
      <c r="D405" s="2">
        <v>18.87</v>
      </c>
      <c r="F405" s="2">
        <f t="shared" si="49"/>
        <v>-2.5412960609911828E-3</v>
      </c>
      <c r="G405" s="2">
        <f t="shared" si="54"/>
        <v>2.6789131266744537E-3</v>
      </c>
      <c r="H405" s="2">
        <f t="shared" si="55"/>
        <v>-3.1695721077653616E-3</v>
      </c>
      <c r="O405" s="6">
        <f t="shared" si="50"/>
        <v>-2.9905255085052092E-3</v>
      </c>
      <c r="P405" s="6">
        <f t="shared" si="51"/>
        <v>1.6331694045239405E-3</v>
      </c>
      <c r="Q405" s="6">
        <f t="shared" si="52"/>
        <v>-4.9353743064018685E-3</v>
      </c>
      <c r="X405" s="14">
        <f t="shared" si="53"/>
        <v>-2.1378237402090196E-3</v>
      </c>
    </row>
    <row r="406" spans="1:24" x14ac:dyDescent="0.25">
      <c r="A406" s="1">
        <v>45884.705555555556</v>
      </c>
      <c r="B406" s="2">
        <v>133.43</v>
      </c>
      <c r="C406" s="2">
        <v>390.9</v>
      </c>
      <c r="D406" s="2">
        <v>18.82</v>
      </c>
      <c r="F406" s="2">
        <f t="shared" si="49"/>
        <v>-1.4986886474321892E-4</v>
      </c>
      <c r="G406" s="2">
        <f t="shared" si="54"/>
        <v>-5.3435114503816994E-3</v>
      </c>
      <c r="H406" s="2">
        <f t="shared" si="55"/>
        <v>-2.6497085320614788E-3</v>
      </c>
      <c r="O406" s="6">
        <f t="shared" si="50"/>
        <v>-5.990983122572454E-4</v>
      </c>
      <c r="P406" s="6">
        <f t="shared" si="51"/>
        <v>-6.3892551725322124E-3</v>
      </c>
      <c r="Q406" s="6">
        <f t="shared" si="52"/>
        <v>-4.4155107306979857E-3</v>
      </c>
      <c r="X406" s="14">
        <f t="shared" si="53"/>
        <v>-3.3862409451266492E-3</v>
      </c>
    </row>
    <row r="407" spans="1:24" x14ac:dyDescent="0.25">
      <c r="A407" s="1">
        <v>45887.705555555556</v>
      </c>
      <c r="B407" s="2">
        <v>134.37</v>
      </c>
      <c r="C407" s="2">
        <v>393.55</v>
      </c>
      <c r="D407" s="2">
        <v>18.93</v>
      </c>
      <c r="F407" s="2">
        <f t="shared" si="49"/>
        <v>7.044892452971574E-3</v>
      </c>
      <c r="G407" s="2">
        <f t="shared" si="54"/>
        <v>6.7792274238935857E-3</v>
      </c>
      <c r="H407" s="2">
        <f t="shared" si="55"/>
        <v>5.8448459086077875E-3</v>
      </c>
      <c r="O407" s="6">
        <f t="shared" si="50"/>
        <v>6.5956630054575475E-3</v>
      </c>
      <c r="P407" s="6">
        <f t="shared" si="51"/>
        <v>5.7334837017430727E-3</v>
      </c>
      <c r="Q407" s="6">
        <f t="shared" si="52"/>
        <v>4.0790437099712806E-3</v>
      </c>
      <c r="X407" s="14">
        <f t="shared" si="53"/>
        <v>5.6448373272304413E-3</v>
      </c>
    </row>
    <row r="408" spans="1:24" x14ac:dyDescent="0.25">
      <c r="A408" s="1">
        <v>45888.705555555556</v>
      </c>
      <c r="B408" s="2">
        <v>131.66999999999999</v>
      </c>
      <c r="C408" s="2">
        <v>396</v>
      </c>
      <c r="D408" s="2">
        <v>19.03</v>
      </c>
      <c r="F408" s="2">
        <f t="shared" si="49"/>
        <v>-2.0093770931011501E-2</v>
      </c>
      <c r="G408" s="2">
        <f t="shared" si="54"/>
        <v>6.2253843221953264E-3</v>
      </c>
      <c r="H408" s="2">
        <f t="shared" si="55"/>
        <v>5.282620179609232E-3</v>
      </c>
      <c r="O408" s="6">
        <f t="shared" si="50"/>
        <v>-2.0543000378525526E-2</v>
      </c>
      <c r="P408" s="6">
        <f t="shared" si="51"/>
        <v>5.1796406000448134E-3</v>
      </c>
      <c r="Q408" s="6">
        <f t="shared" si="52"/>
        <v>3.5168179809727251E-3</v>
      </c>
      <c r="X408" s="14">
        <f t="shared" si="53"/>
        <v>-6.2071174842738448E-3</v>
      </c>
    </row>
    <row r="409" spans="1:24" x14ac:dyDescent="0.25">
      <c r="A409" s="1">
        <v>45889.705555555556</v>
      </c>
      <c r="B409" s="2">
        <v>131.80000000000001</v>
      </c>
      <c r="C409" s="2">
        <v>392.52</v>
      </c>
      <c r="D409" s="2">
        <v>19.14</v>
      </c>
      <c r="F409" s="2">
        <f t="shared" si="49"/>
        <v>9.8731677679064767E-4</v>
      </c>
      <c r="G409" s="2">
        <f t="shared" si="54"/>
        <v>-8.787878787878789E-3</v>
      </c>
      <c r="H409" s="2">
        <f t="shared" si="55"/>
        <v>5.7803468208093012E-3</v>
      </c>
      <c r="O409" s="6">
        <f t="shared" si="50"/>
        <v>5.3808732927662119E-4</v>
      </c>
      <c r="P409" s="6">
        <f t="shared" si="51"/>
        <v>-9.833622510029302E-3</v>
      </c>
      <c r="Q409" s="6">
        <f t="shared" si="52"/>
        <v>4.0145446221727943E-3</v>
      </c>
      <c r="X409" s="14">
        <f t="shared" si="53"/>
        <v>-1.6183638309356632E-3</v>
      </c>
    </row>
    <row r="410" spans="1:24" x14ac:dyDescent="0.25">
      <c r="A410" s="1">
        <v>45890.705555555556</v>
      </c>
      <c r="B410" s="2">
        <v>131.66</v>
      </c>
      <c r="C410" s="2">
        <v>392.08</v>
      </c>
      <c r="D410" s="2">
        <v>19.11</v>
      </c>
      <c r="F410" s="2">
        <f t="shared" si="49"/>
        <v>-1.0622154779971194E-3</v>
      </c>
      <c r="G410" s="2">
        <f t="shared" si="54"/>
        <v>-1.1209619891979772E-3</v>
      </c>
      <c r="H410" s="2">
        <f t="shared" si="55"/>
        <v>-1.5673981191223207E-3</v>
      </c>
      <c r="O410" s="6">
        <f t="shared" si="50"/>
        <v>-1.5114449255111458E-3</v>
      </c>
      <c r="P410" s="6">
        <f t="shared" si="51"/>
        <v>-2.1667057113484902E-3</v>
      </c>
      <c r="Q410" s="6">
        <f t="shared" si="52"/>
        <v>-3.3332003177588276E-3</v>
      </c>
      <c r="X410" s="14">
        <f t="shared" si="53"/>
        <v>-2.2090824012827048E-3</v>
      </c>
    </row>
    <row r="411" spans="1:24" x14ac:dyDescent="0.25">
      <c r="A411" s="1">
        <v>45891.705555555556</v>
      </c>
      <c r="B411" s="2">
        <v>134.99</v>
      </c>
      <c r="C411" s="2">
        <v>394.1</v>
      </c>
      <c r="D411" s="2">
        <v>19.11</v>
      </c>
      <c r="F411" s="2">
        <f t="shared" si="49"/>
        <v>2.5292419869360483E-2</v>
      </c>
      <c r="G411" s="2">
        <f t="shared" si="54"/>
        <v>5.1520097939197207E-3</v>
      </c>
      <c r="H411" s="2">
        <f t="shared" si="55"/>
        <v>0</v>
      </c>
      <c r="O411" s="6">
        <f t="shared" si="50"/>
        <v>2.4843190421846458E-2</v>
      </c>
      <c r="P411" s="6">
        <f t="shared" si="51"/>
        <v>4.1062660717692077E-3</v>
      </c>
      <c r="Q411" s="6">
        <f t="shared" si="52"/>
        <v>-1.7658021986365069E-3</v>
      </c>
      <c r="X411" s="14">
        <f t="shared" si="53"/>
        <v>1.1302456262765609E-2</v>
      </c>
    </row>
    <row r="412" spans="1:24" x14ac:dyDescent="0.25">
      <c r="A412" s="1">
        <v>45894.705555555556</v>
      </c>
      <c r="B412" s="2">
        <v>135.12</v>
      </c>
      <c r="C412" s="2">
        <v>391.45</v>
      </c>
      <c r="D412" s="2">
        <v>19.05</v>
      </c>
      <c r="F412" s="2">
        <f t="shared" si="49"/>
        <v>9.6303429883692893E-4</v>
      </c>
      <c r="G412" s="2">
        <f t="shared" si="54"/>
        <v>-6.7241816797768417E-3</v>
      </c>
      <c r="H412" s="2">
        <f t="shared" si="55"/>
        <v>-3.1397174254316207E-3</v>
      </c>
      <c r="O412" s="6">
        <f t="shared" si="50"/>
        <v>5.1380485132290245E-4</v>
      </c>
      <c r="P412" s="6">
        <f t="shared" si="51"/>
        <v>-7.7699254019273547E-3</v>
      </c>
      <c r="Q412" s="6">
        <f t="shared" si="52"/>
        <v>-4.9055196240681276E-3</v>
      </c>
      <c r="X412" s="14">
        <f t="shared" si="53"/>
        <v>-3.4624610156463445E-3</v>
      </c>
    </row>
    <row r="413" spans="1:24" x14ac:dyDescent="0.25">
      <c r="A413" s="1">
        <v>45895.705555555556</v>
      </c>
      <c r="B413" s="2">
        <v>134.88</v>
      </c>
      <c r="C413" s="2">
        <v>394.13</v>
      </c>
      <c r="D413" s="2">
        <v>19.23</v>
      </c>
      <c r="F413" s="2">
        <f t="shared" si="49"/>
        <v>-1.776198934280715E-3</v>
      </c>
      <c r="G413" s="2">
        <f t="shared" si="54"/>
        <v>6.8463405288032853E-3</v>
      </c>
      <c r="H413" s="2">
        <f t="shared" si="55"/>
        <v>9.4488188976378229E-3</v>
      </c>
      <c r="O413" s="6">
        <f t="shared" si="50"/>
        <v>-2.2254283817947414E-3</v>
      </c>
      <c r="P413" s="6">
        <f t="shared" si="51"/>
        <v>5.8005968066527722E-3</v>
      </c>
      <c r="Q413" s="6">
        <f t="shared" si="52"/>
        <v>7.683016699001316E-3</v>
      </c>
      <c r="X413" s="14">
        <f t="shared" si="53"/>
        <v>2.9080438389896442E-3</v>
      </c>
    </row>
    <row r="414" spans="1:24" x14ac:dyDescent="0.25">
      <c r="A414" s="1">
        <v>45896.705555555556</v>
      </c>
      <c r="B414" s="2">
        <v>136.24</v>
      </c>
      <c r="C414" s="2">
        <v>394.25</v>
      </c>
      <c r="D414" s="2">
        <v>19.22</v>
      </c>
      <c r="F414" s="2">
        <f t="shared" si="49"/>
        <v>1.0083036773428367E-2</v>
      </c>
      <c r="G414" s="2">
        <f t="shared" si="54"/>
        <v>3.0446806891126776E-4</v>
      </c>
      <c r="H414" s="2">
        <f t="shared" si="55"/>
        <v>-5.2002080083213276E-4</v>
      </c>
      <c r="O414" s="6">
        <f t="shared" si="50"/>
        <v>9.6338073259143401E-3</v>
      </c>
      <c r="P414" s="6">
        <f t="shared" si="51"/>
        <v>-7.4127565323924547E-4</v>
      </c>
      <c r="Q414" s="6">
        <f t="shared" si="52"/>
        <v>-2.2858229994686396E-3</v>
      </c>
      <c r="X414" s="14">
        <f t="shared" si="53"/>
        <v>3.2423021057573073E-3</v>
      </c>
    </row>
    <row r="415" spans="1:24" x14ac:dyDescent="0.25">
      <c r="A415" s="1">
        <v>45897.705555555556</v>
      </c>
      <c r="B415" s="2">
        <v>138.04</v>
      </c>
      <c r="C415" s="2">
        <v>394.75</v>
      </c>
      <c r="D415" s="2">
        <v>19.309999999999999</v>
      </c>
      <c r="F415" s="2">
        <f t="shared" si="49"/>
        <v>1.3211978860833806E-2</v>
      </c>
      <c r="G415" s="2">
        <f t="shared" si="54"/>
        <v>1.2682308180089752E-3</v>
      </c>
      <c r="H415" s="2">
        <f t="shared" si="55"/>
        <v>4.6826222684703822E-3</v>
      </c>
      <c r="O415" s="6">
        <f t="shared" si="50"/>
        <v>1.276274941331978E-2</v>
      </c>
      <c r="P415" s="6">
        <f t="shared" si="51"/>
        <v>2.2248709585846196E-4</v>
      </c>
      <c r="Q415" s="6">
        <f t="shared" si="52"/>
        <v>2.9168200698338753E-3</v>
      </c>
      <c r="X415" s="14">
        <f t="shared" si="53"/>
        <v>6.2917672312931923E-3</v>
      </c>
    </row>
    <row r="416" spans="1:24" x14ac:dyDescent="0.25">
      <c r="A416" s="1">
        <v>45898.705555555556</v>
      </c>
      <c r="B416" s="2">
        <v>138.41</v>
      </c>
      <c r="C416" s="2">
        <v>393.85</v>
      </c>
      <c r="D416" s="2">
        <v>19.579999999999998</v>
      </c>
      <c r="F416" s="2">
        <f t="shared" si="49"/>
        <v>2.680382497826761E-3</v>
      </c>
      <c r="G416" s="2">
        <f t="shared" si="54"/>
        <v>-2.2799240025331846E-3</v>
      </c>
      <c r="H416" s="2">
        <f t="shared" si="55"/>
        <v>1.3982392542724043E-2</v>
      </c>
      <c r="O416" s="6">
        <f t="shared" si="50"/>
        <v>2.2311530503127345E-3</v>
      </c>
      <c r="P416" s="6">
        <f t="shared" si="51"/>
        <v>-3.3256677246836976E-3</v>
      </c>
      <c r="Q416" s="6">
        <f t="shared" si="52"/>
        <v>1.2216590344087536E-2</v>
      </c>
      <c r="X416" s="14">
        <f t="shared" si="53"/>
        <v>3.3096477115442035E-3</v>
      </c>
    </row>
    <row r="417" spans="1:24" x14ac:dyDescent="0.25">
      <c r="A417" s="1">
        <v>45901.705555555556</v>
      </c>
      <c r="B417" s="2">
        <v>138.32</v>
      </c>
      <c r="C417" s="2">
        <v>394.9</v>
      </c>
      <c r="D417" s="2">
        <v>19.66</v>
      </c>
      <c r="F417" s="2">
        <f t="shared" si="49"/>
        <v>-6.5024203453512008E-4</v>
      </c>
      <c r="G417" s="2">
        <f t="shared" si="54"/>
        <v>2.665989589945239E-3</v>
      </c>
      <c r="H417" s="2">
        <f t="shared" si="55"/>
        <v>4.0858018386109585E-3</v>
      </c>
      <c r="O417" s="6">
        <f t="shared" si="50"/>
        <v>-1.0994714820491466E-3</v>
      </c>
      <c r="P417" s="6">
        <f t="shared" si="51"/>
        <v>1.6202458677947258E-3</v>
      </c>
      <c r="Q417" s="6">
        <f t="shared" si="52"/>
        <v>2.3199996399744516E-3</v>
      </c>
      <c r="X417" s="14">
        <f t="shared" si="53"/>
        <v>6.5708416701053696E-4</v>
      </c>
    </row>
    <row r="418" spans="1:24" x14ac:dyDescent="0.25">
      <c r="A418" s="1">
        <v>45902.705555555556</v>
      </c>
      <c r="B418" s="2">
        <v>137.41</v>
      </c>
      <c r="C418" s="2">
        <v>394.7</v>
      </c>
      <c r="D418" s="2">
        <v>20.21</v>
      </c>
      <c r="F418" s="2">
        <f t="shared" si="49"/>
        <v>-6.5789473684210176E-3</v>
      </c>
      <c r="G418" s="2">
        <f t="shared" si="54"/>
        <v>-5.0645733096987833E-4</v>
      </c>
      <c r="H418" s="2">
        <f t="shared" si="55"/>
        <v>2.7975584944048837E-2</v>
      </c>
      <c r="O418" s="6">
        <f t="shared" si="50"/>
        <v>-7.0281768159350441E-3</v>
      </c>
      <c r="P418" s="6">
        <f t="shared" si="51"/>
        <v>-1.5522010531203916E-3</v>
      </c>
      <c r="Q418" s="6">
        <f t="shared" si="52"/>
        <v>2.620978274541233E-2</v>
      </c>
      <c r="X418" s="14">
        <f t="shared" si="53"/>
        <v>3.7558318697885626E-3</v>
      </c>
    </row>
    <row r="419" spans="1:24" x14ac:dyDescent="0.25">
      <c r="A419" s="1">
        <v>45903.705555555556</v>
      </c>
      <c r="B419" s="2">
        <v>136.93</v>
      </c>
      <c r="C419" s="2">
        <v>395.15</v>
      </c>
      <c r="D419" s="2">
        <v>20.29</v>
      </c>
      <c r="F419" s="2">
        <f t="shared" si="49"/>
        <v>-3.4931955461755537E-3</v>
      </c>
      <c r="G419" s="2">
        <f t="shared" si="54"/>
        <v>1.1401064099316738E-3</v>
      </c>
      <c r="H419" s="2">
        <f t="shared" si="55"/>
        <v>3.9584364176150633E-3</v>
      </c>
      <c r="O419" s="6">
        <f t="shared" si="50"/>
        <v>-3.9424249936895802E-3</v>
      </c>
      <c r="P419" s="6">
        <f t="shared" si="51"/>
        <v>9.4362687781160545E-5</v>
      </c>
      <c r="Q419" s="6">
        <f t="shared" si="52"/>
        <v>2.1926342189785564E-3</v>
      </c>
      <c r="X419" s="14">
        <f t="shared" si="53"/>
        <v>-1.0438149743084643E-3</v>
      </c>
    </row>
    <row r="420" spans="1:24" x14ac:dyDescent="0.25">
      <c r="A420" s="1">
        <v>45904.705555555556</v>
      </c>
      <c r="B420" s="2">
        <v>138.01</v>
      </c>
      <c r="C420" s="2">
        <v>397.95</v>
      </c>
      <c r="D420" s="2">
        <v>20.2</v>
      </c>
      <c r="F420" s="2">
        <f t="shared" si="49"/>
        <v>7.8872416563207093E-3</v>
      </c>
      <c r="G420" s="2">
        <f t="shared" si="54"/>
        <v>7.0859167404784262E-3</v>
      </c>
      <c r="H420" s="2">
        <f t="shared" si="55"/>
        <v>-4.4356826022671214E-3</v>
      </c>
      <c r="O420" s="6">
        <f t="shared" si="50"/>
        <v>7.4380122088066828E-3</v>
      </c>
      <c r="P420" s="6">
        <f t="shared" si="51"/>
        <v>6.0401730183279132E-3</v>
      </c>
      <c r="Q420" s="6">
        <f t="shared" si="52"/>
        <v>-6.2014848009036283E-3</v>
      </c>
      <c r="X420" s="14">
        <f t="shared" si="53"/>
        <v>3.2675610026586172E-3</v>
      </c>
    </row>
    <row r="421" spans="1:24" x14ac:dyDescent="0.25">
      <c r="A421" s="1">
        <v>45905.705555555556</v>
      </c>
      <c r="B421" s="2">
        <v>139.62</v>
      </c>
      <c r="C421" s="2">
        <v>394.2</v>
      </c>
      <c r="D421" s="2">
        <v>20.329999999999998</v>
      </c>
      <c r="F421" s="2">
        <f t="shared" si="49"/>
        <v>1.1665821317295988E-2</v>
      </c>
      <c r="G421" s="2">
        <f t="shared" si="54"/>
        <v>-9.423294383716585E-3</v>
      </c>
      <c r="H421" s="2">
        <f t="shared" si="55"/>
        <v>6.4356435643564414E-3</v>
      </c>
      <c r="O421" s="6">
        <f t="shared" si="50"/>
        <v>1.1216591869781961E-2</v>
      </c>
      <c r="P421" s="6">
        <f t="shared" si="51"/>
        <v>-1.0469038105867098E-2</v>
      </c>
      <c r="Q421" s="6">
        <f t="shared" si="52"/>
        <v>4.6698413657199345E-3</v>
      </c>
      <c r="X421" s="14">
        <f t="shared" si="53"/>
        <v>2.9084253726307809E-3</v>
      </c>
    </row>
    <row r="422" spans="1:24" x14ac:dyDescent="0.25">
      <c r="A422" s="1">
        <v>45908.705555555556</v>
      </c>
      <c r="B422" s="2">
        <v>138.82</v>
      </c>
      <c r="C422" s="2">
        <v>395.65</v>
      </c>
      <c r="D422" s="2">
        <v>20.56</v>
      </c>
      <c r="F422" s="2">
        <f t="shared" si="49"/>
        <v>-5.7298381320728398E-3</v>
      </c>
      <c r="G422" s="2">
        <f t="shared" si="54"/>
        <v>3.678335870116678E-3</v>
      </c>
      <c r="H422" s="2">
        <f t="shared" si="55"/>
        <v>1.1313330054107285E-2</v>
      </c>
      <c r="O422" s="6">
        <f t="shared" si="50"/>
        <v>-6.1790675795868662E-3</v>
      </c>
      <c r="P422" s="6">
        <f t="shared" si="51"/>
        <v>2.6325921479661649E-3</v>
      </c>
      <c r="Q422" s="6">
        <f t="shared" si="52"/>
        <v>9.5475278554707776E-3</v>
      </c>
      <c r="X422" s="14">
        <f t="shared" si="53"/>
        <v>7.9020586058226473E-4</v>
      </c>
    </row>
    <row r="423" spans="1:24" x14ac:dyDescent="0.25">
      <c r="A423" s="1">
        <v>45909.705555555556</v>
      </c>
      <c r="B423" s="2">
        <v>138.63999999999999</v>
      </c>
      <c r="C423" s="2">
        <v>397.85</v>
      </c>
      <c r="D423" s="2">
        <v>20.59</v>
      </c>
      <c r="F423" s="2">
        <f t="shared" si="49"/>
        <v>-1.2966431349950014E-3</v>
      </c>
      <c r="G423" s="2">
        <f t="shared" si="54"/>
        <v>5.5604701124731815E-3</v>
      </c>
      <c r="H423" s="2">
        <f t="shared" si="55"/>
        <v>1.4591439688715901E-3</v>
      </c>
      <c r="O423" s="6">
        <f t="shared" si="50"/>
        <v>-1.7458725825090279E-3</v>
      </c>
      <c r="P423" s="6">
        <f t="shared" si="51"/>
        <v>4.5147263903226684E-3</v>
      </c>
      <c r="Q423" s="6">
        <f t="shared" si="52"/>
        <v>-3.0665822976491675E-4</v>
      </c>
      <c r="X423" s="14">
        <f t="shared" si="53"/>
        <v>5.2869997189048019E-4</v>
      </c>
    </row>
    <row r="424" spans="1:24" x14ac:dyDescent="0.25">
      <c r="A424" s="1">
        <v>45910.705555555556</v>
      </c>
      <c r="B424" s="2">
        <v>139.34</v>
      </c>
      <c r="C424" s="2">
        <v>396.91</v>
      </c>
      <c r="D424" s="2">
        <v>20.57</v>
      </c>
      <c r="F424" s="2">
        <f t="shared" si="49"/>
        <v>5.0490478938258754E-3</v>
      </c>
      <c r="G424" s="2">
        <f t="shared" si="54"/>
        <v>-2.3626995098655623E-3</v>
      </c>
      <c r="H424" s="2">
        <f t="shared" si="55"/>
        <v>-9.7134531325882012E-4</v>
      </c>
      <c r="O424" s="6">
        <f t="shared" si="50"/>
        <v>4.5998184463118489E-3</v>
      </c>
      <c r="P424" s="6">
        <f t="shared" si="51"/>
        <v>-3.4084432320160753E-3</v>
      </c>
      <c r="Q424" s="6">
        <f t="shared" si="52"/>
        <v>-2.737147511895327E-3</v>
      </c>
      <c r="X424" s="14">
        <f t="shared" si="53"/>
        <v>1.7885339234153131E-4</v>
      </c>
    </row>
    <row r="425" spans="1:24" x14ac:dyDescent="0.25">
      <c r="A425" s="1">
        <v>45911.705555555556</v>
      </c>
      <c r="B425" s="2">
        <v>140.13</v>
      </c>
      <c r="C425" s="2">
        <v>399.1</v>
      </c>
      <c r="D425" s="2">
        <v>20.48</v>
      </c>
      <c r="F425" s="2">
        <f t="shared" si="49"/>
        <v>5.6695851873116432E-3</v>
      </c>
      <c r="G425" s="2">
        <f t="shared" si="54"/>
        <v>5.5176236426393022E-3</v>
      </c>
      <c r="H425" s="2">
        <f t="shared" si="55"/>
        <v>-4.3753038405445199E-3</v>
      </c>
      <c r="O425" s="6">
        <f t="shared" si="50"/>
        <v>5.2203557397976167E-3</v>
      </c>
      <c r="P425" s="6">
        <f t="shared" si="51"/>
        <v>4.4718799204887891E-3</v>
      </c>
      <c r="Q425" s="6">
        <f t="shared" si="52"/>
        <v>-6.1411060391810268E-3</v>
      </c>
      <c r="X425" s="14">
        <f t="shared" si="53"/>
        <v>1.8712526655685633E-3</v>
      </c>
    </row>
    <row r="426" spans="1:24" x14ac:dyDescent="0.25">
      <c r="A426" s="1">
        <v>45912.705555555556</v>
      </c>
      <c r="B426" s="2">
        <v>139.29</v>
      </c>
      <c r="C426" s="2">
        <v>396.1</v>
      </c>
      <c r="D426" s="2">
        <v>20.38</v>
      </c>
      <c r="F426" s="2">
        <f t="shared" si="49"/>
        <v>-5.9944337400985592E-3</v>
      </c>
      <c r="G426" s="2">
        <f t="shared" si="54"/>
        <v>-7.5169130543722984E-3</v>
      </c>
      <c r="H426" s="2">
        <f t="shared" si="55"/>
        <v>-4.882812500000111E-3</v>
      </c>
      <c r="O426" s="6">
        <f t="shared" si="50"/>
        <v>-6.4436631876125857E-3</v>
      </c>
      <c r="P426" s="6">
        <f t="shared" si="51"/>
        <v>-8.5626567765228114E-3</v>
      </c>
      <c r="Q426" s="6">
        <f t="shared" si="52"/>
        <v>-6.6486146986366179E-3</v>
      </c>
      <c r="X426" s="14">
        <f t="shared" si="53"/>
        <v>-7.1359268692486894E-3</v>
      </c>
    </row>
    <row r="427" spans="1:24" x14ac:dyDescent="0.25">
      <c r="A427" s="1">
        <v>45915.705555555556</v>
      </c>
      <c r="B427" s="2">
        <v>140.51</v>
      </c>
      <c r="C427" s="2">
        <v>395.5</v>
      </c>
      <c r="D427" s="2">
        <v>20.47</v>
      </c>
      <c r="F427" s="2">
        <f t="shared" si="49"/>
        <v>8.7587048603632311E-3</v>
      </c>
      <c r="G427" s="2">
        <f t="shared" si="54"/>
        <v>-1.5147689977279555E-3</v>
      </c>
      <c r="H427" s="2">
        <f t="shared" si="55"/>
        <v>4.4160942100097689E-3</v>
      </c>
      <c r="O427" s="6">
        <f t="shared" si="50"/>
        <v>8.3094754128492047E-3</v>
      </c>
      <c r="P427" s="6">
        <f t="shared" si="51"/>
        <v>-2.5605127198784685E-3</v>
      </c>
      <c r="Q427" s="6">
        <f t="shared" si="52"/>
        <v>2.650292011373262E-3</v>
      </c>
      <c r="X427" s="14">
        <f t="shared" si="53"/>
        <v>3.4911221454073799E-3</v>
      </c>
    </row>
    <row r="428" spans="1:24" x14ac:dyDescent="0.25">
      <c r="A428" s="1">
        <v>45916.705555555556</v>
      </c>
      <c r="B428" s="2">
        <v>141.02000000000001</v>
      </c>
      <c r="C428" s="2">
        <v>393.13</v>
      </c>
      <c r="D428" s="2">
        <v>20.39</v>
      </c>
      <c r="F428" s="2">
        <f t="shared" si="49"/>
        <v>3.629634901430645E-3</v>
      </c>
      <c r="G428" s="2">
        <f t="shared" si="54"/>
        <v>-5.9924146649810162E-3</v>
      </c>
      <c r="H428" s="2">
        <f t="shared" si="55"/>
        <v>-3.9081582804102455E-3</v>
      </c>
      <c r="O428" s="6">
        <f t="shared" si="50"/>
        <v>3.1804054539166186E-3</v>
      </c>
      <c r="P428" s="6">
        <f t="shared" si="51"/>
        <v>-7.0381583871315292E-3</v>
      </c>
      <c r="Q428" s="6">
        <f t="shared" si="52"/>
        <v>-5.6739604790467524E-3</v>
      </c>
      <c r="X428" s="14">
        <f t="shared" si="53"/>
        <v>-2.3211579351782616E-3</v>
      </c>
    </row>
    <row r="429" spans="1:24" x14ac:dyDescent="0.25">
      <c r="A429" s="1">
        <v>45917.705555555556</v>
      </c>
      <c r="B429" s="2">
        <v>142.51</v>
      </c>
      <c r="C429" s="2">
        <v>392.93</v>
      </c>
      <c r="D429" s="2">
        <v>20.25</v>
      </c>
      <c r="F429" s="2">
        <f t="shared" si="49"/>
        <v>1.0565877180541694E-2</v>
      </c>
      <c r="G429" s="2">
        <f t="shared" si="54"/>
        <v>-5.0873756772562562E-4</v>
      </c>
      <c r="H429" s="2">
        <f t="shared" si="55"/>
        <v>-6.8661108386464109E-3</v>
      </c>
      <c r="O429" s="6">
        <f t="shared" si="50"/>
        <v>1.0116647733027668E-2</v>
      </c>
      <c r="P429" s="6">
        <f t="shared" si="51"/>
        <v>-1.5544812898761389E-3</v>
      </c>
      <c r="Q429" s="6">
        <f t="shared" si="52"/>
        <v>-8.6319130372829178E-3</v>
      </c>
      <c r="X429" s="14">
        <f t="shared" si="53"/>
        <v>1.4581968434958419E-3</v>
      </c>
    </row>
    <row r="430" spans="1:24" x14ac:dyDescent="0.25">
      <c r="A430" s="1">
        <v>45918.705555555556</v>
      </c>
      <c r="B430" s="2">
        <v>142.44</v>
      </c>
      <c r="C430" s="2">
        <v>396.15</v>
      </c>
      <c r="D430" s="2">
        <v>20.25</v>
      </c>
      <c r="F430" s="2">
        <f t="shared" si="49"/>
        <v>-4.9119360044902471E-4</v>
      </c>
      <c r="G430" s="2">
        <f t="shared" si="54"/>
        <v>8.1948438653194344E-3</v>
      </c>
      <c r="H430" s="2">
        <f t="shared" si="55"/>
        <v>0</v>
      </c>
      <c r="O430" s="6">
        <f t="shared" si="50"/>
        <v>-9.4042304796305119E-4</v>
      </c>
      <c r="P430" s="6">
        <f t="shared" si="51"/>
        <v>7.1491001431689214E-3</v>
      </c>
      <c r="Q430" s="6">
        <f t="shared" si="52"/>
        <v>-1.7658021986365069E-3</v>
      </c>
      <c r="X430" s="14">
        <f t="shared" si="53"/>
        <v>1.2602209157928658E-3</v>
      </c>
    </row>
    <row r="431" spans="1:24" x14ac:dyDescent="0.25">
      <c r="A431" s="1">
        <v>45919.705555555556</v>
      </c>
      <c r="B431" s="2">
        <v>142.79</v>
      </c>
      <c r="C431" s="2">
        <v>398.05</v>
      </c>
      <c r="D431" s="2">
        <v>20.45</v>
      </c>
      <c r="F431" s="2">
        <f t="shared" si="49"/>
        <v>2.4571749508564E-3</v>
      </c>
      <c r="G431" s="2">
        <f t="shared" si="54"/>
        <v>4.7961630695445567E-3</v>
      </c>
      <c r="H431" s="2">
        <f t="shared" si="55"/>
        <v>9.8765432098764094E-3</v>
      </c>
      <c r="O431" s="6">
        <f t="shared" si="50"/>
        <v>2.0079455033423736E-3</v>
      </c>
      <c r="P431" s="6">
        <f t="shared" si="51"/>
        <v>3.7504193473940437E-3</v>
      </c>
      <c r="Q431" s="6">
        <f t="shared" si="52"/>
        <v>8.1107410112399025E-3</v>
      </c>
      <c r="X431" s="14">
        <f t="shared" si="53"/>
        <v>4.2091694896220101E-3</v>
      </c>
    </row>
    <row r="432" spans="1:24" x14ac:dyDescent="0.25">
      <c r="A432" s="1">
        <v>45922.705555555556</v>
      </c>
      <c r="B432" s="2">
        <v>142.06</v>
      </c>
      <c r="C432" s="2">
        <v>401.42</v>
      </c>
      <c r="D432" s="2">
        <v>20.9</v>
      </c>
      <c r="F432" s="2">
        <f t="shared" si="49"/>
        <v>-5.1124028293296764E-3</v>
      </c>
      <c r="G432" s="2">
        <f t="shared" si="54"/>
        <v>8.4662730812712361E-3</v>
      </c>
      <c r="H432" s="2">
        <f t="shared" si="55"/>
        <v>2.2004889975550057E-2</v>
      </c>
      <c r="O432" s="6">
        <f t="shared" si="50"/>
        <v>-5.5616322768437029E-3</v>
      </c>
      <c r="P432" s="6">
        <f t="shared" si="51"/>
        <v>7.4205293591207231E-3</v>
      </c>
      <c r="Q432" s="6">
        <f t="shared" si="52"/>
        <v>2.023908777691355E-2</v>
      </c>
      <c r="X432" s="14">
        <f t="shared" si="53"/>
        <v>5.4296513212793024E-3</v>
      </c>
    </row>
    <row r="433" spans="1:24" x14ac:dyDescent="0.25">
      <c r="A433" s="1">
        <v>45923.705555555556</v>
      </c>
      <c r="B433" s="2">
        <v>143.38</v>
      </c>
      <c r="C433" s="2">
        <v>394.91</v>
      </c>
      <c r="D433" s="2">
        <v>20.75</v>
      </c>
      <c r="F433" s="2">
        <f t="shared" si="49"/>
        <v>9.2918485147119867E-3</v>
      </c>
      <c r="G433" s="2">
        <f t="shared" si="54"/>
        <v>-1.6217428130137934E-2</v>
      </c>
      <c r="H433" s="2">
        <f t="shared" si="55"/>
        <v>-7.1770334928229484E-3</v>
      </c>
      <c r="O433" s="6">
        <f t="shared" si="50"/>
        <v>8.8426190671979602E-3</v>
      </c>
      <c r="P433" s="6">
        <f t="shared" si="51"/>
        <v>-1.7263171852288449E-2</v>
      </c>
      <c r="Q433" s="6">
        <f t="shared" si="52"/>
        <v>-8.9428356914594553E-3</v>
      </c>
      <c r="X433" s="14">
        <f t="shared" si="53"/>
        <v>-3.8827474449106918E-3</v>
      </c>
    </row>
    <row r="434" spans="1:24" x14ac:dyDescent="0.25">
      <c r="A434" s="1">
        <v>45924.705555555556</v>
      </c>
      <c r="B434" s="2">
        <v>143.15</v>
      </c>
      <c r="C434" s="2">
        <v>396.5</v>
      </c>
      <c r="D434" s="2">
        <v>20.74</v>
      </c>
      <c r="F434" s="2">
        <f t="shared" si="49"/>
        <v>-1.6041288882688853E-3</v>
      </c>
      <c r="G434" s="2">
        <f t="shared" si="54"/>
        <v>4.026233825428438E-3</v>
      </c>
      <c r="H434" s="2">
        <f t="shared" si="55"/>
        <v>-4.8192771084343278E-4</v>
      </c>
      <c r="O434" s="6">
        <f t="shared" si="50"/>
        <v>-2.0533583357829118E-3</v>
      </c>
      <c r="P434" s="6">
        <f t="shared" si="51"/>
        <v>2.980490103277925E-3</v>
      </c>
      <c r="Q434" s="6">
        <f t="shared" si="52"/>
        <v>-2.2477299094799397E-3</v>
      </c>
      <c r="X434" s="14">
        <f t="shared" si="53"/>
        <v>-5.9617671953306574E-4</v>
      </c>
    </row>
    <row r="435" spans="1:24" x14ac:dyDescent="0.25">
      <c r="A435" s="1">
        <v>45925.705555555556</v>
      </c>
      <c r="B435" s="2">
        <v>142.28</v>
      </c>
      <c r="C435" s="2">
        <v>396.5</v>
      </c>
      <c r="D435" s="2">
        <v>20.74</v>
      </c>
      <c r="F435" s="2">
        <f t="shared" si="49"/>
        <v>-6.0775410408662189E-3</v>
      </c>
      <c r="G435" s="2">
        <f t="shared" si="54"/>
        <v>0</v>
      </c>
      <c r="H435" s="2">
        <f t="shared" si="55"/>
        <v>0</v>
      </c>
      <c r="O435" s="6">
        <f t="shared" si="50"/>
        <v>-6.5267704883802454E-3</v>
      </c>
      <c r="P435" s="6">
        <f t="shared" si="51"/>
        <v>-1.0457437221505132E-3</v>
      </c>
      <c r="Q435" s="6">
        <f t="shared" si="52"/>
        <v>-1.7658021986365069E-3</v>
      </c>
      <c r="X435" s="14">
        <f t="shared" si="53"/>
        <v>-3.5726363213220693E-3</v>
      </c>
    </row>
    <row r="436" spans="1:24" x14ac:dyDescent="0.25">
      <c r="A436" s="1">
        <v>45926.705555555556</v>
      </c>
      <c r="B436" s="2">
        <v>142.4</v>
      </c>
      <c r="C436" s="2">
        <v>398.25</v>
      </c>
      <c r="D436" s="2">
        <v>21</v>
      </c>
      <c r="F436" s="2">
        <f t="shared" si="49"/>
        <v>8.4340736575772013E-4</v>
      </c>
      <c r="G436" s="2">
        <f t="shared" si="54"/>
        <v>4.4136191677175418E-3</v>
      </c>
      <c r="H436" s="2">
        <f t="shared" si="55"/>
        <v>1.2536162005786E-2</v>
      </c>
      <c r="O436" s="6">
        <f t="shared" si="50"/>
        <v>3.941779182436937E-4</v>
      </c>
      <c r="P436" s="6">
        <f t="shared" si="51"/>
        <v>3.3678754455670288E-3</v>
      </c>
      <c r="Q436" s="6">
        <f t="shared" si="52"/>
        <v>1.0770359807149493E-2</v>
      </c>
      <c r="X436" s="14">
        <f t="shared" si="53"/>
        <v>4.1401005206178031E-3</v>
      </c>
    </row>
    <row r="437" spans="1:24" x14ac:dyDescent="0.25">
      <c r="A437" s="1">
        <v>45929.705555555556</v>
      </c>
      <c r="B437" s="2">
        <v>143.27000000000001</v>
      </c>
      <c r="C437" s="2">
        <v>398</v>
      </c>
      <c r="D437" s="2">
        <v>21.28</v>
      </c>
      <c r="F437" s="2">
        <f t="shared" si="49"/>
        <v>6.1095505617978496E-3</v>
      </c>
      <c r="G437" s="2">
        <f t="shared" si="54"/>
        <v>-6.2774639045826142E-4</v>
      </c>
      <c r="H437" s="2">
        <f t="shared" si="55"/>
        <v>1.3333333333333419E-2</v>
      </c>
      <c r="O437" s="6">
        <f t="shared" si="50"/>
        <v>5.6603211142838231E-3</v>
      </c>
      <c r="P437" s="6">
        <f t="shared" si="51"/>
        <v>-1.6734901126087747E-3</v>
      </c>
      <c r="Q437" s="6">
        <f t="shared" si="52"/>
        <v>1.1567531134696912E-2</v>
      </c>
      <c r="X437" s="14">
        <f t="shared" si="53"/>
        <v>5.0840052524265779E-3</v>
      </c>
    </row>
    <row r="438" spans="1:24" x14ac:dyDescent="0.25">
      <c r="A438" s="1">
        <v>45930.705555555556</v>
      </c>
      <c r="B438" s="2">
        <v>143.21</v>
      </c>
      <c r="C438" s="2">
        <v>399.8</v>
      </c>
      <c r="D438" s="2">
        <v>21.46</v>
      </c>
      <c r="F438" s="2">
        <f t="shared" si="49"/>
        <v>-4.1878969777342512E-4</v>
      </c>
      <c r="G438" s="2">
        <f t="shared" si="54"/>
        <v>4.5226130653266416E-3</v>
      </c>
      <c r="H438" s="2">
        <f t="shared" si="55"/>
        <v>8.4586466165412766E-3</v>
      </c>
      <c r="O438" s="6">
        <f t="shared" si="50"/>
        <v>-8.680191452874516E-4</v>
      </c>
      <c r="P438" s="6">
        <f t="shared" si="51"/>
        <v>3.4768693431761286E-3</v>
      </c>
      <c r="Q438" s="6">
        <f t="shared" si="52"/>
        <v>6.6928444179047697E-3</v>
      </c>
      <c r="X438" s="14">
        <f t="shared" si="53"/>
        <v>2.5151576375441287E-3</v>
      </c>
    </row>
    <row r="439" spans="1:24" x14ac:dyDescent="0.25">
      <c r="A439" s="1">
        <v>45931.705555555556</v>
      </c>
      <c r="B439" s="2">
        <v>142.52000000000001</v>
      </c>
      <c r="C439" s="2">
        <v>401.45</v>
      </c>
      <c r="D439" s="2">
        <v>21.52</v>
      </c>
      <c r="F439" s="2">
        <f t="shared" si="49"/>
        <v>-4.8180992947419732E-3</v>
      </c>
      <c r="G439" s="2">
        <f t="shared" si="54"/>
        <v>4.12706353176584E-3</v>
      </c>
      <c r="H439" s="2">
        <f t="shared" si="55"/>
        <v>2.7958993476233651E-3</v>
      </c>
      <c r="O439" s="6">
        <f t="shared" si="50"/>
        <v>-5.2673287422559997E-3</v>
      </c>
      <c r="P439" s="6">
        <f t="shared" si="51"/>
        <v>3.0813198096153269E-3</v>
      </c>
      <c r="Q439" s="6">
        <f t="shared" si="52"/>
        <v>1.0300971489868582E-3</v>
      </c>
      <c r="X439" s="14">
        <f t="shared" si="53"/>
        <v>-1.0300965834209434E-3</v>
      </c>
    </row>
    <row r="440" spans="1:24" x14ac:dyDescent="0.25">
      <c r="A440" s="1">
        <v>45932.705555555556</v>
      </c>
      <c r="B440" s="2">
        <v>140.99</v>
      </c>
      <c r="C440" s="2">
        <v>402.8</v>
      </c>
      <c r="D440" s="2">
        <v>21.48</v>
      </c>
      <c r="F440" s="2">
        <f t="shared" si="49"/>
        <v>-1.0735335391524048E-2</v>
      </c>
      <c r="G440" s="2">
        <f t="shared" si="54"/>
        <v>3.3628098144227181E-3</v>
      </c>
      <c r="H440" s="2">
        <f t="shared" si="55"/>
        <v>-1.8587360594795044E-3</v>
      </c>
      <c r="O440" s="6">
        <f t="shared" si="50"/>
        <v>-1.1184564839038074E-2</v>
      </c>
      <c r="P440" s="6">
        <f t="shared" si="51"/>
        <v>2.3170660922722051E-3</v>
      </c>
      <c r="Q440" s="6">
        <f t="shared" si="52"/>
        <v>-3.6245382581160113E-3</v>
      </c>
      <c r="X440" s="14">
        <f t="shared" si="53"/>
        <v>-5.0537209932920556E-3</v>
      </c>
    </row>
    <row r="441" spans="1:24" x14ac:dyDescent="0.25">
      <c r="A441" s="1">
        <v>45933.705555555556</v>
      </c>
      <c r="B441" s="2">
        <v>141.22</v>
      </c>
      <c r="C441" s="2">
        <v>402.4</v>
      </c>
      <c r="D441" s="2">
        <v>21.65</v>
      </c>
      <c r="F441" s="2">
        <f t="shared" si="49"/>
        <v>1.6313213703098572E-3</v>
      </c>
      <c r="G441" s="2">
        <f t="shared" si="54"/>
        <v>-9.9304865938443232E-4</v>
      </c>
      <c r="H441" s="2">
        <f t="shared" si="55"/>
        <v>7.9143389199254344E-3</v>
      </c>
      <c r="O441" s="6">
        <f t="shared" si="50"/>
        <v>1.1820919227958308E-3</v>
      </c>
      <c r="P441" s="6">
        <f t="shared" si="51"/>
        <v>-2.0387923815349453E-3</v>
      </c>
      <c r="Q441" s="6">
        <f t="shared" si="52"/>
        <v>6.1485367212889275E-3</v>
      </c>
      <c r="X441" s="14">
        <f t="shared" si="53"/>
        <v>1.581329311113835E-3</v>
      </c>
    </row>
    <row r="442" spans="1:24" x14ac:dyDescent="0.25">
      <c r="A442" s="1">
        <v>45936.705555555556</v>
      </c>
      <c r="B442" s="2">
        <v>140.65</v>
      </c>
      <c r="C442" s="2">
        <v>402</v>
      </c>
      <c r="D442" s="2">
        <v>21.95</v>
      </c>
      <c r="F442" s="2">
        <f t="shared" si="49"/>
        <v>-4.036255487891216E-3</v>
      </c>
      <c r="G442" s="2">
        <f t="shared" si="54"/>
        <v>-9.9403578528822756E-4</v>
      </c>
      <c r="H442" s="2">
        <f t="shared" si="55"/>
        <v>1.3856812933025431E-2</v>
      </c>
      <c r="O442" s="6">
        <f t="shared" si="50"/>
        <v>-4.4854849354052425E-3</v>
      </c>
      <c r="P442" s="6">
        <f t="shared" si="51"/>
        <v>-2.0397795074387406E-3</v>
      </c>
      <c r="Q442" s="6">
        <f t="shared" si="52"/>
        <v>1.2091010734388924E-2</v>
      </c>
      <c r="X442" s="14">
        <f t="shared" si="53"/>
        <v>8.0712330197064801E-4</v>
      </c>
    </row>
    <row r="443" spans="1:24" x14ac:dyDescent="0.25">
      <c r="A443" s="1">
        <v>45937.705555555556</v>
      </c>
      <c r="B443" s="2">
        <v>138.47</v>
      </c>
      <c r="C443" s="2">
        <v>403.73</v>
      </c>
      <c r="D443" s="2">
        <v>22.22</v>
      </c>
      <c r="F443" s="2">
        <f t="shared" si="49"/>
        <v>-1.5499466761464631E-2</v>
      </c>
      <c r="G443" s="2">
        <f t="shared" si="54"/>
        <v>4.3034825870646998E-3</v>
      </c>
      <c r="H443" s="2">
        <f t="shared" si="55"/>
        <v>1.2300683371298415E-2</v>
      </c>
      <c r="O443" s="6">
        <f t="shared" si="50"/>
        <v>-1.5948696208978656E-2</v>
      </c>
      <c r="P443" s="6">
        <f t="shared" si="51"/>
        <v>3.2577388649141868E-3</v>
      </c>
      <c r="Q443" s="6">
        <f t="shared" si="52"/>
        <v>1.0534881172661908E-2</v>
      </c>
      <c r="X443" s="14">
        <f t="shared" si="53"/>
        <v>-2.9017451502396058E-3</v>
      </c>
    </row>
    <row r="444" spans="1:24" x14ac:dyDescent="0.25">
      <c r="A444" s="1">
        <v>45938.705555555556</v>
      </c>
      <c r="B444" s="2">
        <v>138.47</v>
      </c>
      <c r="C444" s="2">
        <v>405.49</v>
      </c>
      <c r="D444" s="2">
        <v>22.57</v>
      </c>
      <c r="F444" s="2">
        <f t="shared" si="49"/>
        <v>0</v>
      </c>
      <c r="G444" s="2">
        <f t="shared" si="54"/>
        <v>4.3593490699229687E-3</v>
      </c>
      <c r="H444" s="2">
        <f t="shared" si="55"/>
        <v>1.5751575157515907E-2</v>
      </c>
      <c r="O444" s="6">
        <f t="shared" si="50"/>
        <v>-4.4922944751402642E-4</v>
      </c>
      <c r="P444" s="6">
        <f t="shared" si="51"/>
        <v>3.3136053477724556E-3</v>
      </c>
      <c r="Q444" s="6">
        <f t="shared" si="52"/>
        <v>1.39857729588794E-2</v>
      </c>
      <c r="X444" s="14">
        <f t="shared" si="53"/>
        <v>4.6497163724976507E-3</v>
      </c>
    </row>
    <row r="445" spans="1:24" x14ac:dyDescent="0.25">
      <c r="A445" s="1">
        <v>45939.705555555556</v>
      </c>
      <c r="B445" s="2">
        <v>138.79</v>
      </c>
      <c r="C445" s="2">
        <v>406.75</v>
      </c>
      <c r="D445" s="2">
        <v>22.3</v>
      </c>
      <c r="F445" s="2">
        <f t="shared" si="49"/>
        <v>2.3109698851735416E-3</v>
      </c>
      <c r="G445" s="2">
        <f t="shared" si="54"/>
        <v>3.1073515992996459E-3</v>
      </c>
      <c r="H445" s="2">
        <f t="shared" si="55"/>
        <v>-1.1962782454585708E-2</v>
      </c>
      <c r="O445" s="6">
        <f t="shared" si="50"/>
        <v>1.8617404376595151E-3</v>
      </c>
      <c r="P445" s="6">
        <f t="shared" si="51"/>
        <v>2.0616078771491329E-3</v>
      </c>
      <c r="Q445" s="6">
        <f t="shared" si="52"/>
        <v>-1.3728584653222214E-2</v>
      </c>
      <c r="X445" s="14">
        <f t="shared" si="53"/>
        <v>-2.3657388280548721E-3</v>
      </c>
    </row>
    <row r="446" spans="1:24" x14ac:dyDescent="0.25">
      <c r="A446" s="1">
        <v>45940.705555555556</v>
      </c>
      <c r="B446" s="2">
        <v>137.79</v>
      </c>
      <c r="C446" s="2">
        <v>405.25</v>
      </c>
      <c r="D446" s="2">
        <v>23.03</v>
      </c>
      <c r="F446" s="2">
        <f t="shared" si="49"/>
        <v>-7.205130052597486E-3</v>
      </c>
      <c r="G446" s="2">
        <f t="shared" si="54"/>
        <v>-3.6877688998155911E-3</v>
      </c>
      <c r="H446" s="2">
        <f t="shared" si="55"/>
        <v>3.2735426008968727E-2</v>
      </c>
      <c r="O446" s="6">
        <f t="shared" si="50"/>
        <v>-7.6543595001115124E-3</v>
      </c>
      <c r="P446" s="6">
        <f t="shared" si="51"/>
        <v>-4.7335126219661041E-3</v>
      </c>
      <c r="Q446" s="6">
        <f t="shared" si="52"/>
        <v>3.096962381033222E-2</v>
      </c>
      <c r="X446" s="14">
        <f t="shared" si="53"/>
        <v>3.844064201245701E-3</v>
      </c>
    </row>
    <row r="447" spans="1:24" x14ac:dyDescent="0.25">
      <c r="A447" s="1">
        <v>45943.705555555556</v>
      </c>
      <c r="B447" s="2">
        <v>138.84</v>
      </c>
      <c r="C447" s="2">
        <v>408.2</v>
      </c>
      <c r="D447" s="2">
        <v>23.43</v>
      </c>
      <c r="F447" s="2">
        <f t="shared" si="49"/>
        <v>7.6202917483128019E-3</v>
      </c>
      <c r="G447" s="2">
        <f t="shared" si="54"/>
        <v>7.279457125231259E-3</v>
      </c>
      <c r="H447" s="2">
        <f t="shared" si="55"/>
        <v>1.7368649587494511E-2</v>
      </c>
      <c r="O447" s="6">
        <f t="shared" si="50"/>
        <v>7.1710623007987754E-3</v>
      </c>
      <c r="P447" s="6">
        <f t="shared" si="51"/>
        <v>6.233713403080746E-3</v>
      </c>
      <c r="Q447" s="6">
        <f t="shared" si="52"/>
        <v>1.5602847388858004E-2</v>
      </c>
      <c r="X447" s="14">
        <f t="shared" si="53"/>
        <v>9.2085734697738598E-3</v>
      </c>
    </row>
    <row r="448" spans="1:24" x14ac:dyDescent="0.25">
      <c r="A448" s="1">
        <v>45944.705555555556</v>
      </c>
      <c r="B448" s="2">
        <v>138.76</v>
      </c>
      <c r="C448" s="2">
        <v>408.37</v>
      </c>
      <c r="D448" s="2">
        <v>23.66</v>
      </c>
      <c r="F448" s="2">
        <f t="shared" si="49"/>
        <v>-5.7620282339387874E-4</v>
      </c>
      <c r="G448" s="2">
        <f t="shared" si="54"/>
        <v>4.1646251837335058E-4</v>
      </c>
      <c r="H448" s="2">
        <f t="shared" si="55"/>
        <v>9.8164746052069596E-3</v>
      </c>
      <c r="O448" s="6">
        <f t="shared" si="50"/>
        <v>-1.0254322709079052E-3</v>
      </c>
      <c r="P448" s="6">
        <f t="shared" si="51"/>
        <v>-6.2928120377716266E-4</v>
      </c>
      <c r="Q448" s="6">
        <f t="shared" si="52"/>
        <v>8.0506724065704527E-3</v>
      </c>
      <c r="X448" s="14">
        <f t="shared" si="53"/>
        <v>1.589449055074132E-3</v>
      </c>
    </row>
    <row r="449" spans="1:24" x14ac:dyDescent="0.25">
      <c r="A449" s="1">
        <v>45945.705555555556</v>
      </c>
      <c r="B449" s="2">
        <v>139.65</v>
      </c>
      <c r="C449" s="2">
        <v>409.41</v>
      </c>
      <c r="D449" s="2">
        <v>24</v>
      </c>
      <c r="F449" s="2">
        <f t="shared" si="49"/>
        <v>6.4139521475929939E-3</v>
      </c>
      <c r="G449" s="2">
        <f t="shared" si="54"/>
        <v>2.5467100913387775E-3</v>
      </c>
      <c r="H449" s="2">
        <f t="shared" si="55"/>
        <v>1.4370245139475823E-2</v>
      </c>
      <c r="O449" s="6">
        <f t="shared" si="50"/>
        <v>5.9647227000789674E-3</v>
      </c>
      <c r="P449" s="6">
        <f t="shared" si="51"/>
        <v>1.5009663691882642E-3</v>
      </c>
      <c r="Q449" s="6">
        <f t="shared" si="52"/>
        <v>1.2604442940839317E-2</v>
      </c>
      <c r="X449" s="14">
        <f t="shared" si="53"/>
        <v>6.451143319603044E-3</v>
      </c>
    </row>
    <row r="450" spans="1:24" x14ac:dyDescent="0.25">
      <c r="A450" s="1">
        <v>45946.705555555556</v>
      </c>
      <c r="B450" s="2">
        <v>139.27000000000001</v>
      </c>
      <c r="C450" s="2">
        <v>405</v>
      </c>
      <c r="D450" s="2">
        <v>24.48</v>
      </c>
      <c r="F450" s="2">
        <f t="shared" si="49"/>
        <v>-2.7210884353741083E-3</v>
      </c>
      <c r="G450" s="2">
        <f t="shared" si="54"/>
        <v>-1.077159815344042E-2</v>
      </c>
      <c r="H450" s="2">
        <f t="shared" si="55"/>
        <v>2.0000000000000018E-2</v>
      </c>
      <c r="O450" s="6">
        <f t="shared" si="50"/>
        <v>-3.1703178828881348E-3</v>
      </c>
      <c r="P450" s="6">
        <f t="shared" si="51"/>
        <v>-1.1817341875590933E-2</v>
      </c>
      <c r="Q450" s="6">
        <f t="shared" si="52"/>
        <v>1.8234197801363511E-2</v>
      </c>
      <c r="X450" s="14">
        <f t="shared" si="53"/>
        <v>1.2115454045610007E-4</v>
      </c>
    </row>
    <row r="451" spans="1:24" x14ac:dyDescent="0.25">
      <c r="A451" s="1">
        <v>45947.705555555556</v>
      </c>
      <c r="B451" s="2">
        <v>140.41999999999999</v>
      </c>
      <c r="C451" s="2">
        <v>404.96</v>
      </c>
      <c r="D451" s="2">
        <v>23.86</v>
      </c>
      <c r="F451" s="2">
        <f t="shared" si="49"/>
        <v>8.25734185395266E-3</v>
      </c>
      <c r="G451" s="2">
        <f t="shared" si="54"/>
        <v>-9.8765432098857353E-5</v>
      </c>
      <c r="H451" s="2">
        <f t="shared" si="55"/>
        <v>-2.5326797385620936E-2</v>
      </c>
      <c r="O451" s="6">
        <f t="shared" si="50"/>
        <v>7.8081124064386335E-3</v>
      </c>
      <c r="P451" s="6">
        <f t="shared" si="51"/>
        <v>-1.1445091542493706E-3</v>
      </c>
      <c r="Q451" s="6">
        <f t="shared" si="52"/>
        <v>-2.7092599584257443E-2</v>
      </c>
      <c r="X451" s="14">
        <f t="shared" si="53"/>
        <v>-4.4764916821946193E-3</v>
      </c>
    </row>
    <row r="452" spans="1:24" x14ac:dyDescent="0.25">
      <c r="A452" s="1">
        <v>45951.705555555556</v>
      </c>
      <c r="B452" s="2">
        <v>141.11000000000001</v>
      </c>
      <c r="C452" s="2">
        <v>407.84</v>
      </c>
      <c r="D452" s="2">
        <v>23.09</v>
      </c>
      <c r="F452" s="2">
        <f t="shared" ref="F452:F498" si="56">(B452/B451)-1</f>
        <v>4.9138299387554429E-3</v>
      </c>
      <c r="G452" s="2">
        <f t="shared" si="54"/>
        <v>7.1118135124457194E-3</v>
      </c>
      <c r="H452" s="2">
        <f t="shared" si="55"/>
        <v>-3.2271584241408191E-2</v>
      </c>
      <c r="O452" s="6">
        <f t="shared" ref="O452:O498" si="57">F452-$K$3</f>
        <v>4.4646004912414165E-3</v>
      </c>
      <c r="P452" s="6">
        <f t="shared" ref="P452:P498" si="58">G452-$L$3</f>
        <v>6.0660697902952063E-3</v>
      </c>
      <c r="Q452" s="6">
        <f t="shared" ref="Q452:Q498" si="59">H452-$M$3</f>
        <v>-3.4037386440044698E-2</v>
      </c>
      <c r="X452" s="14">
        <f t="shared" ref="X452:X497" si="60">$T$47*O452+$T$48*P452+$T$49*Q452</f>
        <v>-5.643146520239126E-3</v>
      </c>
    </row>
    <row r="453" spans="1:24" x14ac:dyDescent="0.25">
      <c r="A453" s="1">
        <v>45952.705555555556</v>
      </c>
      <c r="B453" s="2">
        <v>141.87</v>
      </c>
      <c r="C453" s="2">
        <v>406.35</v>
      </c>
      <c r="D453" s="2">
        <v>23.08</v>
      </c>
      <c r="F453" s="2">
        <f t="shared" si="56"/>
        <v>5.3858691800721115E-3</v>
      </c>
      <c r="G453" s="2">
        <f t="shared" si="54"/>
        <v>-3.6533934876420426E-3</v>
      </c>
      <c r="H453" s="2">
        <f t="shared" si="55"/>
        <v>-4.3308791684715242E-4</v>
      </c>
      <c r="O453" s="6">
        <f t="shared" si="57"/>
        <v>4.936639732558085E-3</v>
      </c>
      <c r="P453" s="6">
        <f t="shared" si="58"/>
        <v>-4.6991372097925557E-3</v>
      </c>
      <c r="Q453" s="6">
        <f t="shared" si="59"/>
        <v>-2.1988901154836593E-3</v>
      </c>
      <c r="X453" s="14">
        <f t="shared" si="60"/>
        <v>8.2661135220797816E-5</v>
      </c>
    </row>
    <row r="454" spans="1:24" x14ac:dyDescent="0.25">
      <c r="A454" s="1">
        <v>45953.705555555556</v>
      </c>
      <c r="B454" s="2">
        <v>142.69999999999999</v>
      </c>
      <c r="C454" s="2">
        <v>407.8</v>
      </c>
      <c r="D454" s="2">
        <v>23.14</v>
      </c>
      <c r="F454" s="2">
        <f t="shared" si="56"/>
        <v>5.8504264467469369E-3</v>
      </c>
      <c r="G454" s="2">
        <f t="shared" si="54"/>
        <v>3.5683524055616367E-3</v>
      </c>
      <c r="H454" s="2">
        <f t="shared" si="55"/>
        <v>2.5996533795495935E-3</v>
      </c>
      <c r="O454" s="6">
        <f t="shared" si="57"/>
        <v>5.4011969992329104E-3</v>
      </c>
      <c r="P454" s="6">
        <f t="shared" si="58"/>
        <v>2.5226086834111237E-3</v>
      </c>
      <c r="Q454" s="6">
        <f t="shared" si="59"/>
        <v>8.3385118091308663E-4</v>
      </c>
      <c r="X454" s="14">
        <f t="shared" si="60"/>
        <v>3.281290570734939E-3</v>
      </c>
    </row>
    <row r="455" spans="1:24" x14ac:dyDescent="0.25">
      <c r="A455" s="1">
        <v>45954.705555555556</v>
      </c>
      <c r="B455" s="2">
        <v>143.15</v>
      </c>
      <c r="C455" s="2">
        <v>411.68</v>
      </c>
      <c r="D455" s="2">
        <v>23.09</v>
      </c>
      <c r="F455" s="2">
        <f t="shared" si="56"/>
        <v>3.1534688156973356E-3</v>
      </c>
      <c r="G455" s="2">
        <f t="shared" si="54"/>
        <v>9.5144678764100821E-3</v>
      </c>
      <c r="H455" s="2">
        <f t="shared" si="55"/>
        <v>-2.160760587726962E-3</v>
      </c>
      <c r="O455" s="6">
        <f t="shared" si="57"/>
        <v>2.7042393681833091E-3</v>
      </c>
      <c r="P455" s="6">
        <f t="shared" si="58"/>
        <v>8.4687241542595691E-3</v>
      </c>
      <c r="Q455" s="6">
        <f t="shared" si="59"/>
        <v>-3.9265627863634689E-3</v>
      </c>
      <c r="X455" s="14">
        <f t="shared" si="60"/>
        <v>2.6106140520210561E-3</v>
      </c>
    </row>
    <row r="456" spans="1:24" x14ac:dyDescent="0.25">
      <c r="A456" s="1">
        <v>45957.705555555556</v>
      </c>
      <c r="B456" s="2">
        <v>143.93</v>
      </c>
      <c r="C456" s="2">
        <v>414.81</v>
      </c>
      <c r="D456" s="2">
        <v>22.36</v>
      </c>
      <c r="F456" s="2">
        <f t="shared" si="56"/>
        <v>5.4488298987076522E-3</v>
      </c>
      <c r="G456" s="2">
        <f t="shared" si="54"/>
        <v>7.6029926156238048E-3</v>
      </c>
      <c r="H456" s="2">
        <f t="shared" si="55"/>
        <v>-3.1615417929839795E-2</v>
      </c>
      <c r="O456" s="6">
        <f t="shared" si="57"/>
        <v>4.9996004511936257E-3</v>
      </c>
      <c r="P456" s="6">
        <f t="shared" si="58"/>
        <v>6.5572488934732918E-3</v>
      </c>
      <c r="Q456" s="6">
        <f t="shared" si="59"/>
        <v>-3.3381220128476302E-2</v>
      </c>
      <c r="X456" s="14">
        <f t="shared" si="60"/>
        <v>-5.087975329397993E-3</v>
      </c>
    </row>
    <row r="457" spans="1:24" x14ac:dyDescent="0.25">
      <c r="A457" s="1">
        <v>45958.705555555556</v>
      </c>
      <c r="B457" s="2">
        <v>144.38</v>
      </c>
      <c r="C457" s="2">
        <v>415.05</v>
      </c>
      <c r="D457" s="2">
        <v>22.13</v>
      </c>
      <c r="F457" s="2">
        <f t="shared" si="56"/>
        <v>3.126519836031294E-3</v>
      </c>
      <c r="G457" s="2">
        <f t="shared" si="54"/>
        <v>5.785781442106952E-4</v>
      </c>
      <c r="H457" s="2">
        <f t="shared" si="55"/>
        <v>-1.0286225402504456E-2</v>
      </c>
      <c r="O457" s="6">
        <f t="shared" si="57"/>
        <v>2.6772903885172675E-3</v>
      </c>
      <c r="P457" s="6">
        <f t="shared" si="58"/>
        <v>-4.6716557793981804E-4</v>
      </c>
      <c r="Q457" s="6">
        <f t="shared" si="59"/>
        <v>-1.2052027601140963E-2</v>
      </c>
      <c r="X457" s="14">
        <f t="shared" si="60"/>
        <v>-2.3170217605197737E-3</v>
      </c>
    </row>
    <row r="458" spans="1:24" x14ac:dyDescent="0.25">
      <c r="A458" s="1">
        <v>45959.705555555556</v>
      </c>
      <c r="B458" s="2">
        <v>145.55000000000001</v>
      </c>
      <c r="C458" s="2">
        <v>414.9</v>
      </c>
      <c r="D458" s="2">
        <v>22.06</v>
      </c>
      <c r="F458" s="2">
        <f t="shared" si="56"/>
        <v>8.1036154592049048E-3</v>
      </c>
      <c r="G458" s="2">
        <f t="shared" si="54"/>
        <v>-3.6140224069391991E-4</v>
      </c>
      <c r="H458" s="2">
        <f t="shared" si="55"/>
        <v>-3.1631269769544224E-3</v>
      </c>
      <c r="O458" s="6">
        <f t="shared" si="57"/>
        <v>7.6543860116908783E-3</v>
      </c>
      <c r="P458" s="6">
        <f t="shared" si="58"/>
        <v>-1.4071459628444331E-3</v>
      </c>
      <c r="Q458" s="6">
        <f t="shared" si="59"/>
        <v>-4.9289291755909292E-3</v>
      </c>
      <c r="X458" s="14">
        <f t="shared" si="60"/>
        <v>1.4745531316506552E-3</v>
      </c>
    </row>
    <row r="459" spans="1:24" x14ac:dyDescent="0.25">
      <c r="A459" s="1">
        <v>45960.705555555556</v>
      </c>
      <c r="B459" s="2">
        <v>145.71</v>
      </c>
      <c r="C459" s="2">
        <v>412.5</v>
      </c>
      <c r="D459" s="2">
        <v>22.6</v>
      </c>
      <c r="F459" s="2">
        <f t="shared" si="56"/>
        <v>1.0992785984198505E-3</v>
      </c>
      <c r="G459" s="2">
        <f t="shared" si="54"/>
        <v>-5.7845263919016343E-3</v>
      </c>
      <c r="H459" s="2">
        <f t="shared" si="55"/>
        <v>2.447869446962847E-2</v>
      </c>
      <c r="O459" s="6">
        <f t="shared" si="57"/>
        <v>6.5004915090582406E-4</v>
      </c>
      <c r="P459" s="6">
        <f t="shared" si="58"/>
        <v>-6.8302701140521473E-3</v>
      </c>
      <c r="Q459" s="6">
        <f t="shared" si="59"/>
        <v>2.2712892270991963E-2</v>
      </c>
      <c r="X459" s="14">
        <f t="shared" si="60"/>
        <v>4.4726894953464611E-3</v>
      </c>
    </row>
    <row r="460" spans="1:24" x14ac:dyDescent="0.25">
      <c r="A460" s="1">
        <v>45961.705555555556</v>
      </c>
      <c r="B460" s="2">
        <v>146.44</v>
      </c>
      <c r="C460" s="2">
        <v>413.33</v>
      </c>
      <c r="D460" s="2">
        <v>22.45</v>
      </c>
      <c r="F460" s="2">
        <f t="shared" si="56"/>
        <v>5.0099512730765738E-3</v>
      </c>
      <c r="G460" s="2">
        <f t="shared" si="54"/>
        <v>2.0121212121211318E-3</v>
      </c>
      <c r="H460" s="2">
        <f t="shared" si="55"/>
        <v>-6.6371681415929862E-3</v>
      </c>
      <c r="O460" s="6">
        <f t="shared" si="57"/>
        <v>4.5607218255625474E-3</v>
      </c>
      <c r="P460" s="6">
        <f t="shared" si="58"/>
        <v>9.6637748997061858E-4</v>
      </c>
      <c r="Q460" s="6">
        <f t="shared" si="59"/>
        <v>-8.4029703402294931E-3</v>
      </c>
      <c r="X460" s="14">
        <f t="shared" si="60"/>
        <v>-8.303920089375175E-5</v>
      </c>
    </row>
    <row r="461" spans="1:24" x14ac:dyDescent="0.25">
      <c r="A461" s="1">
        <v>45964.705555555556</v>
      </c>
      <c r="B461" s="2">
        <v>147.33000000000001</v>
      </c>
      <c r="C461" s="2">
        <v>412.35</v>
      </c>
      <c r="D461" s="2">
        <v>22.42</v>
      </c>
      <c r="F461" s="2">
        <f t="shared" si="56"/>
        <v>6.0775744332151049E-3</v>
      </c>
      <c r="G461" s="2">
        <f t="shared" si="54"/>
        <v>-2.3709868627972419E-3</v>
      </c>
      <c r="H461" s="2">
        <f t="shared" si="55"/>
        <v>-1.3363028953228273E-3</v>
      </c>
      <c r="O461" s="6">
        <f t="shared" si="57"/>
        <v>5.6283449857010785E-3</v>
      </c>
      <c r="P461" s="6">
        <f t="shared" si="58"/>
        <v>-3.4167305849477549E-3</v>
      </c>
      <c r="Q461" s="6">
        <f t="shared" si="59"/>
        <v>-3.1021050939593342E-3</v>
      </c>
      <c r="X461" s="14">
        <f t="shared" si="60"/>
        <v>5.1301795766142775E-4</v>
      </c>
    </row>
    <row r="462" spans="1:24" x14ac:dyDescent="0.25">
      <c r="A462" s="1">
        <v>45965.705555555556</v>
      </c>
      <c r="B462" s="2">
        <v>147.74</v>
      </c>
      <c r="C462" s="2">
        <v>410.95</v>
      </c>
      <c r="D462" s="2">
        <v>22.2</v>
      </c>
      <c r="F462" s="2">
        <f t="shared" si="56"/>
        <v>2.7828683906876428E-3</v>
      </c>
      <c r="G462" s="2">
        <f t="shared" si="54"/>
        <v>-3.3951740026677557E-3</v>
      </c>
      <c r="H462" s="2">
        <f t="shared" si="55"/>
        <v>-9.8126672613738641E-3</v>
      </c>
      <c r="O462" s="6">
        <f t="shared" si="57"/>
        <v>2.3336389431736163E-3</v>
      </c>
      <c r="P462" s="6">
        <f t="shared" si="58"/>
        <v>-4.4409177248182687E-3</v>
      </c>
      <c r="Q462" s="6">
        <f t="shared" si="59"/>
        <v>-1.1578469460010371E-2</v>
      </c>
      <c r="X462" s="14">
        <f t="shared" si="60"/>
        <v>-3.5253112221517854E-3</v>
      </c>
    </row>
    <row r="463" spans="1:24" x14ac:dyDescent="0.25">
      <c r="A463" s="1">
        <v>45966.705555555556</v>
      </c>
      <c r="B463" s="2">
        <v>150.1</v>
      </c>
      <c r="C463" s="2">
        <v>409</v>
      </c>
      <c r="D463" s="2">
        <v>22.27</v>
      </c>
      <c r="F463" s="2">
        <f t="shared" si="56"/>
        <v>1.5974008393123018E-2</v>
      </c>
      <c r="G463" s="2">
        <f t="shared" si="54"/>
        <v>-4.7451028105608417E-3</v>
      </c>
      <c r="H463" s="2">
        <f t="shared" si="55"/>
        <v>3.153153153153232E-3</v>
      </c>
      <c r="O463" s="6">
        <f t="shared" si="57"/>
        <v>1.5524778945608992E-2</v>
      </c>
      <c r="P463" s="6">
        <f t="shared" si="58"/>
        <v>-5.7908465327113547E-3</v>
      </c>
      <c r="Q463" s="6">
        <f t="shared" si="59"/>
        <v>1.3873509545167251E-3</v>
      </c>
      <c r="X463" s="14">
        <f t="shared" si="60"/>
        <v>5.2401547960673695E-3</v>
      </c>
    </row>
    <row r="464" spans="1:24" x14ac:dyDescent="0.25">
      <c r="A464" s="1">
        <v>45967.705555555556</v>
      </c>
      <c r="B464" s="2">
        <v>150.19</v>
      </c>
      <c r="C464" s="2">
        <v>404.4</v>
      </c>
      <c r="D464" s="2">
        <v>22.2</v>
      </c>
      <c r="F464" s="2">
        <f t="shared" si="56"/>
        <v>5.9960026648897546E-4</v>
      </c>
      <c r="G464" s="2">
        <f t="shared" si="54"/>
        <v>-1.1246943765281237E-2</v>
      </c>
      <c r="H464" s="2">
        <f t="shared" si="55"/>
        <v>-3.1432420296363395E-3</v>
      </c>
      <c r="O464" s="6">
        <f t="shared" si="57"/>
        <v>1.5037081897494904E-4</v>
      </c>
      <c r="P464" s="6">
        <f t="shared" si="58"/>
        <v>-1.229268748743175E-2</v>
      </c>
      <c r="Q464" s="6">
        <f t="shared" si="59"/>
        <v>-4.9090442282728464E-3</v>
      </c>
      <c r="X464" s="14">
        <f t="shared" si="60"/>
        <v>-4.9751128526921724E-3</v>
      </c>
    </row>
    <row r="465" spans="1:24" x14ac:dyDescent="0.25">
      <c r="A465" s="1">
        <v>45968.705555555556</v>
      </c>
      <c r="B465" s="2">
        <v>150.88999999999999</v>
      </c>
      <c r="C465" s="2">
        <v>403.4</v>
      </c>
      <c r="D465" s="2">
        <v>22.29</v>
      </c>
      <c r="F465" s="2">
        <f t="shared" si="56"/>
        <v>4.6607630334909445E-3</v>
      </c>
      <c r="G465" s="2">
        <f t="shared" si="54"/>
        <v>-2.4727992087042461E-3</v>
      </c>
      <c r="H465" s="2">
        <f t="shared" si="55"/>
        <v>4.0540540540541237E-3</v>
      </c>
      <c r="O465" s="6">
        <f t="shared" si="57"/>
        <v>4.211533585976918E-3</v>
      </c>
      <c r="P465" s="6">
        <f t="shared" si="58"/>
        <v>-3.5185429308547591E-3</v>
      </c>
      <c r="Q465" s="6">
        <f t="shared" si="59"/>
        <v>2.2882518554176168E-3</v>
      </c>
      <c r="X465" s="14">
        <f t="shared" si="60"/>
        <v>1.3628551977023012E-3</v>
      </c>
    </row>
    <row r="466" spans="1:24" x14ac:dyDescent="0.25">
      <c r="A466" s="1">
        <v>45971.705555555556</v>
      </c>
      <c r="B466" s="2">
        <v>151.91999999999999</v>
      </c>
      <c r="C466" s="2">
        <v>407.1</v>
      </c>
      <c r="D466" s="2">
        <v>22.71</v>
      </c>
      <c r="F466" s="2">
        <f t="shared" si="56"/>
        <v>6.826164755782349E-3</v>
      </c>
      <c r="G466" s="2">
        <f t="shared" si="54"/>
        <v>9.1720376797224112E-3</v>
      </c>
      <c r="H466" s="2">
        <f t="shared" si="55"/>
        <v>1.8842530282638048E-2</v>
      </c>
      <c r="O466" s="6">
        <f t="shared" si="57"/>
        <v>6.3769353082683226E-3</v>
      </c>
      <c r="P466" s="6">
        <f t="shared" si="58"/>
        <v>8.1262939575718982E-3</v>
      </c>
      <c r="Q466" s="6">
        <f t="shared" si="59"/>
        <v>1.7076728084001541E-2</v>
      </c>
      <c r="X466" s="14">
        <f t="shared" si="60"/>
        <v>9.844434785670448E-3</v>
      </c>
    </row>
    <row r="467" spans="1:24" x14ac:dyDescent="0.25">
      <c r="A467" s="1">
        <v>45972.705555555556</v>
      </c>
      <c r="B467" s="2">
        <v>154.28</v>
      </c>
      <c r="C467" s="2">
        <v>405.75</v>
      </c>
      <c r="D467" s="2">
        <v>22.73</v>
      </c>
      <c r="F467" s="2">
        <f t="shared" si="56"/>
        <v>1.5534491837809528E-2</v>
      </c>
      <c r="G467" s="2">
        <f t="shared" ref="G467:G498" si="61">(C467/C466)-1</f>
        <v>-3.3161385408990718E-3</v>
      </c>
      <c r="H467" s="2">
        <f t="shared" ref="H467:H498" si="62">(D467/D466)-1</f>
        <v>8.8066930867447546E-4</v>
      </c>
      <c r="O467" s="6">
        <f t="shared" si="57"/>
        <v>1.5085262390295501E-2</v>
      </c>
      <c r="P467" s="6">
        <f t="shared" si="58"/>
        <v>-4.3618822630495848E-3</v>
      </c>
      <c r="Q467" s="6">
        <f t="shared" si="59"/>
        <v>-8.8513288996203143E-4</v>
      </c>
      <c r="X467" s="14">
        <f t="shared" si="60"/>
        <v>4.8572809185695107E-3</v>
      </c>
    </row>
    <row r="468" spans="1:24" x14ac:dyDescent="0.25">
      <c r="A468" s="1">
        <v>45973.705555555556</v>
      </c>
      <c r="B468" s="2">
        <v>154.4</v>
      </c>
      <c r="C468" s="2">
        <v>407.55</v>
      </c>
      <c r="D468" s="2">
        <v>23.18</v>
      </c>
      <c r="F468" s="2">
        <f t="shared" si="56"/>
        <v>7.7780658542914161E-4</v>
      </c>
      <c r="G468" s="2">
        <f t="shared" si="61"/>
        <v>4.4362292051756125E-3</v>
      </c>
      <c r="H468" s="2">
        <f t="shared" si="62"/>
        <v>1.9797624285085691E-2</v>
      </c>
      <c r="O468" s="6">
        <f t="shared" si="57"/>
        <v>3.2857713791511518E-4</v>
      </c>
      <c r="P468" s="6">
        <f t="shared" si="58"/>
        <v>3.3904854830250995E-3</v>
      </c>
      <c r="Q468" s="6">
        <f t="shared" si="59"/>
        <v>1.8031822086449184E-2</v>
      </c>
      <c r="X468" s="14">
        <f t="shared" si="60"/>
        <v>6.1159697658335378E-3</v>
      </c>
    </row>
    <row r="469" spans="1:24" x14ac:dyDescent="0.25">
      <c r="A469" s="1">
        <v>45974.705555555556</v>
      </c>
      <c r="B469" s="2">
        <v>153.94</v>
      </c>
      <c r="C469" s="2">
        <v>401.5</v>
      </c>
      <c r="D469" s="2">
        <v>23.02</v>
      </c>
      <c r="F469" s="2">
        <f t="shared" si="56"/>
        <v>-2.9792746113990187E-3</v>
      </c>
      <c r="G469" s="2">
        <f t="shared" si="61"/>
        <v>-1.4844804318488558E-2</v>
      </c>
      <c r="H469" s="2">
        <f t="shared" si="62"/>
        <v>-6.90250215703192E-3</v>
      </c>
      <c r="O469" s="6">
        <f t="shared" si="57"/>
        <v>-3.4285040589130452E-3</v>
      </c>
      <c r="P469" s="6">
        <f t="shared" si="58"/>
        <v>-1.5890548040639073E-2</v>
      </c>
      <c r="Q469" s="6">
        <f t="shared" si="59"/>
        <v>-8.6683043556684269E-3</v>
      </c>
      <c r="X469" s="14">
        <f t="shared" si="60"/>
        <v>-8.6092925690192494E-3</v>
      </c>
    </row>
    <row r="470" spans="1:24" x14ac:dyDescent="0.25">
      <c r="A470" s="1">
        <v>45975.705555555556</v>
      </c>
      <c r="B470" s="2">
        <v>154.49</v>
      </c>
      <c r="C470" s="2">
        <v>401.1</v>
      </c>
      <c r="D470" s="2">
        <v>22.59</v>
      </c>
      <c r="F470" s="2">
        <f t="shared" si="56"/>
        <v>3.5728205794465229E-3</v>
      </c>
      <c r="G470" s="2">
        <f t="shared" si="61"/>
        <v>-9.9626400996255526E-4</v>
      </c>
      <c r="H470" s="2">
        <f t="shared" si="62"/>
        <v>-1.8679409209383158E-2</v>
      </c>
      <c r="O470" s="6">
        <f t="shared" si="57"/>
        <v>3.1235911319324964E-3</v>
      </c>
      <c r="P470" s="6">
        <f t="shared" si="58"/>
        <v>-2.0420077321130683E-3</v>
      </c>
      <c r="Q470" s="6">
        <f t="shared" si="59"/>
        <v>-2.0445211408019665E-2</v>
      </c>
      <c r="X470" s="14">
        <f t="shared" si="60"/>
        <v>-4.9081827417289331E-3</v>
      </c>
    </row>
    <row r="471" spans="1:24" x14ac:dyDescent="0.25">
      <c r="A471" s="1">
        <v>45978.705555555556</v>
      </c>
      <c r="B471" s="2">
        <v>153.78</v>
      </c>
      <c r="C471" s="2">
        <v>399.7</v>
      </c>
      <c r="D471" s="2">
        <v>22.46</v>
      </c>
      <c r="F471" s="2">
        <f t="shared" si="56"/>
        <v>-4.5957667162923599E-3</v>
      </c>
      <c r="G471" s="2">
        <f t="shared" si="61"/>
        <v>-3.4904013961606362E-3</v>
      </c>
      <c r="H471" s="2">
        <f t="shared" si="62"/>
        <v>-5.7547587428065095E-3</v>
      </c>
      <c r="O471" s="6">
        <f t="shared" si="57"/>
        <v>-5.0449961638063864E-3</v>
      </c>
      <c r="P471" s="6">
        <f t="shared" si="58"/>
        <v>-4.5361451183111492E-3</v>
      </c>
      <c r="Q471" s="6">
        <f t="shared" si="59"/>
        <v>-7.5205609414430163E-3</v>
      </c>
      <c r="X471" s="14">
        <f t="shared" si="60"/>
        <v>-5.5730914919660595E-3</v>
      </c>
    </row>
    <row r="472" spans="1:24" x14ac:dyDescent="0.25">
      <c r="A472" s="1">
        <v>45979.705555555556</v>
      </c>
      <c r="B472" s="2">
        <v>153.32</v>
      </c>
      <c r="C472" s="2">
        <v>396.15</v>
      </c>
      <c r="D472" s="2">
        <v>22.61</v>
      </c>
      <c r="F472" s="2">
        <f t="shared" si="56"/>
        <v>-2.9912862530888651E-3</v>
      </c>
      <c r="G472" s="2">
        <f t="shared" si="61"/>
        <v>-8.8816612459344801E-3</v>
      </c>
      <c r="H472" s="2">
        <f t="shared" si="62"/>
        <v>6.6785396260016228E-3</v>
      </c>
      <c r="O472" s="6">
        <f t="shared" si="57"/>
        <v>-3.4405157006028916E-3</v>
      </c>
      <c r="P472" s="6">
        <f t="shared" si="58"/>
        <v>-9.9274049680849932E-3</v>
      </c>
      <c r="Q472" s="6">
        <f t="shared" si="59"/>
        <v>4.9127374273651159E-3</v>
      </c>
      <c r="X472" s="14">
        <f t="shared" si="60"/>
        <v>-3.089993535889039E-3</v>
      </c>
    </row>
    <row r="473" spans="1:24" x14ac:dyDescent="0.25">
      <c r="A473" s="1">
        <v>45980.705555555556</v>
      </c>
      <c r="B473" s="2">
        <v>152.21</v>
      </c>
      <c r="C473" s="2">
        <v>398.2</v>
      </c>
      <c r="D473" s="2">
        <v>22.69</v>
      </c>
      <c r="F473" s="2">
        <f t="shared" si="56"/>
        <v>-7.2397599791285128E-3</v>
      </c>
      <c r="G473" s="2">
        <f t="shared" si="61"/>
        <v>5.1748075224031798E-3</v>
      </c>
      <c r="H473" s="2">
        <f t="shared" si="62"/>
        <v>3.5382574082265528E-3</v>
      </c>
      <c r="O473" s="6">
        <f t="shared" si="57"/>
        <v>-7.6889894266425392E-3</v>
      </c>
      <c r="P473" s="6">
        <f t="shared" si="58"/>
        <v>4.1290638002526667E-3</v>
      </c>
      <c r="Q473" s="6">
        <f t="shared" si="59"/>
        <v>1.7724552095900459E-3</v>
      </c>
      <c r="X473" s="14">
        <f t="shared" si="60"/>
        <v>-1.5404751795492679E-3</v>
      </c>
    </row>
    <row r="474" spans="1:24" x14ac:dyDescent="0.25">
      <c r="A474" s="1">
        <v>45982.705555555556</v>
      </c>
      <c r="B474" s="2">
        <v>151.61000000000001</v>
      </c>
      <c r="C474" s="2">
        <v>401.69</v>
      </c>
      <c r="D474" s="2">
        <v>22.9</v>
      </c>
      <c r="F474" s="2">
        <f t="shared" si="56"/>
        <v>-3.9419223441298223E-3</v>
      </c>
      <c r="G474" s="2">
        <f t="shared" si="61"/>
        <v>8.7644399799096107E-3</v>
      </c>
      <c r="H474" s="2">
        <f t="shared" si="62"/>
        <v>9.2551784927279446E-3</v>
      </c>
      <c r="O474" s="6">
        <f t="shared" si="57"/>
        <v>-4.3911517916438488E-3</v>
      </c>
      <c r="P474" s="6">
        <f t="shared" si="58"/>
        <v>7.7186962577590976E-3</v>
      </c>
      <c r="Q474" s="6">
        <f t="shared" si="59"/>
        <v>7.4893762940914377E-3</v>
      </c>
      <c r="X474" s="14">
        <f t="shared" si="60"/>
        <v>2.5101952119568061E-3</v>
      </c>
    </row>
    <row r="475" spans="1:24" x14ac:dyDescent="0.25">
      <c r="A475" s="1">
        <v>45985.705555555556</v>
      </c>
      <c r="B475" s="2">
        <v>152.09</v>
      </c>
      <c r="C475" s="2">
        <v>406.2</v>
      </c>
      <c r="D475" s="2">
        <v>23.21</v>
      </c>
      <c r="F475" s="2">
        <f t="shared" si="56"/>
        <v>3.1660180726864606E-3</v>
      </c>
      <c r="G475" s="2">
        <f t="shared" si="61"/>
        <v>1.1227563544026431E-2</v>
      </c>
      <c r="H475" s="2">
        <f t="shared" si="62"/>
        <v>1.3537117903930307E-2</v>
      </c>
      <c r="O475" s="6">
        <f t="shared" si="57"/>
        <v>2.7167886251724341E-3</v>
      </c>
      <c r="P475" s="6">
        <f t="shared" si="58"/>
        <v>1.0181819821875918E-2</v>
      </c>
      <c r="Q475" s="6">
        <f t="shared" si="59"/>
        <v>1.17713157052938E-2</v>
      </c>
      <c r="X475" s="14">
        <f t="shared" si="60"/>
        <v>7.4470750929364234E-3</v>
      </c>
    </row>
    <row r="476" spans="1:24" x14ac:dyDescent="0.25">
      <c r="A476" s="1">
        <v>45986.705555555556</v>
      </c>
      <c r="B476" s="2">
        <v>152.71</v>
      </c>
      <c r="C476" s="2">
        <v>409.65</v>
      </c>
      <c r="D476" s="2">
        <v>23.22</v>
      </c>
      <c r="F476" s="2">
        <f t="shared" si="56"/>
        <v>4.0765336314025902E-3</v>
      </c>
      <c r="G476" s="2">
        <f t="shared" si="61"/>
        <v>8.493353028064865E-3</v>
      </c>
      <c r="H476" s="2">
        <f t="shared" si="62"/>
        <v>4.3084877208099392E-4</v>
      </c>
      <c r="O476" s="6">
        <f t="shared" si="57"/>
        <v>3.6273041838885637E-3</v>
      </c>
      <c r="P476" s="6">
        <f t="shared" si="58"/>
        <v>7.447609305914352E-3</v>
      </c>
      <c r="Q476" s="6">
        <f t="shared" si="59"/>
        <v>-1.334953426555513E-3</v>
      </c>
      <c r="X476" s="14">
        <f t="shared" si="60"/>
        <v>3.4091017967576866E-3</v>
      </c>
    </row>
    <row r="477" spans="1:24" x14ac:dyDescent="0.25">
      <c r="A477" s="1">
        <v>45987.705555555556</v>
      </c>
      <c r="B477" s="2">
        <v>155.28</v>
      </c>
      <c r="C477" s="2">
        <v>408.65</v>
      </c>
      <c r="D477" s="2">
        <v>23.17</v>
      </c>
      <c r="F477" s="2">
        <f t="shared" si="56"/>
        <v>1.6829284264291644E-2</v>
      </c>
      <c r="G477" s="2">
        <f t="shared" si="61"/>
        <v>-2.4411082631514702E-3</v>
      </c>
      <c r="H477" s="2">
        <f t="shared" si="62"/>
        <v>-2.1533161068043594E-3</v>
      </c>
      <c r="O477" s="6">
        <f t="shared" si="57"/>
        <v>1.6380054816777619E-2</v>
      </c>
      <c r="P477" s="6">
        <f t="shared" si="58"/>
        <v>-3.4868519853019832E-3</v>
      </c>
      <c r="Q477" s="6">
        <f t="shared" si="59"/>
        <v>-3.9191183054408663E-3</v>
      </c>
      <c r="X477" s="14">
        <f t="shared" si="60"/>
        <v>4.8356576120124947E-3</v>
      </c>
    </row>
    <row r="478" spans="1:24" x14ac:dyDescent="0.25">
      <c r="A478" s="1">
        <v>45988.705555555556</v>
      </c>
      <c r="B478" s="2">
        <v>155.13</v>
      </c>
      <c r="C478" s="2">
        <v>410.4</v>
      </c>
      <c r="D478" s="2">
        <v>23.22</v>
      </c>
      <c r="F478" s="2">
        <f t="shared" si="56"/>
        <v>-9.6599690880994071E-4</v>
      </c>
      <c r="G478" s="2">
        <f t="shared" si="61"/>
        <v>4.2823932460540615E-3</v>
      </c>
      <c r="H478" s="2">
        <f t="shared" si="62"/>
        <v>2.1579628830383779E-3</v>
      </c>
      <c r="O478" s="6">
        <f t="shared" si="57"/>
        <v>-1.4152263563239672E-3</v>
      </c>
      <c r="P478" s="6">
        <f t="shared" si="58"/>
        <v>3.2366495239035484E-3</v>
      </c>
      <c r="Q478" s="6">
        <f t="shared" si="59"/>
        <v>3.9216068440187102E-4</v>
      </c>
      <c r="X478" s="14">
        <f t="shared" si="60"/>
        <v>4.7782593443981472E-4</v>
      </c>
    </row>
    <row r="479" spans="1:24" x14ac:dyDescent="0.25">
      <c r="A479" s="1">
        <v>45989.705555555556</v>
      </c>
      <c r="B479" s="2">
        <v>155.81</v>
      </c>
      <c r="C479" s="2">
        <v>411.09</v>
      </c>
      <c r="D479" s="2">
        <v>23.42</v>
      </c>
      <c r="F479" s="2">
        <f t="shared" si="56"/>
        <v>4.3834203571198049E-3</v>
      </c>
      <c r="G479" s="2">
        <f t="shared" si="61"/>
        <v>1.6812865497075613E-3</v>
      </c>
      <c r="H479" s="2">
        <f t="shared" si="62"/>
        <v>8.6132644272181036E-3</v>
      </c>
      <c r="O479" s="6">
        <f t="shared" si="57"/>
        <v>3.9341909096057785E-3</v>
      </c>
      <c r="P479" s="6">
        <f t="shared" si="58"/>
        <v>6.3554282755704807E-4</v>
      </c>
      <c r="Q479" s="6">
        <f t="shared" si="59"/>
        <v>6.8474622285815967E-3</v>
      </c>
      <c r="X479" s="14">
        <f t="shared" si="60"/>
        <v>3.7454533347724963E-3</v>
      </c>
    </row>
    <row r="480" spans="1:24" x14ac:dyDescent="0.25">
      <c r="A480" s="1">
        <v>45992.705555555556</v>
      </c>
      <c r="B480" s="2">
        <v>155.38</v>
      </c>
      <c r="C480" s="2">
        <v>410.75</v>
      </c>
      <c r="D480" s="2">
        <v>23.67</v>
      </c>
      <c r="F480" s="2">
        <f t="shared" si="56"/>
        <v>-2.7597715165907921E-3</v>
      </c>
      <c r="G480" s="2">
        <f t="shared" si="61"/>
        <v>-8.2706949816335751E-4</v>
      </c>
      <c r="H480" s="2">
        <f t="shared" si="62"/>
        <v>1.0674637062339842E-2</v>
      </c>
      <c r="O480" s="6">
        <f t="shared" si="57"/>
        <v>-3.2090009641048186E-3</v>
      </c>
      <c r="P480" s="6">
        <f t="shared" si="58"/>
        <v>-1.8728132203138707E-3</v>
      </c>
      <c r="Q480" s="6">
        <f t="shared" si="59"/>
        <v>8.9088348637033354E-3</v>
      </c>
      <c r="X480" s="14">
        <f t="shared" si="60"/>
        <v>5.2448046217205445E-4</v>
      </c>
    </row>
    <row r="481" spans="1:24" x14ac:dyDescent="0.25">
      <c r="A481" s="1">
        <v>45993.705555555556</v>
      </c>
      <c r="B481" s="2">
        <v>157.77000000000001</v>
      </c>
      <c r="C481" s="2">
        <v>409.35</v>
      </c>
      <c r="D481" s="2">
        <v>23.39</v>
      </c>
      <c r="F481" s="2">
        <f t="shared" si="56"/>
        <v>1.5381644999356459E-2</v>
      </c>
      <c r="G481" s="2">
        <f t="shared" si="61"/>
        <v>-3.4083992696286591E-3</v>
      </c>
      <c r="H481" s="2">
        <f t="shared" si="62"/>
        <v>-1.1829319814110728E-2</v>
      </c>
      <c r="O481" s="6">
        <f t="shared" si="57"/>
        <v>1.4932415551842432E-2</v>
      </c>
      <c r="P481" s="6">
        <f t="shared" si="58"/>
        <v>-4.4541429917791722E-3</v>
      </c>
      <c r="Q481" s="6">
        <f t="shared" si="59"/>
        <v>-1.3595122012747235E-2</v>
      </c>
      <c r="X481" s="14">
        <f t="shared" si="60"/>
        <v>1.2693055735675958E-3</v>
      </c>
    </row>
    <row r="482" spans="1:24" x14ac:dyDescent="0.25">
      <c r="A482" s="1">
        <v>45994.705555555556</v>
      </c>
      <c r="B482" s="2">
        <v>158.44</v>
      </c>
      <c r="C482" s="2">
        <v>409.31</v>
      </c>
      <c r="D482" s="2">
        <v>23.38</v>
      </c>
      <c r="F482" s="2">
        <f t="shared" si="56"/>
        <v>4.2466882170246745E-3</v>
      </c>
      <c r="G482" s="2">
        <f t="shared" si="61"/>
        <v>-9.7715891046790126E-5</v>
      </c>
      <c r="H482" s="2">
        <f t="shared" si="62"/>
        <v>-4.2753313381793667E-4</v>
      </c>
      <c r="O482" s="6">
        <f t="shared" si="57"/>
        <v>3.797458769510648E-3</v>
      </c>
      <c r="P482" s="6">
        <f t="shared" si="58"/>
        <v>-1.1434596131973034E-3</v>
      </c>
      <c r="Q482" s="6">
        <f t="shared" si="59"/>
        <v>-2.1933353324544436E-3</v>
      </c>
      <c r="X482" s="14">
        <f t="shared" si="60"/>
        <v>6.671971998846915E-4</v>
      </c>
    </row>
    <row r="483" spans="1:24" x14ac:dyDescent="0.25">
      <c r="A483" s="1">
        <v>45995.705555555556</v>
      </c>
      <c r="B483" s="2">
        <v>161.06</v>
      </c>
      <c r="C483" s="2">
        <v>409.85</v>
      </c>
      <c r="D483" s="2">
        <v>23.32</v>
      </c>
      <c r="F483" s="2">
        <f t="shared" si="56"/>
        <v>1.6536228225195737E-2</v>
      </c>
      <c r="G483" s="2">
        <f t="shared" si="61"/>
        <v>1.3192934450660943E-3</v>
      </c>
      <c r="H483" s="2">
        <f t="shared" si="62"/>
        <v>-2.5662959794695572E-3</v>
      </c>
      <c r="O483" s="6">
        <f t="shared" si="57"/>
        <v>1.6086998777681712E-2</v>
      </c>
      <c r="P483" s="6">
        <f t="shared" si="58"/>
        <v>2.7354972291558101E-4</v>
      </c>
      <c r="Q483" s="6">
        <f t="shared" si="59"/>
        <v>-4.3320981781060641E-3</v>
      </c>
      <c r="X483" s="14">
        <f t="shared" si="60"/>
        <v>5.7260460479739515E-3</v>
      </c>
    </row>
    <row r="484" spans="1:24" x14ac:dyDescent="0.25">
      <c r="A484" s="1">
        <v>45996.705555555556</v>
      </c>
      <c r="B484" s="2">
        <v>154.26</v>
      </c>
      <c r="C484" s="2">
        <v>421.4</v>
      </c>
      <c r="D484" s="2">
        <v>23.86</v>
      </c>
      <c r="F484" s="2">
        <f t="shared" si="56"/>
        <v>-4.2220290574941033E-2</v>
      </c>
      <c r="G484" s="2">
        <f t="shared" si="61"/>
        <v>2.8181041844577148E-2</v>
      </c>
      <c r="H484" s="2">
        <f t="shared" si="62"/>
        <v>2.3156089193824947E-2</v>
      </c>
      <c r="O484" s="6">
        <f t="shared" si="57"/>
        <v>-4.2669520022455061E-2</v>
      </c>
      <c r="P484" s="6">
        <f t="shared" si="58"/>
        <v>2.7135298122426633E-2</v>
      </c>
      <c r="Q484" s="6">
        <f t="shared" si="59"/>
        <v>2.139028699518844E-2</v>
      </c>
      <c r="X484" s="14">
        <f t="shared" si="60"/>
        <v>-4.1044712739993243E-3</v>
      </c>
    </row>
    <row r="485" spans="1:24" x14ac:dyDescent="0.25">
      <c r="A485" s="1">
        <v>45999.705555555556</v>
      </c>
      <c r="B485" s="2">
        <v>154.94999999999999</v>
      </c>
      <c r="C485" s="2">
        <v>418.82</v>
      </c>
      <c r="D485" s="2">
        <v>23.76</v>
      </c>
      <c r="F485" s="2">
        <f t="shared" si="56"/>
        <v>4.4729677168415805E-3</v>
      </c>
      <c r="G485" s="2">
        <f t="shared" si="61"/>
        <v>-6.1224489795917991E-3</v>
      </c>
      <c r="H485" s="2">
        <f t="shared" si="62"/>
        <v>-4.191114836546439E-3</v>
      </c>
      <c r="O485" s="6">
        <f t="shared" si="57"/>
        <v>4.023738269327554E-3</v>
      </c>
      <c r="P485" s="6">
        <f t="shared" si="58"/>
        <v>-7.1681927017423121E-3</v>
      </c>
      <c r="Q485" s="6">
        <f t="shared" si="59"/>
        <v>-5.9569170351829459E-3</v>
      </c>
      <c r="X485" s="14">
        <f t="shared" si="60"/>
        <v>-2.0796664068314561E-3</v>
      </c>
    </row>
    <row r="486" spans="1:24" x14ac:dyDescent="0.25">
      <c r="A486" s="1">
        <v>46000.705555555556</v>
      </c>
      <c r="B486" s="2">
        <v>154.77000000000001</v>
      </c>
      <c r="C486" s="2">
        <v>418.65</v>
      </c>
      <c r="D486" s="2">
        <v>23.88</v>
      </c>
      <c r="F486" s="2">
        <f t="shared" si="56"/>
        <v>-1.1616650532428885E-3</v>
      </c>
      <c r="G486" s="2">
        <f t="shared" si="61"/>
        <v>-4.0590229692949453E-4</v>
      </c>
      <c r="H486" s="2">
        <f t="shared" si="62"/>
        <v>5.050505050504972E-3</v>
      </c>
      <c r="O486" s="6">
        <f t="shared" si="57"/>
        <v>-1.610894500756915E-3</v>
      </c>
      <c r="P486" s="6">
        <f t="shared" si="58"/>
        <v>-1.4516460190800078E-3</v>
      </c>
      <c r="Q486" s="6">
        <f t="shared" si="59"/>
        <v>3.2847028518684651E-3</v>
      </c>
      <c r="X486" s="14">
        <f t="shared" si="60"/>
        <v>-2.1677804927815799E-4</v>
      </c>
    </row>
    <row r="487" spans="1:24" x14ac:dyDescent="0.25">
      <c r="A487" s="1">
        <v>46001.705555555556</v>
      </c>
      <c r="B487" s="2">
        <v>155.83000000000001</v>
      </c>
      <c r="C487" s="2">
        <v>424.15</v>
      </c>
      <c r="D487" s="2">
        <v>24.12</v>
      </c>
      <c r="F487" s="2">
        <f t="shared" si="56"/>
        <v>6.8488725205142487E-3</v>
      </c>
      <c r="G487" s="2">
        <f t="shared" si="61"/>
        <v>1.3137465663441983E-2</v>
      </c>
      <c r="H487" s="2">
        <f t="shared" si="62"/>
        <v>1.0050251256281451E-2</v>
      </c>
      <c r="O487" s="6">
        <f t="shared" si="57"/>
        <v>6.3996430730002222E-3</v>
      </c>
      <c r="P487" s="6">
        <f t="shared" si="58"/>
        <v>1.209172194129147E-2</v>
      </c>
      <c r="Q487" s="6">
        <f t="shared" si="59"/>
        <v>8.2844490576449437E-3</v>
      </c>
      <c r="X487" s="14">
        <f t="shared" si="60"/>
        <v>8.6261464052830028E-3</v>
      </c>
    </row>
    <row r="488" spans="1:24" x14ac:dyDescent="0.25">
      <c r="A488" s="1">
        <v>46003.705555555556</v>
      </c>
      <c r="B488" s="2">
        <v>157.54</v>
      </c>
      <c r="C488" s="2">
        <v>416.76</v>
      </c>
      <c r="D488" s="2">
        <v>24.28</v>
      </c>
      <c r="F488" s="2">
        <f t="shared" si="56"/>
        <v>1.0973496759288937E-2</v>
      </c>
      <c r="G488" s="2">
        <f t="shared" si="61"/>
        <v>-1.7423081457031642E-2</v>
      </c>
      <c r="H488" s="2">
        <f t="shared" si="62"/>
        <v>6.6334991708125735E-3</v>
      </c>
      <c r="O488" s="6">
        <f t="shared" si="57"/>
        <v>1.052426731177491E-2</v>
      </c>
      <c r="P488" s="6">
        <f t="shared" si="58"/>
        <v>-1.8468825179182156E-2</v>
      </c>
      <c r="Q488" s="6">
        <f t="shared" si="59"/>
        <v>4.8676969721760666E-3</v>
      </c>
      <c r="X488" s="14">
        <f t="shared" si="60"/>
        <v>2.6797051781407739E-4</v>
      </c>
    </row>
    <row r="489" spans="1:24" x14ac:dyDescent="0.25">
      <c r="A489" s="1">
        <v>46006.705555555556</v>
      </c>
      <c r="B489" s="2">
        <v>159.19999999999999</v>
      </c>
      <c r="C489" s="2">
        <v>415.75</v>
      </c>
      <c r="D489" s="2">
        <v>24.33</v>
      </c>
      <c r="F489" s="2">
        <f t="shared" si="56"/>
        <v>1.0537006474546029E-2</v>
      </c>
      <c r="G489" s="2">
        <f t="shared" si="61"/>
        <v>-2.4234571455993281E-3</v>
      </c>
      <c r="H489" s="2">
        <f t="shared" si="62"/>
        <v>2.0593080724875534E-3</v>
      </c>
      <c r="O489" s="6">
        <f t="shared" si="57"/>
        <v>1.0087777027032003E-2</v>
      </c>
      <c r="P489" s="6">
        <f t="shared" si="58"/>
        <v>-3.4692008677498411E-3</v>
      </c>
      <c r="Q489" s="6">
        <f t="shared" si="59"/>
        <v>2.9350587385104654E-4</v>
      </c>
      <c r="X489" s="14">
        <f t="shared" si="60"/>
        <v>3.3258894685409268E-3</v>
      </c>
    </row>
    <row r="490" spans="1:24" x14ac:dyDescent="0.25">
      <c r="A490" s="1">
        <v>46007.705555555556</v>
      </c>
      <c r="B490" s="2">
        <v>155.52000000000001</v>
      </c>
      <c r="C490" s="2">
        <v>418</v>
      </c>
      <c r="D490" s="2">
        <v>24.54</v>
      </c>
      <c r="F490" s="2">
        <f t="shared" si="56"/>
        <v>-2.311557788944707E-2</v>
      </c>
      <c r="G490" s="2">
        <f t="shared" si="61"/>
        <v>5.4119061936259705E-3</v>
      </c>
      <c r="H490" s="2">
        <f t="shared" si="62"/>
        <v>8.6313193588163362E-3</v>
      </c>
      <c r="O490" s="6">
        <f t="shared" si="57"/>
        <v>-2.3564807336961095E-2</v>
      </c>
      <c r="P490" s="6">
        <f t="shared" si="58"/>
        <v>4.3661624714754575E-3</v>
      </c>
      <c r="Q490" s="6">
        <f t="shared" si="59"/>
        <v>6.8655171601798293E-3</v>
      </c>
      <c r="X490" s="14">
        <f t="shared" si="60"/>
        <v>-6.8142769998291519E-3</v>
      </c>
    </row>
    <row r="491" spans="1:24" x14ac:dyDescent="0.25">
      <c r="A491" s="1">
        <v>46008.705555555556</v>
      </c>
      <c r="B491" s="2">
        <v>154.22999999999999</v>
      </c>
      <c r="C491" s="2">
        <v>417.17</v>
      </c>
      <c r="D491" s="2">
        <v>24.94</v>
      </c>
      <c r="F491" s="2">
        <f t="shared" si="56"/>
        <v>-8.2947530864199148E-3</v>
      </c>
      <c r="G491" s="2">
        <f t="shared" si="61"/>
        <v>-1.9856459330143128E-3</v>
      </c>
      <c r="H491" s="2">
        <f t="shared" si="62"/>
        <v>1.6299918500407573E-2</v>
      </c>
      <c r="O491" s="6">
        <f t="shared" si="57"/>
        <v>-8.7439825339339413E-3</v>
      </c>
      <c r="P491" s="6">
        <f t="shared" si="58"/>
        <v>-3.0313896551648258E-3</v>
      </c>
      <c r="Q491" s="6">
        <f t="shared" si="59"/>
        <v>1.4534116301771066E-2</v>
      </c>
      <c r="X491" s="14">
        <f t="shared" si="60"/>
        <v>-6.2800395673098981E-4</v>
      </c>
    </row>
    <row r="492" spans="1:24" x14ac:dyDescent="0.25">
      <c r="A492" s="1">
        <v>46009.705555555556</v>
      </c>
      <c r="B492" s="2">
        <v>154.79</v>
      </c>
      <c r="C492" s="2">
        <v>420.5</v>
      </c>
      <c r="D492" s="2">
        <v>24.96</v>
      </c>
      <c r="F492" s="2">
        <f t="shared" si="56"/>
        <v>3.6309408026973244E-3</v>
      </c>
      <c r="G492" s="2">
        <f t="shared" si="61"/>
        <v>7.982357312366517E-3</v>
      </c>
      <c r="H492" s="2">
        <f t="shared" si="62"/>
        <v>8.0192461908579205E-4</v>
      </c>
      <c r="O492" s="6">
        <f t="shared" si="57"/>
        <v>3.181711355183298E-3</v>
      </c>
      <c r="P492" s="6">
        <f t="shared" si="58"/>
        <v>6.936613590216004E-3</v>
      </c>
      <c r="Q492" s="6">
        <f t="shared" si="59"/>
        <v>-9.6387757955071485E-4</v>
      </c>
      <c r="X492" s="14">
        <f t="shared" si="60"/>
        <v>3.1684719848412788E-3</v>
      </c>
    </row>
    <row r="493" spans="1:24" x14ac:dyDescent="0.25">
      <c r="A493" s="1">
        <v>46010.705555555556</v>
      </c>
      <c r="B493" s="2">
        <v>155.35</v>
      </c>
      <c r="C493" s="2">
        <v>425.9</v>
      </c>
      <c r="D493" s="2">
        <v>25.06</v>
      </c>
      <c r="F493" s="2">
        <f t="shared" si="56"/>
        <v>3.6178047677499769E-3</v>
      </c>
      <c r="G493" s="2">
        <f t="shared" si="61"/>
        <v>1.284185493460166E-2</v>
      </c>
      <c r="H493" s="2">
        <f t="shared" si="62"/>
        <v>4.0064102564101312E-3</v>
      </c>
      <c r="O493" s="6">
        <f t="shared" si="57"/>
        <v>3.1685753202359505E-3</v>
      </c>
      <c r="P493" s="6">
        <f t="shared" si="58"/>
        <v>1.1796111212451147E-2</v>
      </c>
      <c r="Q493" s="6">
        <f t="shared" si="59"/>
        <v>2.2406080577736243E-3</v>
      </c>
      <c r="X493" s="14">
        <f t="shared" si="60"/>
        <v>5.5024619617308167E-3</v>
      </c>
    </row>
    <row r="494" spans="1:24" x14ac:dyDescent="0.25">
      <c r="A494" s="1">
        <v>46013.705555555556</v>
      </c>
      <c r="B494" s="2">
        <v>153.32</v>
      </c>
      <c r="C494" s="2">
        <v>432.15</v>
      </c>
      <c r="D494" s="2">
        <v>25.88</v>
      </c>
      <c r="F494" s="2">
        <f t="shared" si="56"/>
        <v>-1.3067267460572962E-2</v>
      </c>
      <c r="G494" s="2">
        <f t="shared" si="61"/>
        <v>1.4674806292557019E-2</v>
      </c>
      <c r="H494" s="2">
        <f t="shared" si="62"/>
        <v>3.2721468475658488E-2</v>
      </c>
      <c r="O494" s="6">
        <f t="shared" si="57"/>
        <v>-1.3516496908086989E-2</v>
      </c>
      <c r="P494" s="6">
        <f t="shared" si="58"/>
        <v>1.3629062570406506E-2</v>
      </c>
      <c r="Q494" s="6">
        <f t="shared" si="59"/>
        <v>3.0955666277021981E-2</v>
      </c>
      <c r="X494" s="14">
        <f t="shared" si="60"/>
        <v>6.859948307116749E-3</v>
      </c>
    </row>
    <row r="495" spans="1:24" x14ac:dyDescent="0.25">
      <c r="A495" s="1">
        <v>46014.705555555556</v>
      </c>
      <c r="B495" s="2">
        <v>157.28</v>
      </c>
      <c r="C495" s="2">
        <v>429.5</v>
      </c>
      <c r="D495" s="2">
        <v>25.92</v>
      </c>
      <c r="F495" s="2">
        <f t="shared" si="56"/>
        <v>2.582833289851294E-2</v>
      </c>
      <c r="G495" s="2">
        <f t="shared" si="61"/>
        <v>-6.1321300474371787E-3</v>
      </c>
      <c r="H495" s="2">
        <f t="shared" si="62"/>
        <v>1.5455950540959051E-3</v>
      </c>
      <c r="O495" s="6">
        <f t="shared" si="57"/>
        <v>2.5379103450998915E-2</v>
      </c>
      <c r="P495" s="6">
        <f t="shared" si="58"/>
        <v>-7.1778737695876917E-3</v>
      </c>
      <c r="Q495" s="6">
        <f t="shared" si="59"/>
        <v>-2.2020714454060175E-4</v>
      </c>
      <c r="X495" s="14">
        <f t="shared" si="60"/>
        <v>8.5688948428058968E-3</v>
      </c>
    </row>
    <row r="496" spans="1:24" x14ac:dyDescent="0.25">
      <c r="A496" s="1">
        <v>46017.705555555556</v>
      </c>
      <c r="B496" s="2">
        <v>157.77000000000001</v>
      </c>
      <c r="C496" s="2">
        <v>431.7</v>
      </c>
      <c r="D496" s="2">
        <v>26.19</v>
      </c>
      <c r="F496" s="2">
        <f t="shared" si="56"/>
        <v>3.11546286876907E-3</v>
      </c>
      <c r="G496" s="2">
        <f t="shared" si="61"/>
        <v>5.1222351571593716E-3</v>
      </c>
      <c r="H496" s="2">
        <f t="shared" si="62"/>
        <v>1.0416666666666741E-2</v>
      </c>
      <c r="O496" s="6">
        <f t="shared" si="57"/>
        <v>2.6662334212550435E-3</v>
      </c>
      <c r="P496" s="6">
        <f t="shared" si="58"/>
        <v>4.0764914350088586E-3</v>
      </c>
      <c r="Q496" s="6">
        <f t="shared" si="59"/>
        <v>8.6508644680302338E-3</v>
      </c>
      <c r="X496" s="14">
        <f t="shared" si="60"/>
        <v>4.7352648003079721E-3</v>
      </c>
    </row>
    <row r="497" spans="1:24" x14ac:dyDescent="0.25">
      <c r="A497" s="1">
        <v>46020.705555555556</v>
      </c>
      <c r="B497" s="2">
        <v>157.41</v>
      </c>
      <c r="C497" s="2">
        <v>433.08</v>
      </c>
      <c r="D497" s="2">
        <v>25.18</v>
      </c>
      <c r="F497" s="2">
        <f t="shared" si="56"/>
        <v>-2.2818026240730704E-3</v>
      </c>
      <c r="G497" s="2">
        <f t="shared" si="61"/>
        <v>3.196664350243239E-3</v>
      </c>
      <c r="H497" s="2">
        <f t="shared" si="62"/>
        <v>-3.8564337533409709E-2</v>
      </c>
      <c r="O497" s="6">
        <f t="shared" si="57"/>
        <v>-2.7310320715870969E-3</v>
      </c>
      <c r="P497" s="6">
        <f t="shared" si="58"/>
        <v>2.150920628092726E-3</v>
      </c>
      <c r="Q497" s="6">
        <f t="shared" si="59"/>
        <v>-4.0330139732046216E-2</v>
      </c>
      <c r="X497" s="14">
        <f t="shared" si="60"/>
        <v>-1.1606022061359824E-2</v>
      </c>
    </row>
    <row r="498" spans="1:24" x14ac:dyDescent="0.25">
      <c r="A498" s="1">
        <v>46021.705555555556</v>
      </c>
      <c r="B498" s="2">
        <v>158.01</v>
      </c>
      <c r="C498" s="2">
        <v>424.2</v>
      </c>
      <c r="D498" s="2">
        <v>24.77</v>
      </c>
      <c r="F498" s="2">
        <f t="shared" si="56"/>
        <v>3.8117019249095385E-3</v>
      </c>
      <c r="G498" s="2">
        <f t="shared" si="61"/>
        <v>-2.0504294818509239E-2</v>
      </c>
      <c r="H498" s="2">
        <f t="shared" si="62"/>
        <v>-1.6282764098490832E-2</v>
      </c>
      <c r="O498" s="6">
        <f t="shared" si="57"/>
        <v>3.362472477395512E-3</v>
      </c>
      <c r="P498" s="6">
        <f t="shared" si="58"/>
        <v>-2.1550038540659754E-2</v>
      </c>
      <c r="Q498" s="6">
        <f t="shared" si="59"/>
        <v>-1.8048566297127339E-2</v>
      </c>
      <c r="X498" s="14">
        <f>$T$47*O498+$T$48*P498+$T$49*Q498</f>
        <v>-1.0001859422559945E-2</v>
      </c>
    </row>
  </sheetData>
  <mergeCells count="10">
    <mergeCell ref="S16:T16"/>
    <mergeCell ref="S26:T26"/>
    <mergeCell ref="S36:T36"/>
    <mergeCell ref="S46:T46"/>
    <mergeCell ref="K9:M9"/>
    <mergeCell ref="F1:H1"/>
    <mergeCell ref="K1:M1"/>
    <mergeCell ref="O1:Q1"/>
    <mergeCell ref="S1:V1"/>
    <mergeCell ref="S10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2026-01-05T17:02:32Z</dcterms:created>
  <dcterms:modified xsi:type="dcterms:W3CDTF">2026-07-28T22:54:19Z</dcterms:modified>
</cp:coreProperties>
</file>