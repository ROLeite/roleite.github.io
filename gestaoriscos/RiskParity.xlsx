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centect\Downloads\"/>
    </mc:Choice>
  </mc:AlternateContent>
  <bookViews>
    <workbookView xWindow="0" yWindow="0" windowWidth="23040" windowHeight="9072"/>
  </bookViews>
  <sheets>
    <sheet name="Sheet1" sheetId="1" r:id="rId1"/>
  </sheets>
  <definedNames>
    <definedName name="solver_adj" localSheetId="0" hidden="1">Sheet1!$J$5</definedName>
    <definedName name="solver_cvg" localSheetId="0" hidden="1">"""""""""""""""""""""""""""""""""""""""""""""""""""""""""""""""0,0001"""""""""""""""""""""""""""""""""""""""""""""""""""""""""""""""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Sheet1!$J$10</definedName>
    <definedName name="solver_lhs2" localSheetId="0" hidden="1">Sheet1!$J$18</definedName>
    <definedName name="solver_mip" localSheetId="0" hidden="1">2147483647</definedName>
    <definedName name="solver_mni" localSheetId="0" hidden="1">30</definedName>
    <definedName name="solver_mrt" localSheetId="0" hidden="1">"""""""""""""""""""""""""""""""""""""""""""""""""""""""""""""""0,075"""""""""""""""""""""""""""""""""""""""""""""""""""""""""""""""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Sheet1!$J$17</definedName>
    <definedName name="solver_pre" localSheetId="0" hidden="1">"""""""""""""""""""""""""""""""""""""""""""""""""""""""""""""""0,000001"""""""""""""""""""""""""""""""""""""""""""""""""""""""""""""""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Sheet1!$J$11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O10" i="1"/>
  <c r="O9" i="1"/>
  <c r="J3" i="1"/>
  <c r="J2" i="1"/>
  <c r="C2" i="1"/>
  <c r="O14" i="1" l="1"/>
  <c r="N10" i="1"/>
  <c r="G2" i="1"/>
  <c r="M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J18" i="1" l="1"/>
  <c r="J13" i="1"/>
  <c r="J8" i="1"/>
  <c r="J14" i="1" s="1"/>
  <c r="J17" i="1" s="1"/>
  <c r="G100" i="1"/>
  <c r="G127" i="1"/>
  <c r="G142" i="1"/>
  <c r="G157" i="1"/>
  <c r="G172" i="1"/>
  <c r="G179" i="1"/>
  <c r="G188" i="1"/>
  <c r="G192" i="1"/>
  <c r="G236" i="1"/>
  <c r="G244" i="1"/>
  <c r="G258" i="1"/>
  <c r="G262" i="1"/>
  <c r="G270" i="1"/>
  <c r="G272" i="1"/>
  <c r="G281" i="1"/>
  <c r="G311" i="1"/>
  <c r="G328" i="1"/>
  <c r="G337" i="1"/>
  <c r="G376" i="1"/>
  <c r="G399" i="1"/>
  <c r="G404" i="1"/>
  <c r="G410" i="1"/>
  <c r="G423" i="1"/>
  <c r="G459" i="1"/>
  <c r="G513" i="1"/>
  <c r="G517" i="1"/>
  <c r="G546" i="1"/>
  <c r="G554" i="1"/>
  <c r="G567" i="1"/>
  <c r="G582" i="1"/>
  <c r="G589" i="1"/>
  <c r="G615" i="1"/>
  <c r="G622" i="1"/>
  <c r="G626" i="1"/>
  <c r="G630" i="1"/>
  <c r="G649" i="1"/>
  <c r="G661" i="1"/>
  <c r="G665" i="1"/>
  <c r="G683" i="1"/>
  <c r="G693" i="1"/>
  <c r="G717" i="1"/>
  <c r="G750" i="1"/>
  <c r="G754" i="1"/>
  <c r="G773" i="1"/>
  <c r="G781" i="1"/>
  <c r="G793" i="1"/>
  <c r="G799" i="1"/>
  <c r="G855" i="1"/>
  <c r="G17" i="1"/>
  <c r="G40" i="1"/>
  <c r="G47" i="1"/>
  <c r="G52" i="1"/>
  <c r="G60" i="1"/>
  <c r="G86" i="1"/>
  <c r="G99" i="1"/>
  <c r="G102" i="1"/>
  <c r="G108" i="1"/>
  <c r="G115" i="1"/>
  <c r="G130" i="1"/>
  <c r="G146" i="1"/>
  <c r="G151" i="1"/>
  <c r="G162" i="1"/>
  <c r="G167" i="1"/>
  <c r="G199" i="1"/>
  <c r="G206" i="1"/>
  <c r="G226" i="1"/>
  <c r="G229" i="1"/>
  <c r="G249" i="1"/>
  <c r="G252" i="1"/>
  <c r="G296" i="1"/>
  <c r="G317" i="1"/>
  <c r="G321" i="1"/>
  <c r="G323" i="1"/>
  <c r="G326" i="1"/>
  <c r="G351" i="1"/>
  <c r="G372" i="1"/>
  <c r="G383" i="1"/>
  <c r="G389" i="1"/>
  <c r="G396" i="1"/>
  <c r="G427" i="1"/>
  <c r="G433" i="1"/>
  <c r="G455" i="1"/>
  <c r="G462" i="1"/>
  <c r="G493" i="1"/>
  <c r="G502" i="1"/>
  <c r="G520" i="1"/>
  <c r="G524" i="1"/>
  <c r="G527" i="1"/>
  <c r="G530" i="1"/>
  <c r="G559" i="1"/>
  <c r="G594" i="1"/>
  <c r="G601" i="1"/>
  <c r="G605" i="1"/>
  <c r="G608" i="1"/>
  <c r="G611" i="1"/>
  <c r="G627" i="1"/>
  <c r="G635" i="1"/>
  <c r="G645" i="1"/>
  <c r="G669" i="1"/>
  <c r="G672" i="1"/>
  <c r="G676" i="1"/>
  <c r="G681" i="1"/>
  <c r="G703" i="1"/>
  <c r="G731" i="1"/>
  <c r="G742" i="1"/>
  <c r="G751" i="1"/>
  <c r="G759" i="1"/>
  <c r="G824" i="1"/>
  <c r="G836" i="1"/>
  <c r="G858" i="1"/>
  <c r="G863" i="1"/>
  <c r="G883" i="1"/>
  <c r="G3" i="1"/>
  <c r="G5" i="1"/>
  <c r="G141" i="1"/>
  <c r="G150" i="1"/>
  <c r="G165" i="1"/>
  <c r="G171" i="1"/>
  <c r="G187" i="1"/>
  <c r="G203" i="1"/>
  <c r="G266" i="1"/>
  <c r="G283" i="1"/>
  <c r="G294" i="1"/>
  <c r="G301" i="1"/>
  <c r="G303" i="1"/>
  <c r="G307" i="1"/>
  <c r="G327" i="1"/>
  <c r="G358" i="1"/>
  <c r="G382" i="1"/>
  <c r="G387" i="1"/>
  <c r="G412" i="1"/>
  <c r="G424" i="1"/>
  <c r="G430" i="1"/>
  <c r="G435" i="1"/>
  <c r="G473" i="1"/>
  <c r="G486" i="1"/>
  <c r="G490" i="1"/>
  <c r="G495" i="1"/>
  <c r="G548" i="1"/>
  <c r="G568" i="1"/>
  <c r="G574" i="1"/>
  <c r="G590" i="1"/>
  <c r="G596" i="1"/>
  <c r="G600" i="1"/>
  <c r="G614" i="1"/>
  <c r="G621" i="1"/>
  <c r="G634" i="1"/>
  <c r="G653" i="1"/>
  <c r="G658" i="1"/>
  <c r="G667" i="1"/>
  <c r="G673" i="1"/>
  <c r="G720" i="1"/>
  <c r="G733" i="1"/>
  <c r="G738" i="1"/>
  <c r="G757" i="1"/>
  <c r="G764" i="1"/>
  <c r="G774" i="1"/>
  <c r="G800" i="1"/>
  <c r="G817" i="1"/>
  <c r="G831" i="1"/>
  <c r="G840" i="1"/>
  <c r="G846" i="1"/>
  <c r="G8" i="1"/>
  <c r="G25" i="1"/>
  <c r="G33" i="1"/>
  <c r="G36" i="1"/>
  <c r="G46" i="1"/>
  <c r="G61" i="1"/>
  <c r="G79" i="1"/>
  <c r="G83" i="1"/>
  <c r="G87" i="1"/>
  <c r="G114" i="1"/>
  <c r="G120" i="1"/>
  <c r="G160" i="1"/>
  <c r="G163" i="1"/>
  <c r="G169" i="1"/>
  <c r="G208" i="1"/>
  <c r="G218" i="1"/>
  <c r="G228" i="1"/>
  <c r="G248" i="1"/>
  <c r="G274" i="1"/>
  <c r="G280" i="1"/>
  <c r="G288" i="1"/>
  <c r="G306" i="1"/>
  <c r="G319" i="1"/>
  <c r="G329" i="1"/>
  <c r="G365" i="1"/>
  <c r="G401" i="1"/>
  <c r="G411" i="1"/>
  <c r="G417" i="1"/>
  <c r="G432" i="1"/>
  <c r="G449" i="1"/>
  <c r="G464" i="1"/>
  <c r="G470" i="1"/>
  <c r="G496" i="1"/>
  <c r="G579" i="1"/>
  <c r="G609" i="1"/>
  <c r="G631" i="1"/>
  <c r="G639" i="1"/>
  <c r="G659" i="1"/>
  <c r="G674" i="1"/>
  <c r="G714" i="1"/>
  <c r="G727" i="1"/>
  <c r="G735" i="1"/>
  <c r="G747" i="1"/>
  <c r="G772" i="1"/>
  <c r="G775" i="1"/>
  <c r="G886" i="1"/>
  <c r="G16" i="1"/>
  <c r="G196" i="1"/>
  <c r="G200" i="1"/>
  <c r="G230" i="1"/>
  <c r="G234" i="1"/>
  <c r="G240" i="1"/>
  <c r="G259" i="1"/>
  <c r="G277" i="1"/>
  <c r="G302" i="1"/>
  <c r="G312" i="1"/>
  <c r="G316" i="1"/>
  <c r="G334" i="1"/>
  <c r="G341" i="1"/>
  <c r="G357" i="1"/>
  <c r="G361" i="1"/>
  <c r="G393" i="1"/>
  <c r="G409" i="1"/>
  <c r="G416" i="1"/>
  <c r="G438" i="1"/>
  <c r="G442" i="1"/>
  <c r="G445" i="1"/>
  <c r="G456" i="1"/>
  <c r="G465" i="1"/>
  <c r="G469" i="1"/>
  <c r="G481" i="1"/>
  <c r="G494" i="1"/>
  <c r="G500" i="1"/>
  <c r="G506" i="1"/>
  <c r="G511" i="1"/>
  <c r="G534" i="1"/>
  <c r="G572" i="1"/>
  <c r="G576" i="1"/>
  <c r="G585" i="1"/>
  <c r="G613" i="1"/>
  <c r="G629" i="1"/>
  <c r="G660" i="1"/>
  <c r="G737" i="1"/>
  <c r="G745" i="1"/>
  <c r="G753" i="1"/>
  <c r="G769" i="1"/>
  <c r="G777" i="1"/>
  <c r="G780" i="1"/>
  <c r="G784" i="1"/>
  <c r="G789" i="1"/>
  <c r="G796" i="1"/>
  <c r="G803" i="1"/>
  <c r="G810" i="1"/>
  <c r="G816" i="1"/>
  <c r="G819" i="1"/>
  <c r="G827" i="1"/>
  <c r="G851" i="1"/>
  <c r="G857" i="1"/>
  <c r="G864" i="1"/>
  <c r="G866" i="1"/>
  <c r="G877" i="1"/>
  <c r="G887" i="1"/>
  <c r="G11" i="1"/>
  <c r="G41" i="1"/>
  <c r="G59" i="1"/>
  <c r="G65" i="1"/>
  <c r="G85" i="1"/>
  <c r="G96" i="1"/>
  <c r="G112" i="1"/>
  <c r="G122" i="1"/>
  <c r="G131" i="1"/>
  <c r="G145" i="1"/>
  <c r="G149" i="1"/>
  <c r="G154" i="1"/>
  <c r="G158" i="1"/>
  <c r="G173" i="1"/>
  <c r="G178" i="1"/>
  <c r="G184" i="1"/>
  <c r="G212" i="1"/>
  <c r="G233" i="1"/>
  <c r="G255" i="1"/>
  <c r="G263" i="1"/>
  <c r="G275" i="1"/>
  <c r="G285" i="1"/>
  <c r="G295" i="1"/>
  <c r="G315" i="1"/>
  <c r="G331" i="1"/>
  <c r="G338" i="1"/>
  <c r="G352" i="1"/>
  <c r="G367" i="1"/>
  <c r="G377" i="1"/>
  <c r="G391" i="1"/>
  <c r="G395" i="1"/>
  <c r="G448" i="1"/>
  <c r="G458" i="1"/>
  <c r="G467" i="1"/>
  <c r="G476" i="1"/>
  <c r="G484" i="1"/>
  <c r="G512" i="1"/>
  <c r="G539" i="1"/>
  <c r="G566" i="1"/>
  <c r="G573" i="1"/>
  <c r="G575" i="1"/>
  <c r="G619" i="1"/>
  <c r="G651" i="1"/>
  <c r="G675" i="1"/>
  <c r="G679" i="1"/>
  <c r="G704" i="1"/>
  <c r="G709" i="1"/>
  <c r="G721" i="1"/>
  <c r="G746" i="1"/>
  <c r="G760" i="1"/>
  <c r="G778" i="1"/>
  <c r="G785" i="1"/>
  <c r="G812" i="1"/>
  <c r="G820" i="1"/>
  <c r="G843" i="1"/>
  <c r="G845" i="1"/>
  <c r="G854" i="1"/>
  <c r="G9" i="1"/>
  <c r="G38" i="1"/>
  <c r="G43" i="1"/>
  <c r="G48" i="1"/>
  <c r="G92" i="1"/>
  <c r="G95" i="1"/>
  <c r="G107" i="1"/>
  <c r="G139" i="1"/>
  <c r="G185" i="1"/>
  <c r="G195" i="1"/>
  <c r="G209" i="1"/>
  <c r="G219" i="1"/>
  <c r="G231" i="1"/>
  <c r="G245" i="1"/>
  <c r="G256" i="1"/>
  <c r="G269" i="1"/>
  <c r="G318" i="1"/>
  <c r="G343" i="1"/>
  <c r="G381" i="1"/>
  <c r="G407" i="1"/>
  <c r="G414" i="1"/>
  <c r="G434" i="1"/>
  <c r="G447" i="1"/>
  <c r="G460" i="1"/>
  <c r="G471" i="1"/>
  <c r="G478" i="1"/>
  <c r="G532" i="1"/>
  <c r="G538" i="1"/>
  <c r="G542" i="1"/>
  <c r="G551" i="1"/>
  <c r="G555" i="1"/>
  <c r="G642" i="1"/>
  <c r="G647" i="1"/>
  <c r="G652" i="1"/>
  <c r="G664" i="1"/>
  <c r="G670" i="1"/>
  <c r="G686" i="1"/>
  <c r="G701" i="1"/>
  <c r="G708" i="1"/>
  <c r="G729" i="1"/>
  <c r="G744" i="1"/>
  <c r="G752" i="1"/>
  <c r="G782" i="1"/>
  <c r="G787" i="1"/>
  <c r="G804" i="1"/>
  <c r="G826" i="1"/>
  <c r="G830" i="1"/>
  <c r="G862" i="1"/>
  <c r="G870" i="1"/>
  <c r="G12" i="1"/>
  <c r="G193" i="1"/>
  <c r="G202" i="1"/>
  <c r="G216" i="1"/>
  <c r="G221" i="1"/>
  <c r="G235" i="1"/>
  <c r="G239" i="1"/>
  <c r="G257" i="1"/>
  <c r="G261" i="1"/>
  <c r="G278" i="1"/>
  <c r="G290" i="1"/>
  <c r="G347" i="1"/>
  <c r="G353" i="1"/>
  <c r="G359" i="1"/>
  <c r="G388" i="1"/>
  <c r="G397" i="1"/>
  <c r="G420" i="1"/>
  <c r="G425" i="1"/>
  <c r="G444" i="1"/>
  <c r="G446" i="1"/>
  <c r="G452" i="1"/>
  <c r="G521" i="1"/>
  <c r="G540" i="1"/>
  <c r="G557" i="1"/>
  <c r="G561" i="1"/>
  <c r="G583" i="1"/>
  <c r="G593" i="1"/>
  <c r="G618" i="1"/>
  <c r="G624" i="1"/>
  <c r="G637" i="1"/>
  <c r="G695" i="1"/>
  <c r="G713" i="1"/>
  <c r="G718" i="1"/>
  <c r="G724" i="1"/>
  <c r="G728" i="1"/>
  <c r="G779" i="1"/>
  <c r="G792" i="1"/>
  <c r="G802" i="1"/>
  <c r="G806" i="1"/>
  <c r="G811" i="1"/>
  <c r="G825" i="1"/>
  <c r="G832" i="1"/>
  <c r="G839" i="1"/>
  <c r="G853" i="1"/>
  <c r="G875" i="1"/>
  <c r="G881" i="1"/>
  <c r="G6" i="1"/>
  <c r="G27" i="1"/>
  <c r="G30" i="1"/>
  <c r="G35" i="1"/>
  <c r="G39" i="1"/>
  <c r="G49" i="1"/>
  <c r="G54" i="1"/>
  <c r="G62" i="1"/>
  <c r="G66" i="1"/>
  <c r="G82" i="1"/>
  <c r="G88" i="1"/>
  <c r="G103" i="1"/>
  <c r="G121" i="1"/>
  <c r="G132" i="1"/>
  <c r="G136" i="1"/>
  <c r="G147" i="1"/>
  <c r="G156" i="1"/>
  <c r="G166" i="1"/>
  <c r="G186" i="1"/>
  <c r="G214" i="1"/>
  <c r="G222" i="1"/>
  <c r="G225" i="1"/>
  <c r="G250" i="1"/>
  <c r="G276" i="1"/>
  <c r="G293" i="1"/>
  <c r="G332" i="1"/>
  <c r="G348" i="1"/>
  <c r="G362" i="1"/>
  <c r="G368" i="1"/>
  <c r="G386" i="1"/>
  <c r="G413" i="1"/>
  <c r="G419" i="1"/>
  <c r="G429" i="1"/>
  <c r="G436" i="1"/>
  <c r="G441" i="1"/>
  <c r="G466" i="1"/>
  <c r="G487" i="1"/>
  <c r="G508" i="1"/>
  <c r="G519" i="1"/>
  <c r="G563" i="1"/>
  <c r="G616" i="1"/>
  <c r="G657" i="1"/>
  <c r="G685" i="1"/>
  <c r="G691" i="1"/>
  <c r="G736" i="1"/>
  <c r="G749" i="1"/>
  <c r="G765" i="1"/>
  <c r="G791" i="1"/>
  <c r="G798" i="1"/>
  <c r="G807" i="1"/>
  <c r="G813" i="1"/>
  <c r="G821" i="1"/>
  <c r="G847" i="1"/>
  <c r="G850" i="1"/>
  <c r="G852" i="1"/>
  <c r="G859" i="1"/>
  <c r="G869" i="1"/>
  <c r="G874" i="1"/>
  <c r="G7" i="1"/>
  <c r="G20" i="1"/>
  <c r="G22" i="1"/>
  <c r="G24" i="1"/>
  <c r="G26" i="1"/>
  <c r="G45" i="1"/>
  <c r="G50" i="1"/>
  <c r="G56" i="1"/>
  <c r="G64" i="1"/>
  <c r="G67" i="1"/>
  <c r="G71" i="1"/>
  <c r="G77" i="1"/>
  <c r="G91" i="1"/>
  <c r="G94" i="1"/>
  <c r="G104" i="1"/>
  <c r="G113" i="1"/>
  <c r="G124" i="1"/>
  <c r="G140" i="1"/>
  <c r="G177" i="1"/>
  <c r="G190" i="1"/>
  <c r="G194" i="1"/>
  <c r="G201" i="1"/>
  <c r="G238" i="1"/>
  <c r="G246" i="1"/>
  <c r="G251" i="1"/>
  <c r="G273" i="1"/>
  <c r="G284" i="1"/>
  <c r="G308" i="1"/>
  <c r="G342" i="1"/>
  <c r="G346" i="1"/>
  <c r="G363" i="1"/>
  <c r="G394" i="1"/>
  <c r="G400" i="1"/>
  <c r="G421" i="1"/>
  <c r="G451" i="1"/>
  <c r="G475" i="1"/>
  <c r="G480" i="1"/>
  <c r="G498" i="1"/>
  <c r="G516" i="1"/>
  <c r="G526" i="1"/>
  <c r="G536" i="1"/>
  <c r="G541" i="1"/>
  <c r="G544" i="1"/>
  <c r="G571" i="1"/>
  <c r="G581" i="1"/>
  <c r="G591" i="1"/>
  <c r="G595" i="1"/>
  <c r="G603" i="1"/>
  <c r="G606" i="1"/>
  <c r="G628" i="1"/>
  <c r="G680" i="1"/>
  <c r="G692" i="1"/>
  <c r="G698" i="1"/>
  <c r="G705" i="1"/>
  <c r="G711" i="1"/>
  <c r="G715" i="1"/>
  <c r="G719" i="1"/>
  <c r="G748" i="1"/>
  <c r="G755" i="1"/>
  <c r="G763" i="1"/>
  <c r="G766" i="1"/>
  <c r="G783" i="1"/>
  <c r="G797" i="1"/>
  <c r="G835" i="1"/>
  <c r="G842" i="1"/>
  <c r="G860" i="1"/>
  <c r="G867" i="1"/>
  <c r="G882" i="1"/>
  <c r="G14" i="1"/>
  <c r="G29" i="1"/>
  <c r="G37" i="1"/>
  <c r="G44" i="1"/>
  <c r="G53" i="1"/>
  <c r="G58" i="1"/>
  <c r="G69" i="1"/>
  <c r="G75" i="1"/>
  <c r="G81" i="1"/>
  <c r="G98" i="1"/>
  <c r="G105" i="1"/>
  <c r="G111" i="1"/>
  <c r="G116" i="1"/>
  <c r="G143" i="1"/>
  <c r="G155" i="1"/>
  <c r="G161" i="1"/>
  <c r="G176" i="1"/>
  <c r="G180" i="1"/>
  <c r="G205" i="1"/>
  <c r="G210" i="1"/>
  <c r="G223" i="1"/>
  <c r="G243" i="1"/>
  <c r="G264" i="1"/>
  <c r="G271" i="1"/>
  <c r="G320" i="1"/>
  <c r="G333" i="1"/>
  <c r="G340" i="1"/>
  <c r="G403" i="1"/>
  <c r="G406" i="1"/>
  <c r="G428" i="1"/>
  <c r="G472" i="1"/>
  <c r="G482" i="1"/>
  <c r="G504" i="1"/>
  <c r="G510" i="1"/>
  <c r="G514" i="1"/>
  <c r="G525" i="1"/>
  <c r="G537" i="1"/>
  <c r="G545" i="1"/>
  <c r="G549" i="1"/>
  <c r="G556" i="1"/>
  <c r="G562" i="1"/>
  <c r="G588" i="1"/>
  <c r="G592" i="1"/>
  <c r="G598" i="1"/>
  <c r="G617" i="1"/>
  <c r="G623" i="1"/>
  <c r="G641" i="1"/>
  <c r="G650" i="1"/>
  <c r="G656" i="1"/>
  <c r="G662" i="1"/>
  <c r="G684" i="1"/>
  <c r="G690" i="1"/>
  <c r="G696" i="1"/>
  <c r="G702" i="1"/>
  <c r="G707" i="1"/>
  <c r="G710" i="1"/>
  <c r="G722" i="1"/>
  <c r="G725" i="1"/>
  <c r="G741" i="1"/>
  <c r="G761" i="1"/>
  <c r="G770" i="1"/>
  <c r="G776" i="1"/>
  <c r="G801" i="1"/>
  <c r="G808" i="1"/>
  <c r="G815" i="1"/>
  <c r="G833" i="1"/>
  <c r="G861" i="1"/>
  <c r="G15" i="1"/>
  <c r="G247" i="1"/>
  <c r="G260" i="1"/>
  <c r="G265" i="1"/>
  <c r="G268" i="1"/>
  <c r="G279" i="1"/>
  <c r="G298" i="1"/>
  <c r="G324" i="1"/>
  <c r="G330" i="1"/>
  <c r="G335" i="1"/>
  <c r="G350" i="1"/>
  <c r="G370" i="1"/>
  <c r="G375" i="1"/>
  <c r="G379" i="1"/>
  <c r="G408" i="1"/>
  <c r="G454" i="1"/>
  <c r="G463" i="1"/>
  <c r="G479" i="1"/>
  <c r="G483" i="1"/>
  <c r="G488" i="1"/>
  <c r="G499" i="1"/>
  <c r="G509" i="1"/>
  <c r="G533" i="1"/>
  <c r="G543" i="1"/>
  <c r="G550" i="1"/>
  <c r="G560" i="1"/>
  <c r="G564" i="1"/>
  <c r="G569" i="1"/>
  <c r="G636" i="1"/>
  <c r="G643" i="1"/>
  <c r="G655" i="1"/>
  <c r="G663" i="1"/>
  <c r="G689" i="1"/>
  <c r="G739" i="1"/>
  <c r="G790" i="1"/>
  <c r="G844" i="1"/>
  <c r="G879" i="1"/>
  <c r="G10" i="1"/>
  <c r="G34" i="1"/>
  <c r="G42" i="1"/>
  <c r="G63" i="1"/>
  <c r="G73" i="1"/>
  <c r="G97" i="1"/>
  <c r="G110" i="1"/>
  <c r="G117" i="1"/>
  <c r="G128" i="1"/>
  <c r="G133" i="1"/>
  <c r="G137" i="1"/>
  <c r="G144" i="1"/>
  <c r="G148" i="1"/>
  <c r="G175" i="1"/>
  <c r="G182" i="1"/>
  <c r="G198" i="1"/>
  <c r="G204" i="1"/>
  <c r="G215" i="1"/>
  <c r="G227" i="1"/>
  <c r="G232" i="1"/>
  <c r="G241" i="1"/>
  <c r="G253" i="1"/>
  <c r="G282" i="1"/>
  <c r="G286" i="1"/>
  <c r="G291" i="1"/>
  <c r="G304" i="1"/>
  <c r="G310" i="1"/>
  <c r="G313" i="1"/>
  <c r="G339" i="1"/>
  <c r="G360" i="1"/>
  <c r="G364" i="1"/>
  <c r="G369" i="1"/>
  <c r="G378" i="1"/>
  <c r="G384" i="1"/>
  <c r="G392" i="1"/>
  <c r="G398" i="1"/>
  <c r="G415" i="1"/>
  <c r="G418" i="1"/>
  <c r="G422" i="1"/>
  <c r="G437" i="1"/>
  <c r="G440" i="1"/>
  <c r="G443" i="1"/>
  <c r="G468" i="1"/>
  <c r="G477" i="1"/>
  <c r="G501" i="1"/>
  <c r="G505" i="1"/>
  <c r="G515" i="1"/>
  <c r="G523" i="1"/>
  <c r="G528" i="1"/>
  <c r="G552" i="1"/>
  <c r="G570" i="1"/>
  <c r="G577" i="1"/>
  <c r="G584" i="1"/>
  <c r="G587" i="1"/>
  <c r="G597" i="1"/>
  <c r="G612" i="1"/>
  <c r="G632" i="1"/>
  <c r="G668" i="1"/>
  <c r="G678" i="1"/>
  <c r="G697" i="1"/>
  <c r="G726" i="1"/>
  <c r="G732" i="1"/>
  <c r="G756" i="1"/>
  <c r="G767" i="1"/>
  <c r="G788" i="1"/>
  <c r="G795" i="1"/>
  <c r="G814" i="1"/>
  <c r="G818" i="1"/>
  <c r="G822" i="1"/>
  <c r="G829" i="1"/>
  <c r="G834" i="1"/>
  <c r="G841" i="1"/>
  <c r="G856" i="1"/>
  <c r="G865" i="1"/>
  <c r="G871" i="1"/>
  <c r="G18" i="1"/>
  <c r="G31" i="1"/>
  <c r="G74" i="1"/>
  <c r="G90" i="1"/>
  <c r="G118" i="1"/>
  <c r="G123" i="1"/>
  <c r="G152" i="1"/>
  <c r="G164" i="1"/>
  <c r="G170" i="1"/>
  <c r="G174" i="1"/>
  <c r="G183" i="1"/>
  <c r="G213" i="1"/>
  <c r="G217" i="1"/>
  <c r="G220" i="1"/>
  <c r="G237" i="1"/>
  <c r="G242" i="1"/>
  <c r="G254" i="1"/>
  <c r="G292" i="1"/>
  <c r="G300" i="1"/>
  <c r="G305" i="1"/>
  <c r="G314" i="1"/>
  <c r="G322" i="1"/>
  <c r="G336" i="1"/>
  <c r="G354" i="1"/>
  <c r="G371" i="1"/>
  <c r="G373" i="1"/>
  <c r="G431" i="1"/>
  <c r="G450" i="1"/>
  <c r="G461" i="1"/>
  <c r="G474" i="1"/>
  <c r="G507" i="1"/>
  <c r="G558" i="1"/>
  <c r="G565" i="1"/>
  <c r="G580" i="1"/>
  <c r="G602" i="1"/>
  <c r="G620" i="1"/>
  <c r="G625" i="1"/>
  <c r="G640" i="1"/>
  <c r="G644" i="1"/>
  <c r="G648" i="1"/>
  <c r="G682" i="1"/>
  <c r="G688" i="1"/>
  <c r="G699" i="1"/>
  <c r="G706" i="1"/>
  <c r="G734" i="1"/>
  <c r="G740" i="1"/>
  <c r="G828" i="1"/>
  <c r="G848" i="1"/>
  <c r="G868" i="1"/>
  <c r="G878" i="1"/>
  <c r="G884" i="1"/>
  <c r="G13" i="1"/>
  <c r="G51" i="1"/>
  <c r="G55" i="1"/>
  <c r="G70" i="1"/>
  <c r="G72" i="1"/>
  <c r="G76" i="1"/>
  <c r="G80" i="1"/>
  <c r="G84" i="1"/>
  <c r="G89" i="1"/>
  <c r="G101" i="1"/>
  <c r="G106" i="1"/>
  <c r="G126" i="1"/>
  <c r="G134" i="1"/>
  <c r="G168" i="1"/>
  <c r="G191" i="1"/>
  <c r="G207" i="1"/>
  <c r="G211" i="1"/>
  <c r="G289" i="1"/>
  <c r="G297" i="1"/>
  <c r="G325" i="1"/>
  <c r="G344" i="1"/>
  <c r="G349" i="1"/>
  <c r="G356" i="1"/>
  <c r="G374" i="1"/>
  <c r="G390" i="1"/>
  <c r="G405" i="1"/>
  <c r="G426" i="1"/>
  <c r="G489" i="1"/>
  <c r="G492" i="1"/>
  <c r="G497" i="1"/>
  <c r="G518" i="1"/>
  <c r="G522" i="1"/>
  <c r="G547" i="1"/>
  <c r="G553" i="1"/>
  <c r="G599" i="1"/>
  <c r="G604" i="1"/>
  <c r="G610" i="1"/>
  <c r="G633" i="1"/>
  <c r="G638" i="1"/>
  <c r="G646" i="1"/>
  <c r="G666" i="1"/>
  <c r="G671" i="1"/>
  <c r="G677" i="1"/>
  <c r="G687" i="1"/>
  <c r="G712" i="1"/>
  <c r="G730" i="1"/>
  <c r="G758" i="1"/>
  <c r="G768" i="1"/>
  <c r="G837" i="1"/>
  <c r="G849" i="1"/>
  <c r="G873" i="1"/>
  <c r="G876" i="1"/>
  <c r="G885" i="1"/>
  <c r="G4" i="1"/>
  <c r="G19" i="1"/>
  <c r="G21" i="1"/>
  <c r="G23" i="1"/>
  <c r="G28" i="1"/>
  <c r="G32" i="1"/>
  <c r="G57" i="1"/>
  <c r="G68" i="1"/>
  <c r="G78" i="1"/>
  <c r="G93" i="1"/>
  <c r="G109" i="1"/>
  <c r="G119" i="1"/>
  <c r="G125" i="1"/>
  <c r="G129" i="1"/>
  <c r="G135" i="1"/>
  <c r="G138" i="1"/>
  <c r="G153" i="1"/>
  <c r="G159" i="1"/>
  <c r="G181" i="1"/>
  <c r="G189" i="1"/>
  <c r="G197" i="1"/>
  <c r="G224" i="1"/>
  <c r="G267" i="1"/>
  <c r="G287" i="1"/>
  <c r="G299" i="1"/>
  <c r="G309" i="1"/>
  <c r="G345" i="1"/>
  <c r="G355" i="1"/>
  <c r="G366" i="1"/>
  <c r="G380" i="1"/>
  <c r="G385" i="1"/>
  <c r="G402" i="1"/>
  <c r="G439" i="1"/>
  <c r="G453" i="1"/>
  <c r="G457" i="1"/>
  <c r="G485" i="1"/>
  <c r="G491" i="1"/>
  <c r="G503" i="1"/>
  <c r="G529" i="1"/>
  <c r="G531" i="1"/>
  <c r="G535" i="1"/>
  <c r="G578" i="1"/>
  <c r="G586" i="1"/>
  <c r="G607" i="1"/>
  <c r="G654" i="1"/>
  <c r="G694" i="1"/>
  <c r="G700" i="1"/>
  <c r="G716" i="1"/>
  <c r="G723" i="1"/>
  <c r="G743" i="1"/>
  <c r="G762" i="1"/>
  <c r="G771" i="1"/>
  <c r="G786" i="1"/>
  <c r="G794" i="1"/>
  <c r="G805" i="1"/>
  <c r="G809" i="1"/>
  <c r="G823" i="1"/>
  <c r="G838" i="1"/>
  <c r="G872" i="1"/>
  <c r="G880" i="1"/>
  <c r="J10" i="1" l="1"/>
  <c r="J11" i="1"/>
</calcChain>
</file>

<file path=xl/sharedStrings.xml><?xml version="1.0" encoding="utf-8"?>
<sst xmlns="http://schemas.openxmlformats.org/spreadsheetml/2006/main" count="25" uniqueCount="20">
  <si>
    <t>IVVB11</t>
  </si>
  <si>
    <t>R</t>
  </si>
  <si>
    <t>BOVA11</t>
  </si>
  <si>
    <t>DP IVVB11</t>
  </si>
  <si>
    <t>DP BOVA11</t>
  </si>
  <si>
    <t>DP Portfolio</t>
  </si>
  <si>
    <t>w1</t>
  </si>
  <si>
    <t>w2</t>
  </si>
  <si>
    <t>RC1</t>
  </si>
  <si>
    <t>RC2</t>
  </si>
  <si>
    <t>RP</t>
  </si>
  <si>
    <t>Retorno Anual</t>
  </si>
  <si>
    <t>DP</t>
  </si>
  <si>
    <t>Taxa SELIC</t>
  </si>
  <si>
    <t>Sharpe</t>
  </si>
  <si>
    <t>Sum</t>
  </si>
  <si>
    <t xml:space="preserve">Sharpe </t>
  </si>
  <si>
    <t>M</t>
  </si>
  <si>
    <t>MVRP (30-70)</t>
  </si>
  <si>
    <t>Retornos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</si>
</sst>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88"/>
  <sheetViews>
    <sheetView tabSelected="1" topLeftCell="E1" zoomScale="160" zoomScaleNormal="160" workbookViewId="0">
      <selection activeCell="M9" sqref="M9:M10"/>
    </sheetView>
  </sheetViews>
  <sheetFormatPr defaultRowHeight="13.8"/>
  <cols>
    <col min="9" max="9" width="13.59765625" bestFit="1" customWidth="1"/>
    <col min="10" max="10" width="11.59765625" bestFit="1" customWidth="1"/>
    <col min="15" max="15" width="12.59765625" bestFit="1" customWidth="1"/>
  </cols>
  <sheetData>
    <row r="1" spans="2:15">
      <c r="B1" t="s">
        <v>0</v>
      </c>
      <c r="C1" t="s">
        <v>1</v>
      </c>
      <c r="D1" t="s">
        <v>2</v>
      </c>
      <c r="G1" t="s">
        <v>10</v>
      </c>
    </row>
    <row r="2" spans="2:15">
      <c r="B2">
        <v>219.35</v>
      </c>
      <c r="C2">
        <f>(B3/B2)-1</f>
        <v>-1.8235696375655364E-2</v>
      </c>
      <c r="D2">
        <v>108.32</v>
      </c>
      <c r="E2">
        <f>(D3/D2)-1</f>
        <v>-1.0893648449039839E-2</v>
      </c>
      <c r="G2">
        <f>C2*$J$5+E2*$J$6</f>
        <v>-1.4392134286072137E-2</v>
      </c>
      <c r="I2" t="s">
        <v>3</v>
      </c>
      <c r="J2" s="1">
        <f>_xlfn.STDEV.S(C2:C887)</f>
        <v>1.1350637996377975E-2</v>
      </c>
    </row>
    <row r="3" spans="2:15">
      <c r="B3">
        <v>215.35</v>
      </c>
      <c r="C3">
        <f t="shared" ref="C3:C66" si="0">(B4/B3)-1</f>
        <v>6.5010448107731822E-3</v>
      </c>
      <c r="D3">
        <v>107.14</v>
      </c>
      <c r="E3">
        <f t="shared" ref="E3:E66" si="1">(D4/D3)-1</f>
        <v>-8.3068881836848574E-3</v>
      </c>
      <c r="G3">
        <f>C3*$J$5+E3*$J$6</f>
        <v>-1.250908111825602E-3</v>
      </c>
      <c r="I3" t="s">
        <v>4</v>
      </c>
      <c r="J3" s="1">
        <f>_xlfn.STDEV.S(E2:E887)</f>
        <v>1.0333184885756559E-2</v>
      </c>
    </row>
    <row r="4" spans="2:15">
      <c r="B4">
        <v>216.75</v>
      </c>
      <c r="C4">
        <f t="shared" si="0"/>
        <v>2.4221453287197159E-2</v>
      </c>
      <c r="D4">
        <v>106.25</v>
      </c>
      <c r="E4">
        <f t="shared" si="1"/>
        <v>-1.2235294117646234E-3</v>
      </c>
      <c r="G4">
        <f t="shared" ref="G4:G67" si="2">C4*$J$5+E4*$J$6</f>
        <v>1.0901004844290666E-2</v>
      </c>
    </row>
    <row r="5" spans="2:15">
      <c r="B5">
        <v>222</v>
      </c>
      <c r="C5">
        <f t="shared" si="0"/>
        <v>-4.9549549549549043E-3</v>
      </c>
      <c r="D5">
        <v>106.12</v>
      </c>
      <c r="E5">
        <f t="shared" si="1"/>
        <v>-1.5077271013946514E-2</v>
      </c>
      <c r="G5">
        <f t="shared" si="2"/>
        <v>-1.0253987411837013E-2</v>
      </c>
      <c r="I5" t="s">
        <v>6</v>
      </c>
      <c r="J5" s="3">
        <v>0.47649999999999998</v>
      </c>
    </row>
    <row r="6" spans="2:15">
      <c r="B6">
        <v>220.9</v>
      </c>
      <c r="C6">
        <f t="shared" si="0"/>
        <v>-1.3128112267994596E-2</v>
      </c>
      <c r="D6">
        <v>104.52</v>
      </c>
      <c r="E6">
        <f t="shared" si="1"/>
        <v>-1.1863758132414803E-2</v>
      </c>
      <c r="G6">
        <f t="shared" si="2"/>
        <v>-1.2466222878018575E-2</v>
      </c>
      <c r="I6" t="s">
        <v>7</v>
      </c>
      <c r="J6" s="3">
        <f>1-J5</f>
        <v>0.52350000000000008</v>
      </c>
    </row>
    <row r="7" spans="2:15">
      <c r="B7">
        <v>218</v>
      </c>
      <c r="C7">
        <f t="shared" si="0"/>
        <v>-2.4082568807339499E-2</v>
      </c>
      <c r="D7">
        <v>103.28</v>
      </c>
      <c r="E7">
        <f t="shared" si="1"/>
        <v>-1.4910921766072893E-2</v>
      </c>
      <c r="G7">
        <f t="shared" si="2"/>
        <v>-1.928121158123643E-2</v>
      </c>
    </row>
    <row r="8" spans="2:15">
      <c r="B8">
        <v>212.75</v>
      </c>
      <c r="C8">
        <f t="shared" si="0"/>
        <v>-1.292596944770863E-2</v>
      </c>
      <c r="D8">
        <v>101.74</v>
      </c>
      <c r="E8">
        <f t="shared" si="1"/>
        <v>-2.7029683506978541E-2</v>
      </c>
      <c r="G8">
        <f t="shared" si="2"/>
        <v>-2.030926375773643E-2</v>
      </c>
      <c r="I8" t="s">
        <v>5</v>
      </c>
      <c r="J8" s="2">
        <f>SQRT(J5^2*J2^2+J6^2*J3^2+2*J5*J6*_xlfn.COVARIANCE.S(C2:C887,E2:E887))</f>
        <v>7.3146302212431418E-3</v>
      </c>
      <c r="K8" s="1"/>
      <c r="M8" s="6" t="s">
        <v>10</v>
      </c>
      <c r="N8" s="6" t="s">
        <v>17</v>
      </c>
      <c r="O8" s="6" t="s">
        <v>18</v>
      </c>
    </row>
    <row r="9" spans="2:15">
      <c r="B9">
        <v>210</v>
      </c>
      <c r="C9">
        <f t="shared" si="0"/>
        <v>-1.1904761904761862E-3</v>
      </c>
      <c r="D9">
        <v>98.99</v>
      </c>
      <c r="E9">
        <f t="shared" si="1"/>
        <v>-5.7581573896352545E-3</v>
      </c>
      <c r="G9">
        <f t="shared" si="2"/>
        <v>-3.5816572982359592E-3</v>
      </c>
      <c r="L9" t="s">
        <v>6</v>
      </c>
      <c r="M9" s="7">
        <v>0.47649999999999998</v>
      </c>
      <c r="N9" s="7">
        <v>0.99780000000000002</v>
      </c>
      <c r="O9" s="7">
        <f>0.7*M9+0.3*N9</f>
        <v>0.63288999999999995</v>
      </c>
    </row>
    <row r="10" spans="2:15">
      <c r="B10">
        <v>209.75</v>
      </c>
      <c r="C10">
        <f t="shared" si="0"/>
        <v>-3.5756853396901045E-3</v>
      </c>
      <c r="D10">
        <v>98.42</v>
      </c>
      <c r="E10">
        <f t="shared" si="1"/>
        <v>6.9091648039014686E-3</v>
      </c>
      <c r="G10">
        <f t="shared" si="2"/>
        <v>1.9131337104800847E-3</v>
      </c>
      <c r="I10" t="s">
        <v>8</v>
      </c>
      <c r="J10" s="2">
        <f>J5*(_xlfn.COVARIANCE.S(C2:C887,G2:G887)/(_xlfn.STDEV.S(G2:G887)^2)*J8)</f>
        <v>3.6566915226869758E-3</v>
      </c>
      <c r="L10" t="s">
        <v>7</v>
      </c>
      <c r="M10" s="7">
        <f>1-M9</f>
        <v>0.52350000000000008</v>
      </c>
      <c r="N10" s="7">
        <f>1-N9</f>
        <v>2.1999999999999797E-3</v>
      </c>
      <c r="O10" s="7">
        <f>1-O9</f>
        <v>0.36711000000000005</v>
      </c>
    </row>
    <row r="11" spans="2:15">
      <c r="B11">
        <v>209</v>
      </c>
      <c r="C11">
        <f t="shared" si="0"/>
        <v>-7.1770334928229484E-3</v>
      </c>
      <c r="D11">
        <v>99.1</v>
      </c>
      <c r="E11">
        <f t="shared" si="1"/>
        <v>-2.7951564076690194E-2</v>
      </c>
      <c r="G11">
        <f t="shared" si="2"/>
        <v>-1.8052500253477453E-2</v>
      </c>
      <c r="I11" t="s">
        <v>9</v>
      </c>
      <c r="J11" s="2">
        <f>J6*(_xlfn.COVARIANCE.S(E2:E887,G2:G887)/(_xlfn.STDEV.S(G2:G887)^2))*J8</f>
        <v>3.6579386985561659E-3</v>
      </c>
      <c r="L11" t="s">
        <v>16</v>
      </c>
      <c r="M11" s="6">
        <v>0.39</v>
      </c>
      <c r="N11" s="6">
        <v>0.56000000000000005</v>
      </c>
      <c r="O11" s="6">
        <v>0.49</v>
      </c>
    </row>
    <row r="12" spans="2:15">
      <c r="B12">
        <v>207.5</v>
      </c>
      <c r="C12">
        <f t="shared" si="0"/>
        <v>1.6867469879518149E-2</v>
      </c>
      <c r="D12">
        <v>96.33</v>
      </c>
      <c r="E12">
        <f t="shared" si="1"/>
        <v>-5.1904910204503274E-4</v>
      </c>
      <c r="G12">
        <f t="shared" si="2"/>
        <v>7.7656271926698226E-3</v>
      </c>
      <c r="L12" t="s">
        <v>19</v>
      </c>
      <c r="M12" s="7">
        <v>0.17510000000000001</v>
      </c>
      <c r="N12" s="7">
        <v>0.2301</v>
      </c>
      <c r="O12" s="7">
        <v>0.1913</v>
      </c>
    </row>
    <row r="13" spans="2:15">
      <c r="B13">
        <v>211</v>
      </c>
      <c r="C13">
        <f t="shared" si="0"/>
        <v>7.1090047393365108E-3</v>
      </c>
      <c r="D13">
        <v>96.28</v>
      </c>
      <c r="E13">
        <f t="shared" si="1"/>
        <v>-1.1425010386373335E-3</v>
      </c>
      <c r="G13">
        <f t="shared" si="2"/>
        <v>2.7893414645672032E-3</v>
      </c>
      <c r="I13" t="s">
        <v>11</v>
      </c>
      <c r="J13" s="3">
        <f>((1+AVERAGE(C2:C887)*J5+AVERAGE(E2:E887)*J6)^252)-1</f>
        <v>0.17505767312185383</v>
      </c>
      <c r="L13" t="s">
        <v>8</v>
      </c>
      <c r="M13" s="7">
        <v>0.5</v>
      </c>
      <c r="N13" s="7">
        <v>0.99990000000000001</v>
      </c>
      <c r="O13" s="7">
        <v>0.8034</v>
      </c>
    </row>
    <row r="14" spans="2:15">
      <c r="B14">
        <v>212.5</v>
      </c>
      <c r="C14">
        <f t="shared" si="0"/>
        <v>4.9411764705882266E-3</v>
      </c>
      <c r="D14">
        <v>96.17</v>
      </c>
      <c r="E14">
        <f t="shared" si="1"/>
        <v>-1.6637204949567774E-3</v>
      </c>
      <c r="G14">
        <f t="shared" si="2"/>
        <v>1.4835129091254166E-3</v>
      </c>
      <c r="I14" t="s">
        <v>12</v>
      </c>
      <c r="J14" s="1">
        <f>J8*SQRT(252)</f>
        <v>0.11611615498684032</v>
      </c>
      <c r="L14" t="s">
        <v>9</v>
      </c>
      <c r="M14" s="7">
        <v>0.5</v>
      </c>
      <c r="N14" s="7">
        <v>1E-4</v>
      </c>
      <c r="O14" s="7">
        <f>1-O13</f>
        <v>0.1966</v>
      </c>
    </row>
    <row r="15" spans="2:15">
      <c r="B15">
        <v>213.55</v>
      </c>
      <c r="C15">
        <f t="shared" si="0"/>
        <v>1.9199250760945974E-2</v>
      </c>
      <c r="D15">
        <v>96.01</v>
      </c>
      <c r="E15">
        <f t="shared" si="1"/>
        <v>-1.4269346943026839E-2</v>
      </c>
      <c r="G15">
        <f t="shared" si="2"/>
        <v>1.6784398629162041E-3</v>
      </c>
      <c r="I15" t="s">
        <v>13</v>
      </c>
      <c r="J15" s="4">
        <v>0.13</v>
      </c>
    </row>
    <row r="16" spans="2:15">
      <c r="B16">
        <v>217.65</v>
      </c>
      <c r="C16">
        <f t="shared" si="0"/>
        <v>3.6067080174592148E-2</v>
      </c>
      <c r="D16">
        <v>94.64</v>
      </c>
      <c r="E16">
        <f t="shared" si="1"/>
        <v>5.7058326289096684E-3</v>
      </c>
      <c r="G16">
        <f t="shared" si="2"/>
        <v>2.0172967084427371E-2</v>
      </c>
    </row>
    <row r="17" spans="2:10">
      <c r="B17">
        <v>225.5</v>
      </c>
      <c r="C17">
        <f t="shared" si="0"/>
        <v>-7.9822616407982938E-3</v>
      </c>
      <c r="D17">
        <v>95.18</v>
      </c>
      <c r="E17">
        <f t="shared" si="1"/>
        <v>2.1012817818869545E-2</v>
      </c>
      <c r="G17">
        <f t="shared" si="2"/>
        <v>7.1966624563378212E-3</v>
      </c>
      <c r="I17" t="s">
        <v>14</v>
      </c>
      <c r="J17" s="5">
        <f>(J13-J15)/J14</f>
        <v>0.388039658452007</v>
      </c>
    </row>
    <row r="18" spans="2:10">
      <c r="B18">
        <v>223.7</v>
      </c>
      <c r="C18">
        <f t="shared" si="0"/>
        <v>-1.4304872597228346E-2</v>
      </c>
      <c r="D18">
        <v>97.18</v>
      </c>
      <c r="E18">
        <f t="shared" si="1"/>
        <v>-1.337723811483893E-3</v>
      </c>
      <c r="G18">
        <f t="shared" si="2"/>
        <v>-7.5165702078911246E-3</v>
      </c>
      <c r="I18" t="s">
        <v>15</v>
      </c>
      <c r="J18">
        <f>J5+J6</f>
        <v>1</v>
      </c>
    </row>
    <row r="19" spans="2:10">
      <c r="B19">
        <v>220.5</v>
      </c>
      <c r="C19">
        <f t="shared" si="0"/>
        <v>-1.3605442176870763E-2</v>
      </c>
      <c r="D19">
        <v>97.05</v>
      </c>
      <c r="E19">
        <f t="shared" si="1"/>
        <v>-9.4796496651210482E-3</v>
      </c>
      <c r="G19">
        <f t="shared" si="2"/>
        <v>-1.1445589796969788E-2</v>
      </c>
    </row>
    <row r="20" spans="2:10">
      <c r="B20">
        <v>217.5</v>
      </c>
      <c r="C20">
        <f t="shared" si="0"/>
        <v>-3.6781609195403187E-3</v>
      </c>
      <c r="D20">
        <v>96.13</v>
      </c>
      <c r="E20">
        <f t="shared" si="1"/>
        <v>-1.0818683033392174E-2</v>
      </c>
      <c r="G20">
        <f t="shared" si="2"/>
        <v>-7.4162242461417657E-3</v>
      </c>
    </row>
    <row r="21" spans="2:10">
      <c r="B21">
        <v>216.7</v>
      </c>
      <c r="C21">
        <f t="shared" si="0"/>
        <v>4.7531149053991806E-2</v>
      </c>
      <c r="D21">
        <v>95.09</v>
      </c>
      <c r="E21">
        <f t="shared" si="1"/>
        <v>3.8910505836575737E-3</v>
      </c>
      <c r="G21">
        <f t="shared" si="2"/>
        <v>2.4685557504771836E-2</v>
      </c>
    </row>
    <row r="22" spans="2:10">
      <c r="B22">
        <v>227</v>
      </c>
      <c r="C22">
        <f t="shared" si="0"/>
        <v>-1.7665198237885371E-2</v>
      </c>
      <c r="D22">
        <v>95.46</v>
      </c>
      <c r="E22">
        <f t="shared" si="1"/>
        <v>-3.2474334799914573E-3</v>
      </c>
      <c r="G22">
        <f t="shared" si="2"/>
        <v>-1.0117498387127907E-2</v>
      </c>
    </row>
    <row r="23" spans="2:10">
      <c r="B23">
        <v>222.99</v>
      </c>
      <c r="C23">
        <f t="shared" si="0"/>
        <v>1.5740616171128652E-2</v>
      </c>
      <c r="D23">
        <v>95.15</v>
      </c>
      <c r="E23">
        <f t="shared" si="1"/>
        <v>-3.2580136626380041E-3</v>
      </c>
      <c r="G23">
        <f t="shared" si="2"/>
        <v>5.794833453151807E-3</v>
      </c>
    </row>
    <row r="24" spans="2:10">
      <c r="B24">
        <v>226.5</v>
      </c>
      <c r="C24">
        <f t="shared" si="0"/>
        <v>7.3289183222957632E-3</v>
      </c>
      <c r="D24">
        <v>94.84</v>
      </c>
      <c r="E24">
        <f t="shared" si="1"/>
        <v>4.2176296921130341E-3</v>
      </c>
      <c r="G24">
        <f t="shared" si="2"/>
        <v>5.700158724395105E-3</v>
      </c>
    </row>
    <row r="25" spans="2:10">
      <c r="B25">
        <v>228.16</v>
      </c>
      <c r="C25">
        <f t="shared" si="0"/>
        <v>1.7093267882188901E-3</v>
      </c>
      <c r="D25">
        <v>95.24</v>
      </c>
      <c r="E25">
        <f t="shared" si="1"/>
        <v>2.0054598908021859E-2</v>
      </c>
      <c r="G25">
        <f t="shared" si="2"/>
        <v>1.1313076742935746E-2</v>
      </c>
    </row>
    <row r="26" spans="2:10">
      <c r="B26">
        <v>228.55</v>
      </c>
      <c r="C26">
        <f t="shared" si="0"/>
        <v>-1.4657624152264348E-2</v>
      </c>
      <c r="D26">
        <v>97.15</v>
      </c>
      <c r="E26">
        <f t="shared" si="1"/>
        <v>-3.9114770972723534E-3</v>
      </c>
      <c r="G26">
        <f t="shared" si="2"/>
        <v>-9.0320161689760384E-3</v>
      </c>
    </row>
    <row r="27" spans="2:10">
      <c r="B27">
        <v>225.2</v>
      </c>
      <c r="C27">
        <f t="shared" si="0"/>
        <v>7.9928952042629398E-3</v>
      </c>
      <c r="D27">
        <v>96.77</v>
      </c>
      <c r="E27">
        <f t="shared" si="1"/>
        <v>-2.0357548827115823E-2</v>
      </c>
      <c r="G27">
        <f t="shared" si="2"/>
        <v>-6.8485622461638435E-3</v>
      </c>
    </row>
    <row r="28" spans="2:10">
      <c r="B28">
        <v>227</v>
      </c>
      <c r="C28">
        <f t="shared" si="0"/>
        <v>3.7444933920705026E-3</v>
      </c>
      <c r="D28">
        <v>94.8</v>
      </c>
      <c r="E28">
        <f t="shared" si="1"/>
        <v>2.1097046413487419E-4</v>
      </c>
      <c r="G28">
        <f t="shared" si="2"/>
        <v>1.8946941392962012E-3</v>
      </c>
    </row>
    <row r="29" spans="2:10">
      <c r="B29">
        <v>227.85</v>
      </c>
      <c r="C29">
        <f t="shared" si="0"/>
        <v>-1.1454904542462119E-2</v>
      </c>
      <c r="D29">
        <v>94.82</v>
      </c>
      <c r="E29">
        <f t="shared" si="1"/>
        <v>-3.9021303522462913E-3</v>
      </c>
      <c r="G29">
        <f t="shared" si="2"/>
        <v>-7.5010272538841329E-3</v>
      </c>
    </row>
    <row r="30" spans="2:10">
      <c r="B30">
        <v>225.24</v>
      </c>
      <c r="C30">
        <f t="shared" si="0"/>
        <v>2.2642514651038947E-3</v>
      </c>
      <c r="D30">
        <v>94.45</v>
      </c>
      <c r="E30">
        <f t="shared" si="1"/>
        <v>-1.7787188988883096E-2</v>
      </c>
      <c r="G30">
        <f t="shared" si="2"/>
        <v>-8.2326776125582965E-3</v>
      </c>
    </row>
    <row r="31" spans="2:10">
      <c r="B31">
        <v>225.75</v>
      </c>
      <c r="C31">
        <f t="shared" si="0"/>
        <v>1.3732004429678923E-2</v>
      </c>
      <c r="D31">
        <v>92.77</v>
      </c>
      <c r="E31">
        <f t="shared" si="1"/>
        <v>4.0961517732025499E-3</v>
      </c>
      <c r="G31">
        <f t="shared" si="2"/>
        <v>8.6876355640135416E-3</v>
      </c>
    </row>
    <row r="32" spans="2:10">
      <c r="B32">
        <v>228.85</v>
      </c>
      <c r="C32">
        <f t="shared" si="0"/>
        <v>-1.5293860607384913E-3</v>
      </c>
      <c r="D32">
        <v>93.15</v>
      </c>
      <c r="E32">
        <f t="shared" si="1"/>
        <v>3.8647342995168366E-3</v>
      </c>
      <c r="G32">
        <f t="shared" si="2"/>
        <v>1.2944359478551733E-3</v>
      </c>
    </row>
    <row r="33" spans="2:7">
      <c r="B33">
        <v>228.5</v>
      </c>
      <c r="C33">
        <f t="shared" si="0"/>
        <v>2.3632385120350152E-2</v>
      </c>
      <c r="D33">
        <v>93.51</v>
      </c>
      <c r="E33">
        <f t="shared" si="1"/>
        <v>1.3474494706448459E-2</v>
      </c>
      <c r="G33">
        <f t="shared" si="2"/>
        <v>1.8314729488672618E-2</v>
      </c>
    </row>
    <row r="34" spans="2:7">
      <c r="B34">
        <v>233.9</v>
      </c>
      <c r="C34">
        <f t="shared" si="0"/>
        <v>1.3894826849080832E-2</v>
      </c>
      <c r="D34">
        <v>94.77</v>
      </c>
      <c r="E34">
        <f t="shared" si="1"/>
        <v>6.3311174422286953E-4</v>
      </c>
      <c r="G34">
        <f t="shared" si="2"/>
        <v>6.9523189916876884E-3</v>
      </c>
    </row>
    <row r="35" spans="2:7">
      <c r="B35">
        <v>237.15</v>
      </c>
      <c r="C35">
        <f t="shared" si="0"/>
        <v>1.2565886569681606E-2</v>
      </c>
      <c r="D35">
        <v>94.83</v>
      </c>
      <c r="E35">
        <f t="shared" si="1"/>
        <v>7.4870821469998905E-3</v>
      </c>
      <c r="G35">
        <f t="shared" si="2"/>
        <v>9.9071324544077292E-3</v>
      </c>
    </row>
    <row r="36" spans="2:7">
      <c r="B36">
        <v>240.13</v>
      </c>
      <c r="C36">
        <f t="shared" si="0"/>
        <v>-5.3720901178527791E-3</v>
      </c>
      <c r="D36">
        <v>95.54</v>
      </c>
      <c r="E36">
        <f t="shared" si="1"/>
        <v>-9.4201381620262481E-4</v>
      </c>
      <c r="G36">
        <f t="shared" si="2"/>
        <v>-3.0529451739389232E-3</v>
      </c>
    </row>
    <row r="37" spans="2:7">
      <c r="B37">
        <v>238.84</v>
      </c>
      <c r="C37">
        <f t="shared" si="0"/>
        <v>-2.1311338134315849E-2</v>
      </c>
      <c r="D37">
        <v>95.45</v>
      </c>
      <c r="E37">
        <f t="shared" si="1"/>
        <v>1.3410162388685087E-2</v>
      </c>
      <c r="G37">
        <f t="shared" si="2"/>
        <v>-3.1346326105248564E-3</v>
      </c>
    </row>
    <row r="38" spans="2:7">
      <c r="B38">
        <v>233.75</v>
      </c>
      <c r="C38">
        <f t="shared" si="0"/>
        <v>-1.3903743315508033E-2</v>
      </c>
      <c r="D38">
        <v>96.73</v>
      </c>
      <c r="E38">
        <f t="shared" si="1"/>
        <v>-4.7555050139564958E-3</v>
      </c>
      <c r="G38">
        <f t="shared" si="2"/>
        <v>-9.1146405646458026E-3</v>
      </c>
    </row>
    <row r="39" spans="2:7">
      <c r="B39">
        <v>230.5</v>
      </c>
      <c r="C39">
        <f t="shared" si="0"/>
        <v>4.9891540130151402E-3</v>
      </c>
      <c r="D39">
        <v>96.27</v>
      </c>
      <c r="E39">
        <f t="shared" si="1"/>
        <v>1.6516048613275158E-2</v>
      </c>
      <c r="G39">
        <f t="shared" si="2"/>
        <v>1.1023483336251262E-2</v>
      </c>
    </row>
    <row r="40" spans="2:7">
      <c r="B40">
        <v>231.65</v>
      </c>
      <c r="C40">
        <f t="shared" si="0"/>
        <v>-3.6693287286855281E-3</v>
      </c>
      <c r="D40">
        <v>97.86</v>
      </c>
      <c r="E40">
        <f t="shared" si="1"/>
        <v>1.1444921316166035E-2</v>
      </c>
      <c r="G40">
        <f t="shared" si="2"/>
        <v>4.2429811697942653E-3</v>
      </c>
    </row>
    <row r="41" spans="2:7">
      <c r="B41">
        <v>230.8</v>
      </c>
      <c r="C41">
        <f t="shared" si="0"/>
        <v>1.6031195840554568E-2</v>
      </c>
      <c r="D41">
        <v>98.98</v>
      </c>
      <c r="E41">
        <f t="shared" si="1"/>
        <v>5.5566781167912804E-3</v>
      </c>
      <c r="G41">
        <f t="shared" si="2"/>
        <v>1.0547785812164487E-2</v>
      </c>
    </row>
    <row r="42" spans="2:7">
      <c r="B42">
        <v>234.5</v>
      </c>
      <c r="C42">
        <f t="shared" si="0"/>
        <v>-2.3454157782516472E-3</v>
      </c>
      <c r="D42">
        <v>99.53</v>
      </c>
      <c r="E42">
        <f t="shared" si="1"/>
        <v>-8.942027529388108E-3</v>
      </c>
      <c r="G42">
        <f t="shared" si="2"/>
        <v>-5.7987420299715851E-3</v>
      </c>
    </row>
    <row r="43" spans="2:7">
      <c r="B43">
        <v>233.95</v>
      </c>
      <c r="C43">
        <f t="shared" si="0"/>
        <v>1.3036973712331701E-2</v>
      </c>
      <c r="D43">
        <v>98.64</v>
      </c>
      <c r="E43">
        <f t="shared" si="1"/>
        <v>1.0948905109489093E-2</v>
      </c>
      <c r="G43">
        <f t="shared" si="2"/>
        <v>1.1943869798743595E-2</v>
      </c>
    </row>
    <row r="44" spans="2:7">
      <c r="B44">
        <v>237</v>
      </c>
      <c r="C44">
        <f t="shared" si="0"/>
        <v>1.4978902953586504E-2</v>
      </c>
      <c r="D44">
        <v>99.72</v>
      </c>
      <c r="E44">
        <f t="shared" si="1"/>
        <v>4.1115122342558763E-3</v>
      </c>
      <c r="G44">
        <f t="shared" si="2"/>
        <v>9.2898239120169212E-3</v>
      </c>
    </row>
    <row r="45" spans="2:7">
      <c r="B45">
        <v>240.55</v>
      </c>
      <c r="C45">
        <f t="shared" si="0"/>
        <v>-1.1847848680108131E-2</v>
      </c>
      <c r="D45">
        <v>100.13</v>
      </c>
      <c r="E45">
        <f t="shared" si="1"/>
        <v>2.0173774093678265E-2</v>
      </c>
      <c r="G45">
        <f t="shared" si="2"/>
        <v>4.9154708419690482E-3</v>
      </c>
    </row>
    <row r="46" spans="2:7">
      <c r="B46">
        <v>237.7</v>
      </c>
      <c r="C46">
        <f t="shared" si="0"/>
        <v>-1.1358855700462689E-2</v>
      </c>
      <c r="D46">
        <v>102.15</v>
      </c>
      <c r="E46">
        <f t="shared" si="1"/>
        <v>5.6779246206559719E-3</v>
      </c>
      <c r="G46">
        <f t="shared" si="2"/>
        <v>-2.4401012023570691E-3</v>
      </c>
    </row>
    <row r="47" spans="2:7">
      <c r="B47">
        <v>235</v>
      </c>
      <c r="C47">
        <f t="shared" si="0"/>
        <v>-1.195744680851063E-2</v>
      </c>
      <c r="D47">
        <v>102.73</v>
      </c>
      <c r="E47">
        <f t="shared" si="1"/>
        <v>1.8008371459164785E-2</v>
      </c>
      <c r="G47">
        <f t="shared" si="2"/>
        <v>3.7296590546174509E-3</v>
      </c>
    </row>
    <row r="48" spans="2:7">
      <c r="B48">
        <v>232.19</v>
      </c>
      <c r="C48">
        <f t="shared" si="0"/>
        <v>1.6365907231146171E-3</v>
      </c>
      <c r="D48">
        <v>104.58</v>
      </c>
      <c r="E48">
        <f t="shared" si="1"/>
        <v>2.4861350162554974E-3</v>
      </c>
      <c r="G48">
        <f t="shared" si="2"/>
        <v>2.081327160573868E-3</v>
      </c>
    </row>
    <row r="49" spans="2:7">
      <c r="B49">
        <v>232.57</v>
      </c>
      <c r="C49">
        <f t="shared" si="0"/>
        <v>9.9754912499461224E-3</v>
      </c>
      <c r="D49">
        <v>104.84</v>
      </c>
      <c r="E49">
        <f t="shared" si="1"/>
        <v>1.440289965661945E-2</v>
      </c>
      <c r="G49">
        <f t="shared" si="2"/>
        <v>1.2293239550839611E-2</v>
      </c>
    </row>
    <row r="50" spans="2:7">
      <c r="B50">
        <v>234.89</v>
      </c>
      <c r="C50">
        <f t="shared" si="0"/>
        <v>1.6603516539656971E-2</v>
      </c>
      <c r="D50">
        <v>106.35</v>
      </c>
      <c r="E50">
        <f t="shared" si="1"/>
        <v>-4.419370004701495E-3</v>
      </c>
      <c r="G50">
        <f t="shared" si="2"/>
        <v>5.5980354336853128E-3</v>
      </c>
    </row>
    <row r="51" spans="2:7">
      <c r="B51">
        <v>238.79</v>
      </c>
      <c r="C51">
        <f t="shared" si="0"/>
        <v>-1.8845010260060135E-3</v>
      </c>
      <c r="D51">
        <v>105.88</v>
      </c>
      <c r="E51">
        <f t="shared" si="1"/>
        <v>2.7200604457876976E-2</v>
      </c>
      <c r="G51">
        <f t="shared" si="2"/>
        <v>1.3341551694806733E-2</v>
      </c>
    </row>
    <row r="52" spans="2:7">
      <c r="B52">
        <v>238.34</v>
      </c>
      <c r="C52">
        <f t="shared" si="0"/>
        <v>1.1160526978266416E-2</v>
      </c>
      <c r="D52">
        <v>108.76</v>
      </c>
      <c r="E52">
        <f t="shared" si="1"/>
        <v>2.5744759102610537E-3</v>
      </c>
      <c r="G52">
        <f t="shared" si="2"/>
        <v>6.6657292441656083E-3</v>
      </c>
    </row>
    <row r="53" spans="2:7">
      <c r="B53">
        <v>241</v>
      </c>
      <c r="C53">
        <f t="shared" si="0"/>
        <v>9.0871369294605042E-3</v>
      </c>
      <c r="D53">
        <v>109.04</v>
      </c>
      <c r="E53">
        <f t="shared" si="1"/>
        <v>4.4937637564195221E-3</v>
      </c>
      <c r="G53">
        <f t="shared" si="2"/>
        <v>6.6825060733735507E-3</v>
      </c>
    </row>
    <row r="54" spans="2:7">
      <c r="B54">
        <v>243.19</v>
      </c>
      <c r="C54">
        <f t="shared" si="0"/>
        <v>-2.6316871581890666E-3</v>
      </c>
      <c r="D54">
        <v>109.53</v>
      </c>
      <c r="E54">
        <f t="shared" si="1"/>
        <v>1.8259837487446529E-3</v>
      </c>
      <c r="G54">
        <f t="shared" si="2"/>
        <v>-2.9809643840926427E-4</v>
      </c>
    </row>
    <row r="55" spans="2:7">
      <c r="B55">
        <v>242.55</v>
      </c>
      <c r="C55">
        <f t="shared" si="0"/>
        <v>3.9167182024324454E-3</v>
      </c>
      <c r="D55">
        <v>109.73</v>
      </c>
      <c r="E55">
        <f t="shared" si="1"/>
        <v>1.0024605850724733E-3</v>
      </c>
      <c r="G55">
        <f t="shared" si="2"/>
        <v>2.3911043397444997E-3</v>
      </c>
    </row>
    <row r="56" spans="2:7">
      <c r="B56">
        <v>243.5</v>
      </c>
      <c r="C56">
        <f t="shared" si="0"/>
        <v>-1.3757700205338841E-2</v>
      </c>
      <c r="D56">
        <v>109.84</v>
      </c>
      <c r="E56">
        <f t="shared" si="1"/>
        <v>-1.9391842680262283E-2</v>
      </c>
      <c r="G56">
        <f t="shared" si="2"/>
        <v>-1.6707173790961264E-2</v>
      </c>
    </row>
    <row r="57" spans="2:7">
      <c r="B57">
        <v>240.15</v>
      </c>
      <c r="C57">
        <f t="shared" si="0"/>
        <v>-2.1028523839267121E-2</v>
      </c>
      <c r="D57">
        <v>107.71</v>
      </c>
      <c r="E57">
        <f t="shared" si="1"/>
        <v>-9.3770309163493382E-3</v>
      </c>
      <c r="G57">
        <f t="shared" si="2"/>
        <v>-1.4928967294119661E-2</v>
      </c>
    </row>
    <row r="58" spans="2:7">
      <c r="B58">
        <v>235.1</v>
      </c>
      <c r="C58">
        <f t="shared" si="0"/>
        <v>-1.569544874521478E-2</v>
      </c>
      <c r="D58">
        <v>106.7</v>
      </c>
      <c r="E58">
        <f t="shared" si="1"/>
        <v>2.014995313964385E-2</v>
      </c>
      <c r="G58">
        <f t="shared" si="2"/>
        <v>3.0696191415087153E-3</v>
      </c>
    </row>
    <row r="59" spans="2:7">
      <c r="B59">
        <v>231.41</v>
      </c>
      <c r="C59">
        <f t="shared" si="0"/>
        <v>5.5745214122120412E-3</v>
      </c>
      <c r="D59">
        <v>108.85</v>
      </c>
      <c r="E59">
        <f t="shared" si="1"/>
        <v>1.1943040881947642E-3</v>
      </c>
      <c r="G59">
        <f t="shared" si="2"/>
        <v>3.2814776430889966E-3</v>
      </c>
    </row>
    <row r="60" spans="2:7">
      <c r="B60">
        <v>232.7</v>
      </c>
      <c r="C60">
        <f t="shared" si="0"/>
        <v>1.2075633863343427E-2</v>
      </c>
      <c r="D60">
        <v>108.98</v>
      </c>
      <c r="E60">
        <f t="shared" si="1"/>
        <v>5.4138374013579238E-3</v>
      </c>
      <c r="G60">
        <f t="shared" si="2"/>
        <v>8.5881834154940169E-3</v>
      </c>
    </row>
    <row r="61" spans="2:7">
      <c r="B61">
        <v>235.51</v>
      </c>
      <c r="C61">
        <f t="shared" si="0"/>
        <v>-4.0380450936265966E-2</v>
      </c>
      <c r="D61">
        <v>109.57</v>
      </c>
      <c r="E61">
        <f t="shared" si="1"/>
        <v>-1.0313041891028552E-2</v>
      </c>
      <c r="G61">
        <f t="shared" si="2"/>
        <v>-2.4640162301084179E-2</v>
      </c>
    </row>
    <row r="62" spans="2:7">
      <c r="B62">
        <v>226</v>
      </c>
      <c r="C62">
        <f t="shared" si="0"/>
        <v>-1.3274336283185861E-2</v>
      </c>
      <c r="D62">
        <v>108.44</v>
      </c>
      <c r="E62">
        <f t="shared" si="1"/>
        <v>-1.8443378826993317E-4</v>
      </c>
      <c r="G62">
        <f t="shared" si="2"/>
        <v>-6.4217723270973727E-3</v>
      </c>
    </row>
    <row r="63" spans="2:7">
      <c r="B63">
        <v>223</v>
      </c>
      <c r="C63">
        <f t="shared" si="0"/>
        <v>3.811659192825001E-3</v>
      </c>
      <c r="D63">
        <v>108.42</v>
      </c>
      <c r="E63">
        <f t="shared" si="1"/>
        <v>-1.6233167312304064E-2</v>
      </c>
      <c r="G63">
        <f t="shared" si="2"/>
        <v>-6.6818074826100662E-3</v>
      </c>
    </row>
    <row r="64" spans="2:7">
      <c r="B64">
        <v>223.85</v>
      </c>
      <c r="C64">
        <f t="shared" si="0"/>
        <v>9.6046459682823659E-3</v>
      </c>
      <c r="D64">
        <v>106.66</v>
      </c>
      <c r="E64">
        <f t="shared" si="1"/>
        <v>-8.6255390961935685E-3</v>
      </c>
      <c r="G64">
        <f t="shared" si="2"/>
        <v>6.1144087029212785E-5</v>
      </c>
    </row>
    <row r="65" spans="2:7">
      <c r="B65">
        <v>226</v>
      </c>
      <c r="C65">
        <f t="shared" si="0"/>
        <v>1.0398230088495497E-2</v>
      </c>
      <c r="D65">
        <v>105.74</v>
      </c>
      <c r="E65">
        <f t="shared" si="1"/>
        <v>7.5657272555325061E-3</v>
      </c>
      <c r="G65">
        <f t="shared" si="2"/>
        <v>8.9154148554393721E-3</v>
      </c>
    </row>
    <row r="66" spans="2:7">
      <c r="B66">
        <v>228.35</v>
      </c>
      <c r="C66">
        <f t="shared" si="0"/>
        <v>-2.1020363477118331E-2</v>
      </c>
      <c r="D66">
        <v>106.54</v>
      </c>
      <c r="E66">
        <f t="shared" si="1"/>
        <v>3.6605969588887621E-3</v>
      </c>
      <c r="G66">
        <f t="shared" si="2"/>
        <v>-8.0998806888686169E-3</v>
      </c>
    </row>
    <row r="67" spans="2:7">
      <c r="B67">
        <v>223.55</v>
      </c>
      <c r="C67">
        <f t="shared" ref="C67:C130" si="3">(B68/B67)-1</f>
        <v>-2.4602997092373347E-3</v>
      </c>
      <c r="D67">
        <v>106.93</v>
      </c>
      <c r="E67">
        <f t="shared" ref="E67:E130" si="4">(D68/D67)-1</f>
        <v>1.2438043579912073E-2</v>
      </c>
      <c r="G67">
        <f t="shared" si="2"/>
        <v>5.3389830026323807E-3</v>
      </c>
    </row>
    <row r="68" spans="2:7">
      <c r="B68">
        <v>223</v>
      </c>
      <c r="C68">
        <f t="shared" si="3"/>
        <v>8.9686098654708779E-3</v>
      </c>
      <c r="D68">
        <v>108.26</v>
      </c>
      <c r="E68">
        <f t="shared" si="4"/>
        <v>-2.106041012377613E-2</v>
      </c>
      <c r="G68">
        <f t="shared" ref="G68:G131" si="5">C68*$J$5+E68*$J$6</f>
        <v>-6.7515820988999333E-3</v>
      </c>
    </row>
    <row r="69" spans="2:7">
      <c r="B69">
        <v>225</v>
      </c>
      <c r="C69">
        <f t="shared" si="3"/>
        <v>2.0000000000000018E-2</v>
      </c>
      <c r="D69">
        <v>105.98</v>
      </c>
      <c r="E69">
        <f t="shared" si="4"/>
        <v>8.4921683336469656E-4</v>
      </c>
      <c r="G69">
        <f t="shared" si="5"/>
        <v>9.9745650122664252E-3</v>
      </c>
    </row>
    <row r="70" spans="2:7">
      <c r="B70">
        <v>229.5</v>
      </c>
      <c r="C70">
        <f t="shared" si="3"/>
        <v>3.0501089324617148E-3</v>
      </c>
      <c r="D70">
        <v>106.07</v>
      </c>
      <c r="E70">
        <f t="shared" si="4"/>
        <v>2.1306684265107956E-2</v>
      </c>
      <c r="G70">
        <f t="shared" si="5"/>
        <v>1.2607426119102025E-2</v>
      </c>
    </row>
    <row r="71" spans="2:7">
      <c r="B71">
        <v>230.2</v>
      </c>
      <c r="C71">
        <f t="shared" si="3"/>
        <v>1.3032145960034658E-3</v>
      </c>
      <c r="D71">
        <v>108.33</v>
      </c>
      <c r="E71">
        <f t="shared" si="4"/>
        <v>1.0061848056863276E-2</v>
      </c>
      <c r="G71">
        <f t="shared" si="5"/>
        <v>5.8883592127635777E-3</v>
      </c>
    </row>
    <row r="72" spans="2:7">
      <c r="B72">
        <v>230.5</v>
      </c>
      <c r="C72">
        <f t="shared" si="3"/>
        <v>-2.6030368763557465E-2</v>
      </c>
      <c r="D72">
        <v>109.42</v>
      </c>
      <c r="E72">
        <f t="shared" si="4"/>
        <v>-2.2299396819594253E-2</v>
      </c>
      <c r="G72">
        <f t="shared" si="5"/>
        <v>-2.4077204950892724E-2</v>
      </c>
    </row>
    <row r="73" spans="2:7">
      <c r="B73">
        <v>224.5</v>
      </c>
      <c r="C73">
        <f t="shared" si="3"/>
        <v>1.1135857461024301E-3</v>
      </c>
      <c r="D73">
        <v>106.98</v>
      </c>
      <c r="E73">
        <f t="shared" si="4"/>
        <v>-2.7107870630025399E-3</v>
      </c>
      <c r="G73">
        <f t="shared" si="5"/>
        <v>-8.8847341946402187E-4</v>
      </c>
    </row>
    <row r="74" spans="2:7">
      <c r="B74">
        <v>224.75</v>
      </c>
      <c r="C74">
        <f t="shared" si="3"/>
        <v>1.1123470522802492E-3</v>
      </c>
      <c r="D74">
        <v>106.69</v>
      </c>
      <c r="E74">
        <f t="shared" si="4"/>
        <v>-5.2488518136657447E-3</v>
      </c>
      <c r="G74">
        <f t="shared" si="5"/>
        <v>-2.2177405540424792E-3</v>
      </c>
    </row>
    <row r="75" spans="2:7">
      <c r="B75">
        <v>225</v>
      </c>
      <c r="C75">
        <f t="shared" si="3"/>
        <v>-3.3333333333332993E-3</v>
      </c>
      <c r="D75">
        <v>106.13</v>
      </c>
      <c r="E75">
        <f t="shared" si="4"/>
        <v>-6.1245642137001122E-3</v>
      </c>
      <c r="G75">
        <f t="shared" si="5"/>
        <v>-4.7945426992053262E-3</v>
      </c>
    </row>
    <row r="76" spans="2:7">
      <c r="B76">
        <v>224.25</v>
      </c>
      <c r="C76">
        <f t="shared" si="3"/>
        <v>-1.3377926421404673E-2</v>
      </c>
      <c r="D76">
        <v>105.48</v>
      </c>
      <c r="E76">
        <f t="shared" si="4"/>
        <v>2.2658323852863038E-2</v>
      </c>
      <c r="G76">
        <f t="shared" si="5"/>
        <v>5.4870505971744759E-3</v>
      </c>
    </row>
    <row r="77" spans="2:7">
      <c r="B77">
        <v>221.25</v>
      </c>
      <c r="C77">
        <f t="shared" si="3"/>
        <v>-1.3559322033898313E-2</v>
      </c>
      <c r="D77">
        <v>107.87</v>
      </c>
      <c r="E77">
        <f t="shared" si="4"/>
        <v>6.581996848057825E-3</v>
      </c>
      <c r="G77">
        <f t="shared" si="5"/>
        <v>-3.0153415991942736E-3</v>
      </c>
    </row>
    <row r="78" spans="2:7">
      <c r="B78">
        <v>218.25</v>
      </c>
      <c r="C78">
        <f t="shared" si="3"/>
        <v>-1.3287514318442217E-2</v>
      </c>
      <c r="D78">
        <v>108.58</v>
      </c>
      <c r="E78">
        <f t="shared" si="4"/>
        <v>-4.9732915822434665E-3</v>
      </c>
      <c r="G78">
        <f t="shared" si="5"/>
        <v>-8.9350187160421712E-3</v>
      </c>
    </row>
    <row r="79" spans="2:7">
      <c r="B79">
        <v>215.35</v>
      </c>
      <c r="C79">
        <f t="shared" si="3"/>
        <v>-1.6020431855119477E-2</v>
      </c>
      <c r="D79">
        <v>108.04</v>
      </c>
      <c r="E79">
        <f t="shared" si="4"/>
        <v>1.8789337282487883E-2</v>
      </c>
      <c r="G79">
        <f t="shared" si="5"/>
        <v>2.2024822884179774E-3</v>
      </c>
    </row>
    <row r="80" spans="2:7">
      <c r="B80">
        <v>211.9</v>
      </c>
      <c r="C80">
        <f t="shared" si="3"/>
        <v>8.7305332704106231E-3</v>
      </c>
      <c r="D80">
        <v>110.07</v>
      </c>
      <c r="E80">
        <f t="shared" si="4"/>
        <v>-2.0259834650676711E-2</v>
      </c>
      <c r="G80">
        <f t="shared" si="5"/>
        <v>-6.4459243362785974E-3</v>
      </c>
    </row>
    <row r="81" spans="2:7">
      <c r="B81">
        <v>213.75</v>
      </c>
      <c r="C81">
        <f t="shared" si="3"/>
        <v>1.2163742690058488E-2</v>
      </c>
      <c r="D81">
        <v>107.84</v>
      </c>
      <c r="E81">
        <f t="shared" si="4"/>
        <v>-2.3182492581602321E-2</v>
      </c>
      <c r="G81">
        <f t="shared" si="5"/>
        <v>-6.3400114746559478E-3</v>
      </c>
    </row>
    <row r="82" spans="2:7">
      <c r="B82">
        <v>216.35</v>
      </c>
      <c r="C82">
        <f t="shared" si="3"/>
        <v>-3.6977120406747055E-3</v>
      </c>
      <c r="D82">
        <v>105.34</v>
      </c>
      <c r="E82">
        <f t="shared" si="4"/>
        <v>-6.9299411429656343E-3</v>
      </c>
      <c r="G82">
        <f t="shared" si="5"/>
        <v>-5.3897839757240072E-3</v>
      </c>
    </row>
    <row r="83" spans="2:7">
      <c r="B83">
        <v>215.55</v>
      </c>
      <c r="C83">
        <f t="shared" si="3"/>
        <v>1.6005567153792644E-2</v>
      </c>
      <c r="D83">
        <v>104.61</v>
      </c>
      <c r="E83">
        <f t="shared" si="4"/>
        <v>6.691520887105451E-4</v>
      </c>
      <c r="G83">
        <f t="shared" si="5"/>
        <v>7.976953867222164E-3</v>
      </c>
    </row>
    <row r="84" spans="2:7">
      <c r="B84">
        <v>219</v>
      </c>
      <c r="C84">
        <f t="shared" si="3"/>
        <v>-1.3789954337899535E-2</v>
      </c>
      <c r="D84">
        <v>104.68</v>
      </c>
      <c r="E84">
        <f t="shared" si="4"/>
        <v>-7.1646923958731401E-3</v>
      </c>
      <c r="G84">
        <f t="shared" si="5"/>
        <v>-1.0321629711248718E-2</v>
      </c>
    </row>
    <row r="85" spans="2:7">
      <c r="B85">
        <v>215.98</v>
      </c>
      <c r="C85">
        <f t="shared" si="3"/>
        <v>-1.1482544680062934E-2</v>
      </c>
      <c r="D85">
        <v>103.93</v>
      </c>
      <c r="E85">
        <f t="shared" si="4"/>
        <v>2.1745405561435449E-2</v>
      </c>
      <c r="G85">
        <f t="shared" si="5"/>
        <v>5.9122872713614719E-3</v>
      </c>
    </row>
    <row r="86" spans="2:7">
      <c r="B86">
        <v>213.5</v>
      </c>
      <c r="C86">
        <f t="shared" si="3"/>
        <v>-2.0421545667447361E-2</v>
      </c>
      <c r="D86">
        <v>106.19</v>
      </c>
      <c r="E86">
        <f t="shared" si="4"/>
        <v>5.4995762312835428E-2</v>
      </c>
      <c r="G86">
        <f t="shared" si="5"/>
        <v>1.9059415060230685E-2</v>
      </c>
    </row>
    <row r="87" spans="2:7">
      <c r="B87">
        <v>209.14</v>
      </c>
      <c r="C87">
        <f t="shared" si="3"/>
        <v>2.9932102897580748E-2</v>
      </c>
      <c r="D87">
        <v>112.03</v>
      </c>
      <c r="E87">
        <f t="shared" si="4"/>
        <v>1.4281888779790197E-3</v>
      </c>
      <c r="G87">
        <f t="shared" si="5"/>
        <v>1.5010303908319242E-2</v>
      </c>
    </row>
    <row r="88" spans="2:7">
      <c r="B88">
        <v>215.4</v>
      </c>
      <c r="C88">
        <f t="shared" si="3"/>
        <v>4.6425255338911064E-4</v>
      </c>
      <c r="D88">
        <v>112.19</v>
      </c>
      <c r="E88">
        <f t="shared" si="4"/>
        <v>8.2003743649166072E-3</v>
      </c>
      <c r="G88">
        <f t="shared" si="5"/>
        <v>4.514112321723756E-3</v>
      </c>
    </row>
    <row r="89" spans="2:7">
      <c r="B89">
        <v>215.5</v>
      </c>
      <c r="C89">
        <f t="shared" si="3"/>
        <v>-3.4802784222738303E-3</v>
      </c>
      <c r="D89">
        <v>113.11</v>
      </c>
      <c r="E89">
        <f t="shared" si="4"/>
        <v>3.1827424630890278E-3</v>
      </c>
      <c r="G89">
        <f t="shared" si="5"/>
        <v>7.8130112136261254E-6</v>
      </c>
    </row>
    <row r="90" spans="2:7">
      <c r="B90">
        <v>214.75</v>
      </c>
      <c r="C90">
        <f t="shared" si="3"/>
        <v>-2.817229336437721E-2</v>
      </c>
      <c r="D90">
        <v>113.47</v>
      </c>
      <c r="E90">
        <f t="shared" si="4"/>
        <v>-9.958579360183295E-3</v>
      </c>
      <c r="G90">
        <f t="shared" si="5"/>
        <v>-1.8637414083181696E-2</v>
      </c>
    </row>
    <row r="91" spans="2:7">
      <c r="B91">
        <v>208.7</v>
      </c>
      <c r="C91">
        <f t="shared" si="3"/>
        <v>-1.149976042165779E-2</v>
      </c>
      <c r="D91">
        <v>112.34</v>
      </c>
      <c r="E91">
        <f t="shared" si="4"/>
        <v>-3.8276660138865104E-3</v>
      </c>
      <c r="G91">
        <f t="shared" si="5"/>
        <v>-7.4834189991895249E-3</v>
      </c>
    </row>
    <row r="92" spans="2:7">
      <c r="B92">
        <v>206.3</v>
      </c>
      <c r="C92">
        <f t="shared" si="3"/>
        <v>1.1148812409112807E-2</v>
      </c>
      <c r="D92">
        <v>111.91</v>
      </c>
      <c r="E92">
        <f t="shared" si="4"/>
        <v>-9.5612545795727977E-3</v>
      </c>
      <c r="G92">
        <f t="shared" si="5"/>
        <v>3.0709234053589215E-4</v>
      </c>
    </row>
    <row r="93" spans="2:7">
      <c r="B93">
        <v>208.6</v>
      </c>
      <c r="C93">
        <f t="shared" si="3"/>
        <v>2.1093000958772867E-2</v>
      </c>
      <c r="D93">
        <v>110.84</v>
      </c>
      <c r="E93">
        <f t="shared" si="4"/>
        <v>-4.6012269938651151E-3</v>
      </c>
      <c r="G93">
        <f t="shared" si="5"/>
        <v>7.6420726255668828E-3</v>
      </c>
    </row>
    <row r="94" spans="2:7">
      <c r="B94">
        <v>213</v>
      </c>
      <c r="C94">
        <f t="shared" si="3"/>
        <v>-1.4553990610328582E-2</v>
      </c>
      <c r="D94">
        <v>110.33</v>
      </c>
      <c r="E94">
        <f t="shared" si="4"/>
        <v>-1.9305719206018312E-2</v>
      </c>
      <c r="G94">
        <f t="shared" si="5"/>
        <v>-1.7041520530172157E-2</v>
      </c>
    </row>
    <row r="95" spans="2:7">
      <c r="B95">
        <v>209.9</v>
      </c>
      <c r="C95">
        <f t="shared" si="3"/>
        <v>2.0247737017627498E-2</v>
      </c>
      <c r="D95">
        <v>108.2</v>
      </c>
      <c r="E95">
        <f t="shared" si="4"/>
        <v>1.3401109057301408E-2</v>
      </c>
      <c r="G95">
        <f t="shared" si="5"/>
        <v>1.666352728039679E-2</v>
      </c>
    </row>
    <row r="96" spans="2:7">
      <c r="B96">
        <v>214.15</v>
      </c>
      <c r="C96">
        <f t="shared" si="3"/>
        <v>6.3039925286014764E-3</v>
      </c>
      <c r="D96">
        <v>109.65</v>
      </c>
      <c r="E96">
        <f t="shared" si="4"/>
        <v>1.8878248974008249E-2</v>
      </c>
      <c r="G96">
        <f t="shared" si="5"/>
        <v>1.2886615777771924E-2</v>
      </c>
    </row>
    <row r="97" spans="2:7">
      <c r="B97">
        <v>215.5</v>
      </c>
      <c r="C97">
        <f t="shared" si="3"/>
        <v>-5.1044083526682327E-3</v>
      </c>
      <c r="D97">
        <v>111.72</v>
      </c>
      <c r="E97">
        <f t="shared" si="4"/>
        <v>4.4754744002863944E-3</v>
      </c>
      <c r="G97">
        <f t="shared" si="5"/>
        <v>-8.9339731496484824E-5</v>
      </c>
    </row>
    <row r="98" spans="2:7">
      <c r="B98">
        <v>214.4</v>
      </c>
      <c r="C98">
        <f t="shared" si="3"/>
        <v>-2.0522388059701524E-2</v>
      </c>
      <c r="D98">
        <v>112.22</v>
      </c>
      <c r="E98">
        <f t="shared" si="4"/>
        <v>7.6635180894670807E-3</v>
      </c>
      <c r="G98">
        <f t="shared" si="5"/>
        <v>-5.7670661906117585E-3</v>
      </c>
    </row>
    <row r="99" spans="2:7">
      <c r="B99">
        <v>210</v>
      </c>
      <c r="C99">
        <f t="shared" si="3"/>
        <v>1.4285714285714235E-2</v>
      </c>
      <c r="D99">
        <v>113.08</v>
      </c>
      <c r="E99">
        <f t="shared" si="4"/>
        <v>2.3434736469756023E-2</v>
      </c>
      <c r="G99">
        <f t="shared" si="5"/>
        <v>1.9075227399060111E-2</v>
      </c>
    </row>
    <row r="100" spans="2:7">
      <c r="B100">
        <v>213</v>
      </c>
      <c r="C100">
        <f t="shared" si="3"/>
        <v>4.0140845070422593E-2</v>
      </c>
      <c r="D100">
        <v>115.73</v>
      </c>
      <c r="E100">
        <f t="shared" si="4"/>
        <v>-3.2057374924393089E-2</v>
      </c>
      <c r="G100">
        <f t="shared" si="5"/>
        <v>2.3450769031365809E-3</v>
      </c>
    </row>
    <row r="101" spans="2:7">
      <c r="B101">
        <v>221.55</v>
      </c>
      <c r="C101">
        <f t="shared" si="3"/>
        <v>1.8731663281426281E-2</v>
      </c>
      <c r="D101">
        <v>112.02</v>
      </c>
      <c r="E101">
        <f t="shared" si="4"/>
        <v>-1.2229958935904173E-2</v>
      </c>
      <c r="G101">
        <f t="shared" si="5"/>
        <v>2.5232540506537875E-3</v>
      </c>
    </row>
    <row r="102" spans="2:7">
      <c r="B102">
        <v>225.7</v>
      </c>
      <c r="C102">
        <f t="shared" si="3"/>
        <v>4.4306601683650193E-3</v>
      </c>
      <c r="D102">
        <v>110.65</v>
      </c>
      <c r="E102">
        <f t="shared" si="4"/>
        <v>-1.6177135110709506E-2</v>
      </c>
      <c r="G102">
        <f t="shared" si="5"/>
        <v>-6.3575206602304955E-3</v>
      </c>
    </row>
    <row r="103" spans="2:7">
      <c r="B103">
        <v>226.7</v>
      </c>
      <c r="C103">
        <f t="shared" si="3"/>
        <v>-1.6762240846934229E-2</v>
      </c>
      <c r="D103">
        <v>108.86</v>
      </c>
      <c r="E103">
        <f t="shared" si="4"/>
        <v>1.6259415763365759E-2</v>
      </c>
      <c r="G103">
        <f t="shared" si="5"/>
        <v>5.2459638855781657E-4</v>
      </c>
    </row>
    <row r="104" spans="2:7">
      <c r="B104">
        <v>222.9</v>
      </c>
      <c r="C104">
        <f t="shared" si="3"/>
        <v>1.794526693584575E-2</v>
      </c>
      <c r="D104">
        <v>110.63</v>
      </c>
      <c r="E104">
        <f t="shared" si="4"/>
        <v>-6.3273976317446134E-4</v>
      </c>
      <c r="G104">
        <f t="shared" si="5"/>
        <v>8.219680428908669E-3</v>
      </c>
    </row>
    <row r="105" spans="2:7">
      <c r="B105">
        <v>226.9</v>
      </c>
      <c r="C105">
        <f t="shared" si="3"/>
        <v>-2.9352137505509024E-2</v>
      </c>
      <c r="D105">
        <v>110.56</v>
      </c>
      <c r="E105">
        <f t="shared" si="4"/>
        <v>1.2934153400868231E-2</v>
      </c>
      <c r="G105">
        <f t="shared" si="5"/>
        <v>-7.2152642160205295E-3</v>
      </c>
    </row>
    <row r="106" spans="2:7">
      <c r="B106">
        <v>220.24</v>
      </c>
      <c r="C106">
        <f t="shared" si="3"/>
        <v>-1.3122048674173659E-2</v>
      </c>
      <c r="D106">
        <v>111.99</v>
      </c>
      <c r="E106">
        <f t="shared" si="4"/>
        <v>7.6792570765247259E-3</v>
      </c>
      <c r="G106">
        <f t="shared" si="5"/>
        <v>-2.2325651136830531E-3</v>
      </c>
    </row>
    <row r="107" spans="2:7">
      <c r="B107">
        <v>217.35</v>
      </c>
      <c r="C107">
        <f t="shared" si="3"/>
        <v>-3.5426731078904927E-2</v>
      </c>
      <c r="D107">
        <v>112.85</v>
      </c>
      <c r="E107">
        <f t="shared" si="4"/>
        <v>-1.7722640673456524E-4</v>
      </c>
      <c r="G107">
        <f t="shared" si="5"/>
        <v>-1.6973615383023742E-2</v>
      </c>
    </row>
    <row r="108" spans="2:7">
      <c r="B108">
        <v>209.65</v>
      </c>
      <c r="C108">
        <f t="shared" si="3"/>
        <v>9.5397090388726902E-4</v>
      </c>
      <c r="D108">
        <v>112.83</v>
      </c>
      <c r="E108">
        <f t="shared" si="4"/>
        <v>1.0724098200833199E-2</v>
      </c>
      <c r="G108">
        <f t="shared" si="5"/>
        <v>6.0686325438384639E-3</v>
      </c>
    </row>
    <row r="109" spans="2:7">
      <c r="B109">
        <v>209.85</v>
      </c>
      <c r="C109">
        <f t="shared" si="3"/>
        <v>3.288062902072908E-2</v>
      </c>
      <c r="D109">
        <v>114.04</v>
      </c>
      <c r="E109">
        <f t="shared" si="4"/>
        <v>-2.3412837600841785E-2</v>
      </c>
      <c r="G109">
        <f t="shared" si="5"/>
        <v>3.4109992443367276E-3</v>
      </c>
    </row>
    <row r="110" spans="2:7">
      <c r="B110">
        <v>216.75</v>
      </c>
      <c r="C110">
        <f t="shared" si="3"/>
        <v>2.3068050749712743E-3</v>
      </c>
      <c r="D110">
        <v>111.37</v>
      </c>
      <c r="E110">
        <f t="shared" si="4"/>
        <v>6.7343090598903643E-3</v>
      </c>
      <c r="G110">
        <f t="shared" si="5"/>
        <v>4.6246034110764183E-3</v>
      </c>
    </row>
    <row r="111" spans="2:7">
      <c r="B111">
        <v>217.25</v>
      </c>
      <c r="C111">
        <f t="shared" si="3"/>
        <v>-1.0356731875719172E-2</v>
      </c>
      <c r="D111">
        <v>112.12</v>
      </c>
      <c r="E111">
        <f t="shared" si="4"/>
        <v>-2.2029967891544766E-2</v>
      </c>
      <c r="G111">
        <f t="shared" si="5"/>
        <v>-1.6467670930003873E-2</v>
      </c>
    </row>
    <row r="112" spans="2:7">
      <c r="B112">
        <v>215</v>
      </c>
      <c r="C112">
        <f t="shared" si="3"/>
        <v>8.7209302325581328E-2</v>
      </c>
      <c r="D112">
        <v>109.65</v>
      </c>
      <c r="E112">
        <f t="shared" si="4"/>
        <v>-3.3287733698130428E-2</v>
      </c>
      <c r="G112">
        <f t="shared" si="5"/>
        <v>2.4129103967168223E-2</v>
      </c>
    </row>
    <row r="113" spans="2:7">
      <c r="B113">
        <v>233.75</v>
      </c>
      <c r="C113">
        <f t="shared" si="3"/>
        <v>2.8663101604278207E-3</v>
      </c>
      <c r="D113">
        <v>106</v>
      </c>
      <c r="E113">
        <f t="shared" si="4"/>
        <v>2.1981132075471699E-2</v>
      </c>
      <c r="G113">
        <f t="shared" si="5"/>
        <v>1.2872919432953291E-2</v>
      </c>
    </row>
    <row r="114" spans="2:7">
      <c r="B114">
        <v>234.42</v>
      </c>
      <c r="C114">
        <f t="shared" si="3"/>
        <v>-9.2568893439125555E-3</v>
      </c>
      <c r="D114">
        <v>108.33</v>
      </c>
      <c r="E114">
        <f t="shared" si="4"/>
        <v>8.2156374042279268E-3</v>
      </c>
      <c r="G114">
        <f t="shared" si="5"/>
        <v>-1.1002159126101245E-4</v>
      </c>
    </row>
    <row r="115" spans="2:7">
      <c r="B115">
        <v>232.25</v>
      </c>
      <c r="C115">
        <f t="shared" si="3"/>
        <v>1.3132400430570623E-2</v>
      </c>
      <c r="D115">
        <v>109.22</v>
      </c>
      <c r="E115">
        <f t="shared" si="4"/>
        <v>-2.5361655374473546E-2</v>
      </c>
      <c r="G115">
        <f t="shared" si="5"/>
        <v>-7.0192377833700019E-3</v>
      </c>
    </row>
    <row r="116" spans="2:7">
      <c r="B116">
        <v>235.3</v>
      </c>
      <c r="C116">
        <f t="shared" si="3"/>
        <v>0</v>
      </c>
      <c r="D116">
        <v>106.45</v>
      </c>
      <c r="E116">
        <f t="shared" si="4"/>
        <v>-5.1667449506810348E-3</v>
      </c>
      <c r="G116">
        <f t="shared" si="5"/>
        <v>-2.704790981681522E-3</v>
      </c>
    </row>
    <row r="117" spans="2:7">
      <c r="B117">
        <v>235.3</v>
      </c>
      <c r="C117">
        <f t="shared" si="3"/>
        <v>-1.2749681257968604E-3</v>
      </c>
      <c r="D117">
        <v>105.9</v>
      </c>
      <c r="E117">
        <f t="shared" si="4"/>
        <v>-7.4598677998112262E-3</v>
      </c>
      <c r="G117">
        <f t="shared" si="5"/>
        <v>-4.5127631051433813E-3</v>
      </c>
    </row>
    <row r="118" spans="2:7">
      <c r="B118">
        <v>235</v>
      </c>
      <c r="C118">
        <f t="shared" si="3"/>
        <v>-1.5319148936170146E-2</v>
      </c>
      <c r="D118">
        <v>105.11</v>
      </c>
      <c r="E118">
        <f t="shared" si="4"/>
        <v>7.8013509656551516E-3</v>
      </c>
      <c r="G118">
        <f t="shared" si="5"/>
        <v>-3.2155672375646024E-3</v>
      </c>
    </row>
    <row r="119" spans="2:7">
      <c r="B119">
        <v>231.4</v>
      </c>
      <c r="C119">
        <f t="shared" si="3"/>
        <v>2.3768366464995694E-2</v>
      </c>
      <c r="D119">
        <v>105.93</v>
      </c>
      <c r="E119">
        <f t="shared" si="4"/>
        <v>-5.6641178136506154E-3</v>
      </c>
      <c r="G119">
        <f t="shared" si="5"/>
        <v>8.3604609451243504E-3</v>
      </c>
    </row>
    <row r="120" spans="2:7">
      <c r="B120">
        <v>236.9</v>
      </c>
      <c r="C120">
        <f t="shared" si="3"/>
        <v>3.5880118193329924E-3</v>
      </c>
      <c r="D120">
        <v>105.33</v>
      </c>
      <c r="E120">
        <f t="shared" si="4"/>
        <v>-1.8987942656413237E-3</v>
      </c>
      <c r="G120">
        <f t="shared" si="5"/>
        <v>7.1566883384893785E-4</v>
      </c>
    </row>
    <row r="121" spans="2:7">
      <c r="B121">
        <v>237.75</v>
      </c>
      <c r="C121">
        <f t="shared" si="3"/>
        <v>7.2765509989485277E-3</v>
      </c>
      <c r="D121">
        <v>105.13</v>
      </c>
      <c r="E121">
        <f t="shared" si="4"/>
        <v>2.6728811947113185E-2</v>
      </c>
      <c r="G121">
        <f t="shared" si="5"/>
        <v>1.7459809605312727E-2</v>
      </c>
    </row>
    <row r="122" spans="2:7">
      <c r="B122">
        <v>239.48</v>
      </c>
      <c r="C122">
        <f t="shared" si="3"/>
        <v>2.1713713044930749E-3</v>
      </c>
      <c r="D122">
        <v>107.94</v>
      </c>
      <c r="E122">
        <f t="shared" si="4"/>
        <v>-2.4180100055586462E-2</v>
      </c>
      <c r="G122">
        <f t="shared" si="5"/>
        <v>-1.1623623952508565E-2</v>
      </c>
    </row>
    <row r="123" spans="2:7">
      <c r="B123">
        <v>240</v>
      </c>
      <c r="C123">
        <f t="shared" si="3"/>
        <v>-2.2083333333333344E-2</v>
      </c>
      <c r="D123">
        <v>105.33</v>
      </c>
      <c r="E123">
        <f t="shared" si="4"/>
        <v>-2.4684325453337985E-3</v>
      </c>
      <c r="G123">
        <f t="shared" si="5"/>
        <v>-1.1814932770815582E-2</v>
      </c>
    </row>
    <row r="124" spans="2:7">
      <c r="B124">
        <v>234.7</v>
      </c>
      <c r="C124">
        <f t="shared" si="3"/>
        <v>-2.0025564550489983E-2</v>
      </c>
      <c r="D124">
        <v>105.07</v>
      </c>
      <c r="E124">
        <f t="shared" si="4"/>
        <v>1.9034929094889019E-2</v>
      </c>
      <c r="G124">
        <f t="shared" si="5"/>
        <v>4.2260387286592767E-4</v>
      </c>
    </row>
    <row r="125" spans="2:7">
      <c r="B125">
        <v>230</v>
      </c>
      <c r="C125">
        <f t="shared" si="3"/>
        <v>1.4130434782608781E-2</v>
      </c>
      <c r="D125">
        <v>107.07</v>
      </c>
      <c r="E125">
        <f t="shared" si="4"/>
        <v>1.4383113850751972E-2</v>
      </c>
      <c r="G125">
        <f t="shared" si="5"/>
        <v>1.4262712274781743E-2</v>
      </c>
    </row>
    <row r="126" spans="2:7">
      <c r="B126">
        <v>233.25</v>
      </c>
      <c r="C126">
        <f t="shared" si="3"/>
        <v>1.071811361200492E-3</v>
      </c>
      <c r="D126">
        <v>108.61</v>
      </c>
      <c r="E126">
        <f t="shared" si="4"/>
        <v>-1.316637510358154E-2</v>
      </c>
      <c r="G126">
        <f t="shared" si="5"/>
        <v>-6.3818792531129031E-3</v>
      </c>
    </row>
    <row r="127" spans="2:7">
      <c r="B127">
        <v>233.5</v>
      </c>
      <c r="C127">
        <f t="shared" si="3"/>
        <v>4.0685224839400735E-3</v>
      </c>
      <c r="D127">
        <v>107.18</v>
      </c>
      <c r="E127">
        <f t="shared" si="4"/>
        <v>8.397089009143377E-3</v>
      </c>
      <c r="G127">
        <f t="shared" si="5"/>
        <v>6.3345270598840035E-3</v>
      </c>
    </row>
    <row r="128" spans="2:7">
      <c r="B128">
        <v>234.45</v>
      </c>
      <c r="C128">
        <f t="shared" si="3"/>
        <v>-6.1846875666452528E-3</v>
      </c>
      <c r="D128">
        <v>108.08</v>
      </c>
      <c r="E128">
        <f t="shared" si="4"/>
        <v>-2.1743153219837108E-2</v>
      </c>
      <c r="G128">
        <f t="shared" si="5"/>
        <v>-1.4329544336091191E-2</v>
      </c>
    </row>
    <row r="129" spans="2:7">
      <c r="B129">
        <v>233</v>
      </c>
      <c r="C129">
        <f t="shared" si="3"/>
        <v>-2.3605150214592308E-2</v>
      </c>
      <c r="D129">
        <v>105.73</v>
      </c>
      <c r="E129">
        <f t="shared" si="4"/>
        <v>6.4314764021564663E-3</v>
      </c>
      <c r="G129">
        <f t="shared" si="5"/>
        <v>-7.880976180724324E-3</v>
      </c>
    </row>
    <row r="130" spans="2:7">
      <c r="B130">
        <v>227.5</v>
      </c>
      <c r="C130">
        <f t="shared" si="3"/>
        <v>-7.0329670329669636E-3</v>
      </c>
      <c r="D130">
        <v>106.41</v>
      </c>
      <c r="E130">
        <f t="shared" si="4"/>
        <v>-9.6795413964853028E-3</v>
      </c>
      <c r="G130">
        <f t="shared" si="5"/>
        <v>-8.4184487122688154E-3</v>
      </c>
    </row>
    <row r="131" spans="2:7">
      <c r="B131">
        <v>225.9</v>
      </c>
      <c r="C131">
        <f t="shared" ref="C131:C194" si="6">(B132/B131)-1</f>
        <v>9.2961487383798058E-3</v>
      </c>
      <c r="D131">
        <v>105.38</v>
      </c>
      <c r="E131">
        <f t="shared" ref="E131:E194" si="7">(D132/D131)-1</f>
        <v>-1.6511672044031034E-2</v>
      </c>
      <c r="G131">
        <f t="shared" si="5"/>
        <v>-4.2142454412122709E-3</v>
      </c>
    </row>
    <row r="132" spans="2:7">
      <c r="B132">
        <v>228</v>
      </c>
      <c r="C132">
        <f t="shared" si="6"/>
        <v>-2.4122807017544767E-3</v>
      </c>
      <c r="D132">
        <v>103.64</v>
      </c>
      <c r="E132">
        <f t="shared" si="7"/>
        <v>2.2192203782323006E-3</v>
      </c>
      <c r="G132">
        <f t="shared" ref="G132:G195" si="8">C132*$J$5+E132*$J$6</f>
        <v>1.2310113618601258E-5</v>
      </c>
    </row>
    <row r="133" spans="2:7">
      <c r="B133">
        <v>227.45</v>
      </c>
      <c r="C133">
        <f t="shared" si="6"/>
        <v>2.3038030336337778E-2</v>
      </c>
      <c r="D133">
        <v>103.87</v>
      </c>
      <c r="E133">
        <f t="shared" si="7"/>
        <v>-1.9639934533551617E-2</v>
      </c>
      <c r="G133">
        <f t="shared" si="8"/>
        <v>6.9611572695067736E-4</v>
      </c>
    </row>
    <row r="134" spans="2:7">
      <c r="B134">
        <v>232.69</v>
      </c>
      <c r="C134">
        <f t="shared" si="6"/>
        <v>5.414929734840257E-3</v>
      </c>
      <c r="D134">
        <v>101.83</v>
      </c>
      <c r="E134">
        <f t="shared" si="7"/>
        <v>-1.6989099479524761E-2</v>
      </c>
      <c r="G134">
        <f t="shared" si="8"/>
        <v>-6.3135795588798319E-3</v>
      </c>
    </row>
    <row r="135" spans="2:7">
      <c r="B135">
        <v>233.95</v>
      </c>
      <c r="C135">
        <f t="shared" si="6"/>
        <v>-5.385766189356711E-3</v>
      </c>
      <c r="D135">
        <v>100.1</v>
      </c>
      <c r="E135">
        <f t="shared" si="7"/>
        <v>1.4985014985016143E-3</v>
      </c>
      <c r="G135">
        <f t="shared" si="8"/>
        <v>-1.7818520547628774E-3</v>
      </c>
    </row>
    <row r="136" spans="2:7">
      <c r="B136">
        <v>232.69</v>
      </c>
      <c r="C136">
        <f t="shared" si="6"/>
        <v>-2.0585328118956525E-2</v>
      </c>
      <c r="D136">
        <v>100.25</v>
      </c>
      <c r="E136">
        <f t="shared" si="7"/>
        <v>-9.9750623441474673E-5</v>
      </c>
      <c r="G136">
        <f t="shared" si="8"/>
        <v>-9.8611283000543948E-3</v>
      </c>
    </row>
    <row r="137" spans="2:7">
      <c r="B137">
        <v>227.9</v>
      </c>
      <c r="C137">
        <f t="shared" si="6"/>
        <v>-1.3426941641070611E-2</v>
      </c>
      <c r="D137">
        <v>100.24</v>
      </c>
      <c r="E137">
        <f t="shared" si="7"/>
        <v>-8.2801276935354773E-3</v>
      </c>
      <c r="G137">
        <f t="shared" si="8"/>
        <v>-1.0732584539535968E-2</v>
      </c>
    </row>
    <row r="138" spans="2:7">
      <c r="B138">
        <v>224.84</v>
      </c>
      <c r="C138">
        <f t="shared" si="6"/>
        <v>-9.829211884006428E-3</v>
      </c>
      <c r="D138">
        <v>99.41</v>
      </c>
      <c r="E138">
        <f t="shared" si="7"/>
        <v>1.7603862790463776E-2</v>
      </c>
      <c r="G138">
        <f t="shared" si="8"/>
        <v>4.5320027080787252E-3</v>
      </c>
    </row>
    <row r="139" spans="2:7">
      <c r="B139">
        <v>222.63</v>
      </c>
      <c r="C139">
        <f t="shared" si="6"/>
        <v>-1.6844091092844682E-2</v>
      </c>
      <c r="D139">
        <v>101.16</v>
      </c>
      <c r="E139">
        <f t="shared" si="7"/>
        <v>2.0462633451957313E-2</v>
      </c>
      <c r="G139">
        <f t="shared" si="8"/>
        <v>2.6859792063591639E-3</v>
      </c>
    </row>
    <row r="140" spans="2:7">
      <c r="B140">
        <v>218.88</v>
      </c>
      <c r="C140">
        <f t="shared" si="6"/>
        <v>1.4528508771929793E-2</v>
      </c>
      <c r="D140">
        <v>103.23</v>
      </c>
      <c r="E140">
        <f t="shared" si="7"/>
        <v>5.8122638767799106E-3</v>
      </c>
      <c r="G140">
        <f t="shared" si="8"/>
        <v>9.9655545693188297E-3</v>
      </c>
    </row>
    <row r="141" spans="2:7">
      <c r="B141">
        <v>222.06</v>
      </c>
      <c r="C141">
        <f t="shared" si="6"/>
        <v>-9.2767720435917855E-3</v>
      </c>
      <c r="D141">
        <v>103.83</v>
      </c>
      <c r="E141">
        <f t="shared" si="7"/>
        <v>1.2520466146586084E-3</v>
      </c>
      <c r="G141">
        <f t="shared" si="8"/>
        <v>-3.7649354759977036E-3</v>
      </c>
    </row>
    <row r="142" spans="2:7">
      <c r="B142">
        <v>220</v>
      </c>
      <c r="C142">
        <f t="shared" si="6"/>
        <v>-6.3636363636363491E-3</v>
      </c>
      <c r="D142">
        <v>103.96</v>
      </c>
      <c r="E142">
        <f t="shared" si="7"/>
        <v>1.9238168526356292E-2</v>
      </c>
      <c r="G142">
        <f t="shared" si="8"/>
        <v>7.0389084962748007E-3</v>
      </c>
    </row>
    <row r="143" spans="2:7">
      <c r="B143">
        <v>218.6</v>
      </c>
      <c r="C143">
        <f t="shared" si="6"/>
        <v>1.8298261665141702E-3</v>
      </c>
      <c r="D143">
        <v>105.96</v>
      </c>
      <c r="E143">
        <f t="shared" si="7"/>
        <v>-7.8331445828614399E-3</v>
      </c>
      <c r="G143">
        <f t="shared" si="8"/>
        <v>-3.2287390207839627E-3</v>
      </c>
    </row>
    <row r="144" spans="2:7">
      <c r="B144">
        <v>219</v>
      </c>
      <c r="C144">
        <f t="shared" si="6"/>
        <v>1.4611872146118587E-2</v>
      </c>
      <c r="D144">
        <v>105.13</v>
      </c>
      <c r="E144">
        <f t="shared" si="7"/>
        <v>-1.5219252354228274E-3</v>
      </c>
      <c r="G144">
        <f t="shared" si="8"/>
        <v>6.165829216881657E-3</v>
      </c>
    </row>
    <row r="145" spans="2:7">
      <c r="B145">
        <v>222.2</v>
      </c>
      <c r="C145">
        <f t="shared" si="6"/>
        <v>-9.9009900990097988E-3</v>
      </c>
      <c r="D145">
        <v>104.97</v>
      </c>
      <c r="E145">
        <f t="shared" si="7"/>
        <v>1.4575593026578959E-2</v>
      </c>
      <c r="G145">
        <f t="shared" si="8"/>
        <v>2.9125011672359175E-3</v>
      </c>
    </row>
    <row r="146" spans="2:7">
      <c r="B146">
        <v>220</v>
      </c>
      <c r="C146">
        <f t="shared" si="6"/>
        <v>2.2727272727272707E-2</v>
      </c>
      <c r="D146">
        <v>106.5</v>
      </c>
      <c r="E146">
        <f t="shared" si="7"/>
        <v>-3.9436619718310473E-3</v>
      </c>
      <c r="G146">
        <f t="shared" si="8"/>
        <v>8.7650384122918909E-3</v>
      </c>
    </row>
    <row r="147" spans="2:7">
      <c r="B147">
        <v>225</v>
      </c>
      <c r="C147">
        <f t="shared" si="6"/>
        <v>1.1111111111111072E-2</v>
      </c>
      <c r="D147">
        <v>106.08</v>
      </c>
      <c r="E147">
        <f t="shared" si="7"/>
        <v>-2.9977375565610753E-2</v>
      </c>
      <c r="G147">
        <f t="shared" si="8"/>
        <v>-1.0398711664152807E-2</v>
      </c>
    </row>
    <row r="148" spans="2:7">
      <c r="B148">
        <v>227.5</v>
      </c>
      <c r="C148">
        <f t="shared" si="6"/>
        <v>1.318681318681314E-2</v>
      </c>
      <c r="D148">
        <v>102.9</v>
      </c>
      <c r="E148">
        <f t="shared" si="7"/>
        <v>-2.0894071914480117E-2</v>
      </c>
      <c r="G148">
        <f t="shared" si="8"/>
        <v>-4.6545301637138815E-3</v>
      </c>
    </row>
    <row r="149" spans="2:7">
      <c r="B149">
        <v>230.5</v>
      </c>
      <c r="C149">
        <f t="shared" si="6"/>
        <v>6.5075921908894774E-3</v>
      </c>
      <c r="D149">
        <v>100.75</v>
      </c>
      <c r="E149">
        <f t="shared" si="7"/>
        <v>1.0521091811414474E-2</v>
      </c>
      <c r="G149">
        <f t="shared" si="8"/>
        <v>8.6086592422343136E-3</v>
      </c>
    </row>
    <row r="150" spans="2:7">
      <c r="B150">
        <v>232</v>
      </c>
      <c r="C150">
        <f t="shared" si="6"/>
        <v>-3.0689655172413843E-2</v>
      </c>
      <c r="D150">
        <v>101.81</v>
      </c>
      <c r="E150">
        <f t="shared" si="7"/>
        <v>2.1707101463510403E-2</v>
      </c>
      <c r="G150">
        <f t="shared" si="8"/>
        <v>-3.2599530735074982E-3</v>
      </c>
    </row>
    <row r="151" spans="2:7">
      <c r="B151">
        <v>224.88</v>
      </c>
      <c r="C151">
        <f t="shared" si="6"/>
        <v>-1.6897901102810309E-3</v>
      </c>
      <c r="D151">
        <v>104.02</v>
      </c>
      <c r="E151">
        <f t="shared" si="7"/>
        <v>1.2401461257450563E-2</v>
      </c>
      <c r="G151">
        <f t="shared" si="8"/>
        <v>5.6869799807264601E-3</v>
      </c>
    </row>
    <row r="152" spans="2:7">
      <c r="B152">
        <v>224.5</v>
      </c>
      <c r="C152">
        <f t="shared" si="6"/>
        <v>4.2316258351893232E-3</v>
      </c>
      <c r="D152">
        <v>105.31</v>
      </c>
      <c r="E152">
        <f t="shared" si="7"/>
        <v>1.9941126198841364E-3</v>
      </c>
      <c r="G152">
        <f t="shared" si="8"/>
        <v>3.0602876669770579E-3</v>
      </c>
    </row>
    <row r="153" spans="2:7">
      <c r="B153">
        <v>225.45</v>
      </c>
      <c r="C153">
        <f t="shared" si="6"/>
        <v>2.2177866489259124E-4</v>
      </c>
      <c r="D153">
        <v>105.52</v>
      </c>
      <c r="E153">
        <f t="shared" si="7"/>
        <v>1.5163002274450443E-2</v>
      </c>
      <c r="G153">
        <f t="shared" si="8"/>
        <v>8.0435092244961273E-3</v>
      </c>
    </row>
    <row r="154" spans="2:7">
      <c r="B154">
        <v>225.5</v>
      </c>
      <c r="C154">
        <f t="shared" si="6"/>
        <v>3.1042128603102626E-3</v>
      </c>
      <c r="D154">
        <v>107.12</v>
      </c>
      <c r="E154">
        <f t="shared" si="7"/>
        <v>1.5403286034353814E-2</v>
      </c>
      <c r="G154">
        <f t="shared" si="8"/>
        <v>9.5427776669220615E-3</v>
      </c>
    </row>
    <row r="155" spans="2:7">
      <c r="B155">
        <v>226.2</v>
      </c>
      <c r="C155">
        <f t="shared" si="6"/>
        <v>-8.6206896551723755E-3</v>
      </c>
      <c r="D155">
        <v>108.77</v>
      </c>
      <c r="E155">
        <f t="shared" si="7"/>
        <v>-5.3323526707731439E-3</v>
      </c>
      <c r="G155">
        <f t="shared" si="8"/>
        <v>-6.8992452438393775E-3</v>
      </c>
    </row>
    <row r="156" spans="2:7">
      <c r="B156">
        <v>224.25</v>
      </c>
      <c r="C156">
        <f t="shared" si="6"/>
        <v>2.6755852842808014E-3</v>
      </c>
      <c r="D156">
        <v>108.19</v>
      </c>
      <c r="E156">
        <f t="shared" si="7"/>
        <v>-8.3186985858211271E-3</v>
      </c>
      <c r="G156">
        <f t="shared" si="8"/>
        <v>-3.079922321717559E-3</v>
      </c>
    </row>
    <row r="157" spans="2:7">
      <c r="B157">
        <v>224.85</v>
      </c>
      <c r="C157">
        <f t="shared" si="6"/>
        <v>1.4009339559706513E-2</v>
      </c>
      <c r="D157">
        <v>107.29</v>
      </c>
      <c r="E157">
        <f t="shared" si="7"/>
        <v>-1.5192469009227438E-2</v>
      </c>
      <c r="G157">
        <f t="shared" si="8"/>
        <v>-1.2778072261304127E-3</v>
      </c>
    </row>
    <row r="158" spans="2:7">
      <c r="B158">
        <v>228</v>
      </c>
      <c r="C158">
        <f t="shared" si="6"/>
        <v>-1.3157894736842146E-2</v>
      </c>
      <c r="D158">
        <v>105.66</v>
      </c>
      <c r="E158">
        <f t="shared" si="7"/>
        <v>1.9401855006625057E-2</v>
      </c>
      <c r="G158">
        <f t="shared" si="8"/>
        <v>3.8871342538629363E-3</v>
      </c>
    </row>
    <row r="159" spans="2:7">
      <c r="B159">
        <v>225</v>
      </c>
      <c r="C159">
        <f t="shared" si="6"/>
        <v>-2.2222222222222365E-3</v>
      </c>
      <c r="D159">
        <v>107.71</v>
      </c>
      <c r="E159">
        <f t="shared" si="7"/>
        <v>7.4273512208709036E-3</v>
      </c>
      <c r="G159">
        <f t="shared" si="8"/>
        <v>2.8293294752370231E-3</v>
      </c>
    </row>
    <row r="160" spans="2:7">
      <c r="B160">
        <v>224.5</v>
      </c>
      <c r="C160">
        <f t="shared" si="6"/>
        <v>-8.9086859688195519E-3</v>
      </c>
      <c r="D160">
        <v>108.51</v>
      </c>
      <c r="E160">
        <f t="shared" si="7"/>
        <v>6.2667035296284368E-3</v>
      </c>
      <c r="G160">
        <f t="shared" si="8"/>
        <v>-9.6436956638202903E-4</v>
      </c>
    </row>
    <row r="161" spans="2:7">
      <c r="B161">
        <v>222.5</v>
      </c>
      <c r="C161">
        <f t="shared" si="6"/>
        <v>3.6179775280898996E-2</v>
      </c>
      <c r="D161">
        <v>109.19</v>
      </c>
      <c r="E161">
        <f t="shared" si="7"/>
        <v>-7.5098452239215074E-3</v>
      </c>
      <c r="G161">
        <f t="shared" si="8"/>
        <v>1.3308258946625462E-2</v>
      </c>
    </row>
    <row r="162" spans="2:7">
      <c r="B162">
        <v>230.55</v>
      </c>
      <c r="C162">
        <f t="shared" si="6"/>
        <v>-1.2795489047928932E-2</v>
      </c>
      <c r="D162">
        <v>108.37</v>
      </c>
      <c r="E162">
        <f t="shared" si="7"/>
        <v>-2.7682938082496111E-3</v>
      </c>
      <c r="G162">
        <f t="shared" si="8"/>
        <v>-7.5462523399568073E-3</v>
      </c>
    </row>
    <row r="163" spans="2:7">
      <c r="B163">
        <v>227.6</v>
      </c>
      <c r="C163">
        <f t="shared" si="6"/>
        <v>-1.2741652021089678E-2</v>
      </c>
      <c r="D163">
        <v>108.07</v>
      </c>
      <c r="E163">
        <f t="shared" si="7"/>
        <v>1.119644674747855E-2</v>
      </c>
      <c r="G163">
        <f t="shared" si="8"/>
        <v>-2.1005731574420903E-4</v>
      </c>
    </row>
    <row r="164" spans="2:7">
      <c r="B164">
        <v>224.7</v>
      </c>
      <c r="C164">
        <f t="shared" si="6"/>
        <v>1.001335113484636E-2</v>
      </c>
      <c r="D164">
        <v>109.28</v>
      </c>
      <c r="E164">
        <f t="shared" si="7"/>
        <v>1.1072474377745278E-2</v>
      </c>
      <c r="G164">
        <f t="shared" si="8"/>
        <v>1.0567802152503945E-2</v>
      </c>
    </row>
    <row r="165" spans="2:7">
      <c r="B165">
        <v>226.95</v>
      </c>
      <c r="C165">
        <f t="shared" si="6"/>
        <v>1.1500330469266462E-2</v>
      </c>
      <c r="D165">
        <v>110.49</v>
      </c>
      <c r="E165">
        <f t="shared" si="7"/>
        <v>-5.4303556882961956E-4</v>
      </c>
      <c r="G165">
        <f t="shared" si="8"/>
        <v>5.1956283483231627E-3</v>
      </c>
    </row>
    <row r="166" spans="2:7">
      <c r="B166">
        <v>229.56</v>
      </c>
      <c r="C166">
        <f t="shared" si="6"/>
        <v>-1.1151768600801581E-2</v>
      </c>
      <c r="D166">
        <v>110.43</v>
      </c>
      <c r="E166">
        <f t="shared" si="7"/>
        <v>-1.5937698089287355E-2</v>
      </c>
      <c r="G166">
        <f t="shared" si="8"/>
        <v>-1.3657202688023885E-2</v>
      </c>
    </row>
    <row r="167" spans="2:7">
      <c r="B167">
        <v>227</v>
      </c>
      <c r="C167">
        <f t="shared" si="6"/>
        <v>5.2863436123347096E-3</v>
      </c>
      <c r="D167">
        <v>108.67</v>
      </c>
      <c r="E167">
        <f t="shared" si="7"/>
        <v>-7.3617373700196609E-4</v>
      </c>
      <c r="G167">
        <f t="shared" si="8"/>
        <v>2.1335557799569598E-3</v>
      </c>
    </row>
    <row r="168" spans="2:7">
      <c r="B168">
        <v>228.2</v>
      </c>
      <c r="C168">
        <f t="shared" si="6"/>
        <v>7.8878177037686736E-3</v>
      </c>
      <c r="D168">
        <v>108.59</v>
      </c>
      <c r="E168">
        <f t="shared" si="7"/>
        <v>1.0037756699512013E-2</v>
      </c>
      <c r="G168">
        <f t="shared" si="8"/>
        <v>9.013310768040312E-3</v>
      </c>
    </row>
    <row r="169" spans="2:7">
      <c r="B169">
        <v>230</v>
      </c>
      <c r="C169">
        <f t="shared" si="6"/>
        <v>6.1739130434781408E-3</v>
      </c>
      <c r="D169">
        <v>109.68</v>
      </c>
      <c r="E169">
        <f t="shared" si="7"/>
        <v>-1.1305616338439184E-2</v>
      </c>
      <c r="G169">
        <f t="shared" si="8"/>
        <v>-2.9766205879555798E-3</v>
      </c>
    </row>
    <row r="170" spans="2:7">
      <c r="B170">
        <v>231.42</v>
      </c>
      <c r="C170">
        <f t="shared" si="6"/>
        <v>3.2754299541958298E-2</v>
      </c>
      <c r="D170">
        <v>108.44</v>
      </c>
      <c r="E170">
        <f t="shared" si="7"/>
        <v>-1.7152342309111002E-2</v>
      </c>
      <c r="G170">
        <f t="shared" si="8"/>
        <v>6.6281725329235177E-3</v>
      </c>
    </row>
    <row r="171" spans="2:7">
      <c r="B171">
        <v>239</v>
      </c>
      <c r="C171">
        <f t="shared" si="6"/>
        <v>-2.468619246861925E-2</v>
      </c>
      <c r="D171">
        <v>106.58</v>
      </c>
      <c r="E171">
        <f t="shared" si="7"/>
        <v>-1.4730718708950929E-2</v>
      </c>
      <c r="G171">
        <f t="shared" si="8"/>
        <v>-1.9474501955432884E-2</v>
      </c>
    </row>
    <row r="172" spans="2:7">
      <c r="B172">
        <v>233.1</v>
      </c>
      <c r="C172">
        <f t="shared" si="6"/>
        <v>2.7112827112827143E-2</v>
      </c>
      <c r="D172">
        <v>105.01</v>
      </c>
      <c r="E172">
        <f t="shared" si="7"/>
        <v>1.3332063612989664E-3</v>
      </c>
      <c r="G172">
        <f t="shared" si="8"/>
        <v>1.3617195649402142E-2</v>
      </c>
    </row>
    <row r="173" spans="2:7">
      <c r="B173">
        <v>239.42</v>
      </c>
      <c r="C173">
        <f t="shared" si="6"/>
        <v>-1.5537549076935941E-2</v>
      </c>
      <c r="D173">
        <v>105.15</v>
      </c>
      <c r="E173">
        <f t="shared" si="7"/>
        <v>-7.8934854969092694E-3</v>
      </c>
      <c r="G173">
        <f t="shared" si="8"/>
        <v>-1.1535881792791979E-2</v>
      </c>
    </row>
    <row r="174" spans="2:7">
      <c r="B174">
        <v>235.7</v>
      </c>
      <c r="C174">
        <f t="shared" si="6"/>
        <v>1.2728044123886395E-3</v>
      </c>
      <c r="D174">
        <v>104.32</v>
      </c>
      <c r="E174">
        <f t="shared" si="7"/>
        <v>1.8884202453987919E-2</v>
      </c>
      <c r="G174">
        <f t="shared" si="8"/>
        <v>1.0492371287165864E-2</v>
      </c>
    </row>
    <row r="175" spans="2:7">
      <c r="B175">
        <v>236</v>
      </c>
      <c r="C175">
        <f t="shared" si="6"/>
        <v>-2.1186440677966156E-2</v>
      </c>
      <c r="D175">
        <v>106.29</v>
      </c>
      <c r="E175">
        <f t="shared" si="7"/>
        <v>-1.6652554332486691E-2</v>
      </c>
      <c r="G175">
        <f t="shared" si="8"/>
        <v>-1.8812951176107658E-2</v>
      </c>
    </row>
    <row r="176" spans="2:7">
      <c r="B176">
        <v>231</v>
      </c>
      <c r="C176">
        <f t="shared" si="6"/>
        <v>1.9480519480519431E-2</v>
      </c>
      <c r="D176">
        <v>104.52</v>
      </c>
      <c r="E176">
        <f t="shared" si="7"/>
        <v>1.9135093761968314E-4</v>
      </c>
      <c r="G176">
        <f t="shared" si="8"/>
        <v>9.3826397483114127E-3</v>
      </c>
    </row>
    <row r="177" spans="2:7">
      <c r="B177">
        <v>235.5</v>
      </c>
      <c r="C177">
        <f t="shared" si="6"/>
        <v>4.2462845010615702E-3</v>
      </c>
      <c r="D177">
        <v>104.54</v>
      </c>
      <c r="E177">
        <f t="shared" si="7"/>
        <v>6.8873158599578321E-3</v>
      </c>
      <c r="G177">
        <f t="shared" si="8"/>
        <v>5.6288644174437644E-3</v>
      </c>
    </row>
    <row r="178" spans="2:7">
      <c r="B178">
        <v>236.5</v>
      </c>
      <c r="C178">
        <f t="shared" si="6"/>
        <v>1.4799154334038001E-2</v>
      </c>
      <c r="D178">
        <v>105.26</v>
      </c>
      <c r="E178">
        <f t="shared" si="7"/>
        <v>-8.6452593577808212E-3</v>
      </c>
      <c r="G178">
        <f t="shared" si="8"/>
        <v>2.5260037663708467E-3</v>
      </c>
    </row>
    <row r="179" spans="2:7">
      <c r="B179">
        <v>240</v>
      </c>
      <c r="C179">
        <f t="shared" si="6"/>
        <v>-1.895833333333341E-2</v>
      </c>
      <c r="D179">
        <v>104.35</v>
      </c>
      <c r="E179">
        <f t="shared" si="7"/>
        <v>1.5428845232390964E-2</v>
      </c>
      <c r="G179">
        <f t="shared" si="8"/>
        <v>-9.5664535417669741E-4</v>
      </c>
    </row>
    <row r="180" spans="2:7">
      <c r="B180">
        <v>235.45</v>
      </c>
      <c r="C180">
        <f t="shared" si="6"/>
        <v>-1.0405606285835534E-2</v>
      </c>
      <c r="D180">
        <v>105.96</v>
      </c>
      <c r="E180">
        <f t="shared" si="7"/>
        <v>3.5862589656474597E-3</v>
      </c>
      <c r="G180">
        <f t="shared" si="8"/>
        <v>-3.0808648266841864E-3</v>
      </c>
    </row>
    <row r="181" spans="2:7">
      <c r="B181">
        <v>233</v>
      </c>
      <c r="C181">
        <f t="shared" si="6"/>
        <v>-2.1459227467811148E-2</v>
      </c>
      <c r="D181">
        <v>106.34</v>
      </c>
      <c r="E181">
        <f t="shared" si="7"/>
        <v>-6.676697385743946E-3</v>
      </c>
      <c r="G181">
        <f t="shared" si="8"/>
        <v>-1.3720572969848967E-2</v>
      </c>
    </row>
    <row r="182" spans="2:7">
      <c r="B182">
        <v>228</v>
      </c>
      <c r="C182">
        <f t="shared" si="6"/>
        <v>0</v>
      </c>
      <c r="D182">
        <v>105.63</v>
      </c>
      <c r="E182">
        <f t="shared" si="7"/>
        <v>-1.8271324434346203E-2</v>
      </c>
      <c r="G182">
        <f t="shared" si="8"/>
        <v>-9.5650383413802397E-3</v>
      </c>
    </row>
    <row r="183" spans="2:7">
      <c r="B183">
        <v>228</v>
      </c>
      <c r="C183">
        <f t="shared" si="6"/>
        <v>4.3859649122806044E-3</v>
      </c>
      <c r="D183">
        <v>103.7</v>
      </c>
      <c r="E183">
        <f t="shared" si="7"/>
        <v>3.4715525554485094E-3</v>
      </c>
      <c r="G183">
        <f t="shared" si="8"/>
        <v>3.9072700434790025E-3</v>
      </c>
    </row>
    <row r="184" spans="2:7">
      <c r="B184">
        <v>229</v>
      </c>
      <c r="C184">
        <f t="shared" si="6"/>
        <v>3.9301310043660109E-4</v>
      </c>
      <c r="D184">
        <v>104.06</v>
      </c>
      <c r="E184">
        <f t="shared" si="7"/>
        <v>-1.5952335191235845E-2</v>
      </c>
      <c r="G184">
        <f t="shared" si="8"/>
        <v>-8.1637767302539244E-3</v>
      </c>
    </row>
    <row r="185" spans="2:7">
      <c r="B185">
        <v>229.09</v>
      </c>
      <c r="C185">
        <f t="shared" si="6"/>
        <v>9.1667030424735785E-4</v>
      </c>
      <c r="D185">
        <v>102.4</v>
      </c>
      <c r="E185">
        <f t="shared" si="7"/>
        <v>-1.2695312500000666E-3</v>
      </c>
      <c r="G185">
        <f t="shared" si="8"/>
        <v>-2.2780620940116903E-4</v>
      </c>
    </row>
    <row r="186" spans="2:7">
      <c r="B186">
        <v>229.3</v>
      </c>
      <c r="C186">
        <f t="shared" si="6"/>
        <v>-1.1993022241604923E-2</v>
      </c>
      <c r="D186">
        <v>102.27</v>
      </c>
      <c r="E186">
        <f t="shared" si="7"/>
        <v>-7.3335288941038801E-3</v>
      </c>
      <c r="G186">
        <f t="shared" si="8"/>
        <v>-9.5537774741881274E-3</v>
      </c>
    </row>
    <row r="187" spans="2:7">
      <c r="B187">
        <v>226.55</v>
      </c>
      <c r="C187">
        <f t="shared" si="6"/>
        <v>8.6515118075478625E-3</v>
      </c>
      <c r="D187">
        <v>101.52</v>
      </c>
      <c r="E187">
        <f t="shared" si="7"/>
        <v>-5.2206461780930358E-3</v>
      </c>
      <c r="G187">
        <f t="shared" si="8"/>
        <v>1.3894371020648517E-3</v>
      </c>
    </row>
    <row r="188" spans="2:7">
      <c r="B188">
        <v>228.51</v>
      </c>
      <c r="C188">
        <f t="shared" si="6"/>
        <v>1.7986083760010541E-2</v>
      </c>
      <c r="D188">
        <v>100.99</v>
      </c>
      <c r="E188">
        <f t="shared" si="7"/>
        <v>-1.0000990197049142E-2</v>
      </c>
      <c r="G188">
        <f t="shared" si="8"/>
        <v>3.3348505434897951E-3</v>
      </c>
    </row>
    <row r="189" spans="2:7">
      <c r="B189">
        <v>232.62</v>
      </c>
      <c r="C189">
        <f t="shared" si="6"/>
        <v>-4.8147192846702547E-3</v>
      </c>
      <c r="D189">
        <v>99.98</v>
      </c>
      <c r="E189">
        <f t="shared" si="7"/>
        <v>5.0010002000400178E-3</v>
      </c>
      <c r="G189">
        <f t="shared" si="8"/>
        <v>3.2380986557557345E-4</v>
      </c>
    </row>
    <row r="190" spans="2:7">
      <c r="B190">
        <v>231.5</v>
      </c>
      <c r="C190">
        <f t="shared" si="6"/>
        <v>-9.0712742980560979E-3</v>
      </c>
      <c r="D190">
        <v>100.48</v>
      </c>
      <c r="E190">
        <f t="shared" si="7"/>
        <v>7.9617834394904996E-3</v>
      </c>
      <c r="G190">
        <f t="shared" si="8"/>
        <v>-1.5446857245045385E-4</v>
      </c>
    </row>
    <row r="191" spans="2:7">
      <c r="B191">
        <v>229.4</v>
      </c>
      <c r="C191">
        <f t="shared" si="6"/>
        <v>-1.0680034873583377E-2</v>
      </c>
      <c r="D191">
        <v>101.28</v>
      </c>
      <c r="E191">
        <f t="shared" si="7"/>
        <v>-4.2456556082148822E-3</v>
      </c>
      <c r="G191">
        <f t="shared" si="8"/>
        <v>-7.3116373281629701E-3</v>
      </c>
    </row>
    <row r="192" spans="2:7">
      <c r="B192">
        <v>226.95</v>
      </c>
      <c r="C192">
        <f t="shared" si="6"/>
        <v>-1.4760960564000891E-2</v>
      </c>
      <c r="D192">
        <v>100.85</v>
      </c>
      <c r="E192">
        <f t="shared" si="7"/>
        <v>2.1616261774913381E-2</v>
      </c>
      <c r="G192">
        <f t="shared" si="8"/>
        <v>4.2825153304207322E-3</v>
      </c>
    </row>
    <row r="193" spans="2:7">
      <c r="B193">
        <v>223.6</v>
      </c>
      <c r="C193">
        <f t="shared" si="6"/>
        <v>-2.6833631484793896E-3</v>
      </c>
      <c r="D193">
        <v>103.03</v>
      </c>
      <c r="E193">
        <f t="shared" si="7"/>
        <v>-1.3102979714646135E-2</v>
      </c>
      <c r="G193">
        <f t="shared" si="8"/>
        <v>-8.1380324208676809E-3</v>
      </c>
    </row>
    <row r="194" spans="2:7">
      <c r="B194">
        <v>223</v>
      </c>
      <c r="C194">
        <f t="shared" si="6"/>
        <v>7.9820627802691391E-3</v>
      </c>
      <c r="D194">
        <v>101.68</v>
      </c>
      <c r="E194">
        <f t="shared" si="7"/>
        <v>-1.3867033831628794E-2</v>
      </c>
      <c r="G194">
        <f t="shared" si="8"/>
        <v>-3.4559392960594303E-3</v>
      </c>
    </row>
    <row r="195" spans="2:7">
      <c r="B195">
        <v>224.78</v>
      </c>
      <c r="C195">
        <f t="shared" ref="C195:C258" si="9">(B196/B195)-1</f>
        <v>1.2100720704689039E-2</v>
      </c>
      <c r="D195">
        <v>100.27</v>
      </c>
      <c r="E195">
        <f t="shared" ref="E195:E258" si="10">(D196/D195)-1</f>
        <v>-5.0862670788869302E-3</v>
      </c>
      <c r="G195">
        <f t="shared" si="8"/>
        <v>3.1033325999870183E-3</v>
      </c>
    </row>
    <row r="196" spans="2:7">
      <c r="B196">
        <v>227.5</v>
      </c>
      <c r="C196">
        <f t="shared" si="9"/>
        <v>8.7912087912078718E-4</v>
      </c>
      <c r="D196">
        <v>99.76</v>
      </c>
      <c r="E196">
        <f t="shared" si="10"/>
        <v>-1.8043303929431431E-3</v>
      </c>
      <c r="G196">
        <f t="shared" ref="G196:G259" si="11">C196*$J$5+E196*$J$6</f>
        <v>-5.2566586180468049E-4</v>
      </c>
    </row>
    <row r="197" spans="2:7">
      <c r="B197">
        <v>227.7</v>
      </c>
      <c r="C197">
        <f t="shared" si="9"/>
        <v>8.8713219148002231E-3</v>
      </c>
      <c r="D197">
        <v>99.58</v>
      </c>
      <c r="E197">
        <f t="shared" si="10"/>
        <v>-2.410122514561075E-3</v>
      </c>
      <c r="G197">
        <f t="shared" si="11"/>
        <v>2.965485756029583E-3</v>
      </c>
    </row>
    <row r="198" spans="2:7">
      <c r="B198">
        <v>229.72</v>
      </c>
      <c r="C198">
        <f t="shared" si="9"/>
        <v>-1.619362702420335E-2</v>
      </c>
      <c r="D198">
        <v>99.34</v>
      </c>
      <c r="E198">
        <f t="shared" si="10"/>
        <v>7.3485001006643458E-3</v>
      </c>
      <c r="G198">
        <f t="shared" si="11"/>
        <v>-3.8693234743351103E-3</v>
      </c>
    </row>
    <row r="199" spans="2:7">
      <c r="B199">
        <v>226</v>
      </c>
      <c r="C199">
        <f t="shared" si="9"/>
        <v>1.4380530973451267E-2</v>
      </c>
      <c r="D199">
        <v>100.07</v>
      </c>
      <c r="E199">
        <f t="shared" si="10"/>
        <v>-1.3690416708304065E-2</v>
      </c>
      <c r="G199">
        <f t="shared" si="11"/>
        <v>-3.1461013794765059E-4</v>
      </c>
    </row>
    <row r="200" spans="2:7">
      <c r="B200">
        <v>229.25</v>
      </c>
      <c r="C200">
        <f t="shared" si="9"/>
        <v>1.243184296619404E-2</v>
      </c>
      <c r="D200">
        <v>98.7</v>
      </c>
      <c r="E200">
        <f t="shared" si="10"/>
        <v>-1.0334346504559222E-2</v>
      </c>
      <c r="G200">
        <f t="shared" si="11"/>
        <v>5.1374277825470566E-4</v>
      </c>
    </row>
    <row r="201" spans="2:7">
      <c r="B201">
        <v>232.1</v>
      </c>
      <c r="C201">
        <f t="shared" si="9"/>
        <v>-1.8914261094355789E-2</v>
      </c>
      <c r="D201">
        <v>97.68</v>
      </c>
      <c r="E201">
        <f t="shared" si="10"/>
        <v>4.0950040950038513E-4</v>
      </c>
      <c r="G201">
        <f t="shared" si="11"/>
        <v>-8.7982719470870822E-3</v>
      </c>
    </row>
    <row r="202" spans="2:7">
      <c r="B202">
        <v>227.71</v>
      </c>
      <c r="C202">
        <f t="shared" si="9"/>
        <v>1.225242633173762E-2</v>
      </c>
      <c r="D202">
        <v>97.72</v>
      </c>
      <c r="E202">
        <f t="shared" si="10"/>
        <v>-7.47032337290221E-3</v>
      </c>
      <c r="G202">
        <f t="shared" si="11"/>
        <v>1.9275668613586688E-3</v>
      </c>
    </row>
    <row r="203" spans="2:7">
      <c r="B203">
        <v>230.5</v>
      </c>
      <c r="C203">
        <f t="shared" si="9"/>
        <v>4.7722342733202971E-4</v>
      </c>
      <c r="D203">
        <v>96.99</v>
      </c>
      <c r="E203">
        <f t="shared" si="10"/>
        <v>-2.257964738632845E-2</v>
      </c>
      <c r="G203">
        <f t="shared" si="11"/>
        <v>-1.1593048443619233E-2</v>
      </c>
    </row>
    <row r="204" spans="2:7">
      <c r="B204">
        <v>230.61</v>
      </c>
      <c r="C204">
        <f t="shared" si="9"/>
        <v>-8.2823815099085651E-3</v>
      </c>
      <c r="D204">
        <v>94.8</v>
      </c>
      <c r="E204">
        <f t="shared" si="10"/>
        <v>8.6497890295358371E-3</v>
      </c>
      <c r="G204">
        <f t="shared" si="11"/>
        <v>5.8160976749058006E-4</v>
      </c>
    </row>
    <row r="205" spans="2:7">
      <c r="B205">
        <v>228.7</v>
      </c>
      <c r="C205">
        <f t="shared" si="9"/>
        <v>-9.4009619588980575E-3</v>
      </c>
      <c r="D205">
        <v>95.62</v>
      </c>
      <c r="E205">
        <f t="shared" si="10"/>
        <v>8.6801924283621545E-3</v>
      </c>
      <c r="G205">
        <f t="shared" si="11"/>
        <v>6.4522362832664971E-5</v>
      </c>
    </row>
    <row r="206" spans="2:7">
      <c r="B206">
        <v>226.55</v>
      </c>
      <c r="C206">
        <f t="shared" si="9"/>
        <v>5.8706687265503987E-3</v>
      </c>
      <c r="D206">
        <v>96.45</v>
      </c>
      <c r="E206">
        <f t="shared" si="10"/>
        <v>1.5033696215655867E-2</v>
      </c>
      <c r="G206">
        <f t="shared" si="11"/>
        <v>1.0667513617097113E-2</v>
      </c>
    </row>
    <row r="207" spans="2:7">
      <c r="B207">
        <v>227.88</v>
      </c>
      <c r="C207">
        <f t="shared" si="9"/>
        <v>-3.5106196243628318E-4</v>
      </c>
      <c r="D207">
        <v>97.9</v>
      </c>
      <c r="E207">
        <f t="shared" si="10"/>
        <v>6.3329928498467858E-3</v>
      </c>
      <c r="G207">
        <f t="shared" si="11"/>
        <v>3.1480407317939041E-3</v>
      </c>
    </row>
    <row r="208" spans="2:7">
      <c r="B208">
        <v>227.8</v>
      </c>
      <c r="C208">
        <f t="shared" si="9"/>
        <v>8.5601404741000309E-3</v>
      </c>
      <c r="D208">
        <v>98.52</v>
      </c>
      <c r="E208">
        <f t="shared" si="10"/>
        <v>1.8574908647990274E-2</v>
      </c>
      <c r="G208">
        <f t="shared" si="11"/>
        <v>1.3802871613131575E-2</v>
      </c>
    </row>
    <row r="209" spans="2:7">
      <c r="B209">
        <v>229.75</v>
      </c>
      <c r="C209">
        <f t="shared" si="9"/>
        <v>4.1349292709467189E-3</v>
      </c>
      <c r="D209">
        <v>100.35</v>
      </c>
      <c r="E209">
        <f t="shared" si="10"/>
        <v>-1.7140009965122105E-2</v>
      </c>
      <c r="G209">
        <f t="shared" si="11"/>
        <v>-7.0025014191353128E-3</v>
      </c>
    </row>
    <row r="210" spans="2:7">
      <c r="B210">
        <v>230.7</v>
      </c>
      <c r="C210">
        <f t="shared" si="9"/>
        <v>-3.9878630255743008E-3</v>
      </c>
      <c r="D210">
        <v>98.63</v>
      </c>
      <c r="E210">
        <f t="shared" si="10"/>
        <v>-3.954172158572411E-3</v>
      </c>
      <c r="G210">
        <f t="shared" si="11"/>
        <v>-3.9702258566988117E-3</v>
      </c>
    </row>
    <row r="211" spans="2:7">
      <c r="B211">
        <v>229.78</v>
      </c>
      <c r="C211">
        <f t="shared" si="9"/>
        <v>-9.2697362694751373E-3</v>
      </c>
      <c r="D211">
        <v>98.24</v>
      </c>
      <c r="E211">
        <f t="shared" si="10"/>
        <v>3.562703583061877E-3</v>
      </c>
      <c r="G211">
        <f t="shared" si="11"/>
        <v>-2.5519540066720097E-3</v>
      </c>
    </row>
    <row r="212" spans="2:7">
      <c r="B212">
        <v>227.65</v>
      </c>
      <c r="C212">
        <f t="shared" si="9"/>
        <v>1.5813749176367686E-3</v>
      </c>
      <c r="D212">
        <v>98.59</v>
      </c>
      <c r="E212">
        <f t="shared" si="10"/>
        <v>-8.5201338878182487E-3</v>
      </c>
      <c r="G212">
        <f t="shared" si="11"/>
        <v>-3.7067649420189338E-3</v>
      </c>
    </row>
    <row r="213" spans="2:7">
      <c r="B213">
        <v>228.01</v>
      </c>
      <c r="C213">
        <f t="shared" si="9"/>
        <v>4.3419148282970443E-3</v>
      </c>
      <c r="D213">
        <v>97.75</v>
      </c>
      <c r="E213">
        <f t="shared" si="10"/>
        <v>-1.7391304347825765E-3</v>
      </c>
      <c r="G213">
        <f t="shared" si="11"/>
        <v>1.1584876330748624E-3</v>
      </c>
    </row>
    <row r="214" spans="2:7">
      <c r="B214">
        <v>229</v>
      </c>
      <c r="C214">
        <f t="shared" si="9"/>
        <v>-1.0262008733624484E-2</v>
      </c>
      <c r="D214">
        <v>97.58</v>
      </c>
      <c r="E214">
        <f t="shared" si="10"/>
        <v>1.0043041606886627E-2</v>
      </c>
      <c r="G214">
        <f t="shared" si="11"/>
        <v>3.6768511963308336E-4</v>
      </c>
    </row>
    <row r="215" spans="2:7">
      <c r="B215">
        <v>226.65</v>
      </c>
      <c r="C215">
        <f t="shared" si="9"/>
        <v>-1.8530774321641408E-2</v>
      </c>
      <c r="D215">
        <v>98.56</v>
      </c>
      <c r="E215">
        <f t="shared" si="10"/>
        <v>4.2309253246753276E-2</v>
      </c>
      <c r="G215">
        <f t="shared" si="11"/>
        <v>1.3318980110413214E-2</v>
      </c>
    </row>
    <row r="216" spans="2:7">
      <c r="B216">
        <v>222.45</v>
      </c>
      <c r="C216">
        <f t="shared" si="9"/>
        <v>1.1463250168577188E-2</v>
      </c>
      <c r="D216">
        <v>102.73</v>
      </c>
      <c r="E216">
        <f t="shared" si="10"/>
        <v>7.0086634868100628E-3</v>
      </c>
      <c r="G216">
        <f t="shared" si="11"/>
        <v>9.1312740406720976E-3</v>
      </c>
    </row>
    <row r="217" spans="2:7">
      <c r="B217">
        <v>225</v>
      </c>
      <c r="C217">
        <f t="shared" si="9"/>
        <v>-4.4444444444444731E-3</v>
      </c>
      <c r="D217">
        <v>103.45</v>
      </c>
      <c r="E217">
        <f t="shared" si="10"/>
        <v>-3.9632672788786349E-3</v>
      </c>
      <c r="G217">
        <f t="shared" si="11"/>
        <v>-4.1925481982707565E-3</v>
      </c>
    </row>
    <row r="218" spans="2:7">
      <c r="B218">
        <v>224</v>
      </c>
      <c r="C218">
        <f t="shared" si="9"/>
        <v>9.419642857142918E-3</v>
      </c>
      <c r="D218">
        <v>103.04</v>
      </c>
      <c r="E218">
        <f t="shared" si="10"/>
        <v>-1.6498447204968958E-3</v>
      </c>
      <c r="G218">
        <f t="shared" si="11"/>
        <v>3.6247661102484755E-3</v>
      </c>
    </row>
    <row r="219" spans="2:7">
      <c r="B219">
        <v>226.11</v>
      </c>
      <c r="C219">
        <f t="shared" si="9"/>
        <v>7.2531068948740174E-3</v>
      </c>
      <c r="D219">
        <v>102.87</v>
      </c>
      <c r="E219">
        <f t="shared" si="10"/>
        <v>-2.430251774083847E-3</v>
      </c>
      <c r="G219">
        <f t="shared" si="11"/>
        <v>2.1838686316745753E-3</v>
      </c>
    </row>
    <row r="220" spans="2:7">
      <c r="B220">
        <v>227.75</v>
      </c>
      <c r="C220">
        <f t="shared" si="9"/>
        <v>2.3051591657519133E-2</v>
      </c>
      <c r="D220">
        <v>102.62</v>
      </c>
      <c r="E220">
        <f t="shared" si="10"/>
        <v>1.2668095887740094E-3</v>
      </c>
      <c r="G220">
        <f t="shared" si="11"/>
        <v>1.1647258244531061E-2</v>
      </c>
    </row>
    <row r="221" spans="2:7">
      <c r="B221">
        <v>233</v>
      </c>
      <c r="C221">
        <f t="shared" si="9"/>
        <v>-1.0000000000000009E-2</v>
      </c>
      <c r="D221">
        <v>102.75</v>
      </c>
      <c r="E221">
        <f t="shared" si="10"/>
        <v>-2.0827250608272507E-2</v>
      </c>
      <c r="G221">
        <f t="shared" si="11"/>
        <v>-1.5668065693430662E-2</v>
      </c>
    </row>
    <row r="222" spans="2:7">
      <c r="B222">
        <v>230.67</v>
      </c>
      <c r="C222">
        <f t="shared" si="9"/>
        <v>-7.3698356960150146E-4</v>
      </c>
      <c r="D222">
        <v>100.61</v>
      </c>
      <c r="E222">
        <f t="shared" si="10"/>
        <v>3.8763542391413441E-3</v>
      </c>
      <c r="G222">
        <f t="shared" si="11"/>
        <v>1.6780987732753785E-3</v>
      </c>
    </row>
    <row r="223" spans="2:7">
      <c r="B223">
        <v>230.5</v>
      </c>
      <c r="C223">
        <f t="shared" si="9"/>
        <v>-8.7201735357916865E-3</v>
      </c>
      <c r="D223">
        <v>101</v>
      </c>
      <c r="E223">
        <f t="shared" si="10"/>
        <v>-3.7623762376237657E-3</v>
      </c>
      <c r="G223">
        <f t="shared" si="11"/>
        <v>-6.1247666502007797E-3</v>
      </c>
    </row>
    <row r="224" spans="2:7">
      <c r="B224">
        <v>228.49</v>
      </c>
      <c r="C224">
        <f t="shared" si="9"/>
        <v>-6.5210731323034343E-3</v>
      </c>
      <c r="D224">
        <v>100.62</v>
      </c>
      <c r="E224">
        <f t="shared" si="10"/>
        <v>-6.8574836016696006E-3</v>
      </c>
      <c r="G224">
        <f t="shared" si="11"/>
        <v>-6.6971840130166226E-3</v>
      </c>
    </row>
    <row r="225" spans="2:7">
      <c r="B225">
        <v>227</v>
      </c>
      <c r="C225">
        <f t="shared" si="9"/>
        <v>2.2026431718060735E-3</v>
      </c>
      <c r="D225">
        <v>99.93</v>
      </c>
      <c r="E225">
        <f t="shared" si="10"/>
        <v>-8.8061643150205704E-3</v>
      </c>
      <c r="G225">
        <f t="shared" si="11"/>
        <v>-3.5604675475476755E-3</v>
      </c>
    </row>
    <row r="226" spans="2:7">
      <c r="B226">
        <v>227.5</v>
      </c>
      <c r="C226">
        <f t="shared" si="9"/>
        <v>9.890109890109855E-3</v>
      </c>
      <c r="D226">
        <v>99.05</v>
      </c>
      <c r="E226">
        <f t="shared" si="10"/>
        <v>5.6537102473499523E-3</v>
      </c>
      <c r="G226">
        <f t="shared" si="11"/>
        <v>7.6723546771250463E-3</v>
      </c>
    </row>
    <row r="227" spans="2:7">
      <c r="B227">
        <v>229.75</v>
      </c>
      <c r="C227">
        <f t="shared" si="9"/>
        <v>-6.5288356909687373E-4</v>
      </c>
      <c r="D227">
        <v>99.61</v>
      </c>
      <c r="E227">
        <f t="shared" si="10"/>
        <v>1.4958337516313591E-2</v>
      </c>
      <c r="G227">
        <f t="shared" si="11"/>
        <v>7.5195906691155057E-3</v>
      </c>
    </row>
    <row r="228" spans="2:7">
      <c r="B228">
        <v>229.6</v>
      </c>
      <c r="C228">
        <f t="shared" si="9"/>
        <v>-1.7465156794425063E-2</v>
      </c>
      <c r="D228">
        <v>101.1</v>
      </c>
      <c r="E228">
        <f t="shared" si="10"/>
        <v>-2.4727992087042572E-2</v>
      </c>
      <c r="G228">
        <f t="shared" si="11"/>
        <v>-2.1267251070110328E-2</v>
      </c>
    </row>
    <row r="229" spans="2:7">
      <c r="B229">
        <v>225.59</v>
      </c>
      <c r="C229">
        <f t="shared" si="9"/>
        <v>-8.3780309410879106E-3</v>
      </c>
      <c r="D229">
        <v>98.6</v>
      </c>
      <c r="E229">
        <f t="shared" si="10"/>
        <v>-4.0567951318448703E-4</v>
      </c>
      <c r="G229">
        <f t="shared" si="11"/>
        <v>-4.2045049685804688E-3</v>
      </c>
    </row>
    <row r="230" spans="2:7">
      <c r="B230">
        <v>223.7</v>
      </c>
      <c r="C230">
        <f t="shared" si="9"/>
        <v>8.4935181046044139E-3</v>
      </c>
      <c r="D230">
        <v>98.56</v>
      </c>
      <c r="E230">
        <f t="shared" si="10"/>
        <v>3.4496753246753276E-3</v>
      </c>
      <c r="G230">
        <f t="shared" si="11"/>
        <v>5.8530664093115366E-3</v>
      </c>
    </row>
    <row r="231" spans="2:7">
      <c r="B231">
        <v>225.6</v>
      </c>
      <c r="C231">
        <f t="shared" si="9"/>
        <v>1.4627659574468099E-2</v>
      </c>
      <c r="D231">
        <v>98.9</v>
      </c>
      <c r="E231">
        <f t="shared" si="10"/>
        <v>2.8412537917087866E-2</v>
      </c>
      <c r="G231">
        <f t="shared" si="11"/>
        <v>2.1844043386829548E-2</v>
      </c>
    </row>
    <row r="232" spans="2:7">
      <c r="B232">
        <v>228.9</v>
      </c>
      <c r="C232">
        <f t="shared" si="9"/>
        <v>-8.5190039318480126E-3</v>
      </c>
      <c r="D232">
        <v>101.71</v>
      </c>
      <c r="E232">
        <f t="shared" si="10"/>
        <v>9.0453249434667704E-3</v>
      </c>
      <c r="G232">
        <f t="shared" si="11"/>
        <v>6.7592223437927708E-4</v>
      </c>
    </row>
    <row r="233" spans="2:7">
      <c r="B233">
        <v>226.95</v>
      </c>
      <c r="C233">
        <f t="shared" si="9"/>
        <v>-5.5078211059704785E-3</v>
      </c>
      <c r="D233">
        <v>102.63</v>
      </c>
      <c r="E233">
        <f t="shared" si="10"/>
        <v>1.003605183669487E-2</v>
      </c>
      <c r="G233">
        <f t="shared" si="11"/>
        <v>2.6293963795148323E-3</v>
      </c>
    </row>
    <row r="234" spans="2:7">
      <c r="B234">
        <v>225.7</v>
      </c>
      <c r="C234">
        <f t="shared" si="9"/>
        <v>-3.1014621178555579E-3</v>
      </c>
      <c r="D234">
        <v>103.66</v>
      </c>
      <c r="E234">
        <f t="shared" si="10"/>
        <v>3.2799536947714092E-3</v>
      </c>
      <c r="G234">
        <f t="shared" si="11"/>
        <v>2.3920906005465959E-4</v>
      </c>
    </row>
    <row r="235" spans="2:7">
      <c r="B235">
        <v>225</v>
      </c>
      <c r="C235">
        <f t="shared" si="9"/>
        <v>-4.4444444444444731E-3</v>
      </c>
      <c r="D235">
        <v>104</v>
      </c>
      <c r="E235">
        <f t="shared" si="10"/>
        <v>7.3076923076924594E-3</v>
      </c>
      <c r="G235">
        <f t="shared" si="11"/>
        <v>1.7077991452992118E-3</v>
      </c>
    </row>
    <row r="236" spans="2:7">
      <c r="B236">
        <v>224</v>
      </c>
      <c r="C236">
        <f t="shared" si="9"/>
        <v>-2.2321428571429047E-3</v>
      </c>
      <c r="D236">
        <v>104.76</v>
      </c>
      <c r="E236">
        <f t="shared" si="10"/>
        <v>2.1000381825124759E-3</v>
      </c>
      <c r="G236">
        <f t="shared" si="11"/>
        <v>3.5753917116687194E-5</v>
      </c>
    </row>
    <row r="237" spans="2:7">
      <c r="B237">
        <v>223.5</v>
      </c>
      <c r="C237">
        <f t="shared" si="9"/>
        <v>4.4742729306488371E-3</v>
      </c>
      <c r="D237">
        <v>104.98</v>
      </c>
      <c r="E237">
        <f t="shared" si="10"/>
        <v>5.1438369213183677E-3</v>
      </c>
      <c r="G237">
        <f t="shared" si="11"/>
        <v>4.8247896797643363E-3</v>
      </c>
    </row>
    <row r="238" spans="2:7">
      <c r="B238">
        <v>224.5</v>
      </c>
      <c r="C238">
        <f t="shared" si="9"/>
        <v>9.7995545657014738E-3</v>
      </c>
      <c r="D238">
        <v>105.52</v>
      </c>
      <c r="E238">
        <f t="shared" si="10"/>
        <v>-7.2024260803638107E-3</v>
      </c>
      <c r="G238">
        <f t="shared" si="11"/>
        <v>8.990176974862968E-4</v>
      </c>
    </row>
    <row r="239" spans="2:7">
      <c r="B239">
        <v>226.7</v>
      </c>
      <c r="C239">
        <f t="shared" si="9"/>
        <v>1.689457432730479E-2</v>
      </c>
      <c r="D239">
        <v>104.76</v>
      </c>
      <c r="E239">
        <f t="shared" si="10"/>
        <v>1.1072928598701681E-2</v>
      </c>
      <c r="G239">
        <f t="shared" si="11"/>
        <v>1.3846942788381063E-2</v>
      </c>
    </row>
    <row r="240" spans="2:7">
      <c r="B240">
        <v>230.53</v>
      </c>
      <c r="C240">
        <f t="shared" si="9"/>
        <v>4.16431700863229E-3</v>
      </c>
      <c r="D240">
        <v>105.92</v>
      </c>
      <c r="E240">
        <f t="shared" si="10"/>
        <v>6.1367069486404358E-3</v>
      </c>
      <c r="G240">
        <f t="shared" si="11"/>
        <v>5.1968631422265547E-3</v>
      </c>
    </row>
    <row r="241" spans="2:7">
      <c r="B241">
        <v>231.49</v>
      </c>
      <c r="C241">
        <f t="shared" si="9"/>
        <v>-5.1406108255216409E-3</v>
      </c>
      <c r="D241">
        <v>106.57</v>
      </c>
      <c r="E241">
        <f t="shared" si="10"/>
        <v>5.7239373181947606E-3</v>
      </c>
      <c r="G241">
        <f t="shared" si="11"/>
        <v>5.4698012771389574E-4</v>
      </c>
    </row>
    <row r="242" spans="2:7">
      <c r="B242">
        <v>230.3</v>
      </c>
      <c r="C242">
        <f t="shared" si="9"/>
        <v>-1.0855405992184153E-2</v>
      </c>
      <c r="D242">
        <v>107.18</v>
      </c>
      <c r="E242">
        <f t="shared" si="10"/>
        <v>-4.4784474715432454E-3</v>
      </c>
      <c r="G242">
        <f t="shared" si="11"/>
        <v>-7.5170682066286378E-3</v>
      </c>
    </row>
    <row r="243" spans="2:7">
      <c r="B243">
        <v>227.8</v>
      </c>
      <c r="C243">
        <f t="shared" si="9"/>
        <v>-1.0886742756804346E-2</v>
      </c>
      <c r="D243">
        <v>106.7</v>
      </c>
      <c r="E243">
        <f t="shared" si="10"/>
        <v>-2.6241799437676239E-3</v>
      </c>
      <c r="G243">
        <f t="shared" si="11"/>
        <v>-6.5612911241796227E-3</v>
      </c>
    </row>
    <row r="244" spans="2:7">
      <c r="B244">
        <v>225.32</v>
      </c>
      <c r="C244">
        <f t="shared" si="9"/>
        <v>2.520859222439209E-2</v>
      </c>
      <c r="D244">
        <v>106.42</v>
      </c>
      <c r="E244">
        <f t="shared" si="10"/>
        <v>-1.0054501033640362E-2</v>
      </c>
      <c r="G244">
        <f t="shared" si="11"/>
        <v>6.7483629038120998E-3</v>
      </c>
    </row>
    <row r="245" spans="2:7">
      <c r="B245">
        <v>231</v>
      </c>
      <c r="C245">
        <f t="shared" si="9"/>
        <v>2.5974025974024872E-3</v>
      </c>
      <c r="D245">
        <v>105.35</v>
      </c>
      <c r="E245">
        <f t="shared" si="10"/>
        <v>1.0915994304698584E-2</v>
      </c>
      <c r="G245">
        <f t="shared" si="11"/>
        <v>6.9521853561719943E-3</v>
      </c>
    </row>
    <row r="246" spans="2:7">
      <c r="B246">
        <v>231.6</v>
      </c>
      <c r="C246">
        <f t="shared" si="9"/>
        <v>7.7288428324697733E-3</v>
      </c>
      <c r="D246">
        <v>106.5</v>
      </c>
      <c r="E246">
        <f t="shared" si="10"/>
        <v>7.7934272300468344E-3</v>
      </c>
      <c r="G246">
        <f t="shared" si="11"/>
        <v>7.7626527646013658E-3</v>
      </c>
    </row>
    <row r="247" spans="2:7">
      <c r="B247">
        <v>233.39</v>
      </c>
      <c r="C247">
        <f t="shared" si="9"/>
        <v>2.6136509704786093E-3</v>
      </c>
      <c r="D247">
        <v>107.33</v>
      </c>
      <c r="E247">
        <f t="shared" si="10"/>
        <v>-4.7517003633653632E-3</v>
      </c>
      <c r="G247">
        <f t="shared" si="11"/>
        <v>-1.2421104527887107E-3</v>
      </c>
    </row>
    <row r="248" spans="2:7">
      <c r="B248">
        <v>234</v>
      </c>
      <c r="C248">
        <f t="shared" si="9"/>
        <v>-3.2051282051281937E-3</v>
      </c>
      <c r="D248">
        <v>106.82</v>
      </c>
      <c r="E248">
        <f t="shared" si="10"/>
        <v>-1.2170005616925605E-2</v>
      </c>
      <c r="G248">
        <f t="shared" si="11"/>
        <v>-7.8982415302041396E-3</v>
      </c>
    </row>
    <row r="249" spans="2:7">
      <c r="B249">
        <v>233.25</v>
      </c>
      <c r="C249">
        <f t="shared" si="9"/>
        <v>6.430868167202064E-4</v>
      </c>
      <c r="D249">
        <v>105.52</v>
      </c>
      <c r="E249">
        <f t="shared" si="10"/>
        <v>-5.9704321455648079E-3</v>
      </c>
      <c r="G249">
        <f t="shared" si="11"/>
        <v>-2.8190903600359991E-3</v>
      </c>
    </row>
    <row r="250" spans="2:7">
      <c r="B250">
        <v>233.4</v>
      </c>
      <c r="C250">
        <f t="shared" si="9"/>
        <v>2.5706940874035134E-3</v>
      </c>
      <c r="D250">
        <v>104.89</v>
      </c>
      <c r="E250">
        <f t="shared" si="10"/>
        <v>2.030698827342925E-2</v>
      </c>
      <c r="G250">
        <f t="shared" si="11"/>
        <v>1.1855644093787988E-2</v>
      </c>
    </row>
    <row r="251" spans="2:7">
      <c r="B251">
        <v>234</v>
      </c>
      <c r="C251">
        <f t="shared" si="9"/>
        <v>-6.1965811965811746E-3</v>
      </c>
      <c r="D251">
        <v>107.02</v>
      </c>
      <c r="E251">
        <f t="shared" si="10"/>
        <v>1.7660250420482138E-2</v>
      </c>
      <c r="G251">
        <f t="shared" si="11"/>
        <v>6.2924701549514697E-3</v>
      </c>
    </row>
    <row r="252" spans="2:7">
      <c r="B252">
        <v>232.55</v>
      </c>
      <c r="C252">
        <f t="shared" si="9"/>
        <v>-2.5800903031603095E-4</v>
      </c>
      <c r="D252">
        <v>108.91</v>
      </c>
      <c r="E252">
        <f t="shared" si="10"/>
        <v>1.6527407951520967E-3</v>
      </c>
      <c r="G252">
        <f t="shared" si="11"/>
        <v>7.4226850331653399E-4</v>
      </c>
    </row>
    <row r="253" spans="2:7">
      <c r="B253">
        <v>232.49</v>
      </c>
      <c r="C253">
        <f t="shared" si="9"/>
        <v>-2.7528065723257944E-3</v>
      </c>
      <c r="D253">
        <v>109.09</v>
      </c>
      <c r="E253">
        <f t="shared" si="10"/>
        <v>1.6500137501145762E-2</v>
      </c>
      <c r="G253">
        <f t="shared" si="11"/>
        <v>7.3261096501365678E-3</v>
      </c>
    </row>
    <row r="254" spans="2:7">
      <c r="B254">
        <v>231.85</v>
      </c>
      <c r="C254">
        <f t="shared" si="9"/>
        <v>-1.7683847315074219E-3</v>
      </c>
      <c r="D254">
        <v>110.89</v>
      </c>
      <c r="E254">
        <f t="shared" si="10"/>
        <v>7.9357922265308467E-3</v>
      </c>
      <c r="G254">
        <f t="shared" si="11"/>
        <v>3.3117519060256121E-3</v>
      </c>
    </row>
    <row r="255" spans="2:7">
      <c r="B255">
        <v>231.44</v>
      </c>
      <c r="C255">
        <f t="shared" si="9"/>
        <v>5.4873833390944871E-3</v>
      </c>
      <c r="D255">
        <v>111.77</v>
      </c>
      <c r="E255">
        <f t="shared" si="10"/>
        <v>1.3152008589066844E-2</v>
      </c>
      <c r="G255">
        <f t="shared" si="11"/>
        <v>9.4998146574550163E-3</v>
      </c>
    </row>
    <row r="256" spans="2:7">
      <c r="B256">
        <v>232.71</v>
      </c>
      <c r="C256">
        <f t="shared" si="9"/>
        <v>5.973099565983464E-3</v>
      </c>
      <c r="D256">
        <v>113.24</v>
      </c>
      <c r="E256">
        <f t="shared" si="10"/>
        <v>3.0024726245143629E-3</v>
      </c>
      <c r="G256">
        <f t="shared" si="11"/>
        <v>4.41797636212439E-3</v>
      </c>
    </row>
    <row r="257" spans="2:7">
      <c r="B257">
        <v>234.1</v>
      </c>
      <c r="C257">
        <f t="shared" si="9"/>
        <v>-8.9705254164886838E-3</v>
      </c>
      <c r="D257">
        <v>113.58</v>
      </c>
      <c r="E257">
        <f t="shared" si="10"/>
        <v>-4.4902271526677806E-3</v>
      </c>
      <c r="G257">
        <f t="shared" si="11"/>
        <v>-6.6250892753784412E-3</v>
      </c>
    </row>
    <row r="258" spans="2:7">
      <c r="B258">
        <v>232</v>
      </c>
      <c r="C258">
        <f t="shared" si="9"/>
        <v>1.2931034482758674E-2</v>
      </c>
      <c r="D258">
        <v>113.07</v>
      </c>
      <c r="E258">
        <f t="shared" si="10"/>
        <v>1.9103210400636783E-2</v>
      </c>
      <c r="G258">
        <f t="shared" si="11"/>
        <v>1.6162168575767865E-2</v>
      </c>
    </row>
    <row r="259" spans="2:7">
      <c r="B259">
        <v>235</v>
      </c>
      <c r="C259">
        <f t="shared" ref="C259:C322" si="12">(B260/B259)-1</f>
        <v>0</v>
      </c>
      <c r="D259">
        <v>115.23</v>
      </c>
      <c r="E259">
        <f t="shared" ref="E259:E322" si="13">(D260/D259)-1</f>
        <v>1.8224420723769175E-3</v>
      </c>
      <c r="G259">
        <f t="shared" si="11"/>
        <v>9.5404842488931642E-4</v>
      </c>
    </row>
    <row r="260" spans="2:7">
      <c r="B260">
        <v>235</v>
      </c>
      <c r="C260">
        <f t="shared" si="12"/>
        <v>-8.936170212765937E-3</v>
      </c>
      <c r="D260">
        <v>115.44</v>
      </c>
      <c r="E260">
        <f t="shared" si="13"/>
        <v>-3.6382536382536523E-3</v>
      </c>
      <c r="G260">
        <f t="shared" ref="G260:G323" si="14">C260*$J$5+E260*$J$6</f>
        <v>-6.162710886008756E-3</v>
      </c>
    </row>
    <row r="261" spans="2:7">
      <c r="B261">
        <v>232.9</v>
      </c>
      <c r="C261">
        <f t="shared" si="12"/>
        <v>-3.0055817947617358E-3</v>
      </c>
      <c r="D261">
        <v>115.02</v>
      </c>
      <c r="E261">
        <f t="shared" si="13"/>
        <v>8.7810815510347418E-3</v>
      </c>
      <c r="G261">
        <f t="shared" si="14"/>
        <v>3.1647364667627209E-3</v>
      </c>
    </row>
    <row r="262" spans="2:7">
      <c r="B262">
        <v>232.2</v>
      </c>
      <c r="C262">
        <f t="shared" si="12"/>
        <v>-9.1731266149870372E-3</v>
      </c>
      <c r="D262">
        <v>116.03</v>
      </c>
      <c r="E262">
        <f t="shared" si="13"/>
        <v>-1.4651383262949125E-3</v>
      </c>
      <c r="G262">
        <f t="shared" si="14"/>
        <v>-5.1379947458567105E-3</v>
      </c>
    </row>
    <row r="263" spans="2:7">
      <c r="B263">
        <v>230.07</v>
      </c>
      <c r="C263">
        <f t="shared" si="12"/>
        <v>4.4768983352891922E-3</v>
      </c>
      <c r="D263">
        <v>115.86</v>
      </c>
      <c r="E263">
        <f t="shared" si="13"/>
        <v>6.3870188158121621E-3</v>
      </c>
      <c r="G263">
        <f t="shared" si="14"/>
        <v>5.4768464068429678E-3</v>
      </c>
    </row>
    <row r="264" spans="2:7">
      <c r="B264">
        <v>231.1</v>
      </c>
      <c r="C264">
        <f t="shared" si="12"/>
        <v>-7.1397663349199725E-3</v>
      </c>
      <c r="D264">
        <v>116.6</v>
      </c>
      <c r="E264">
        <f t="shared" si="13"/>
        <v>-1.1835334476843817E-2</v>
      </c>
      <c r="G264">
        <f t="shared" si="14"/>
        <v>-9.5978962572171068E-3</v>
      </c>
    </row>
    <row r="265" spans="2:7">
      <c r="B265">
        <v>229.45</v>
      </c>
      <c r="C265">
        <f t="shared" si="12"/>
        <v>-6.3194595772498863E-3</v>
      </c>
      <c r="D265">
        <v>115.22</v>
      </c>
      <c r="E265">
        <f t="shared" si="13"/>
        <v>8.6790487762611335E-5</v>
      </c>
      <c r="G265">
        <f t="shared" si="14"/>
        <v>-2.9657876682158439E-3</v>
      </c>
    </row>
    <row r="266" spans="2:7">
      <c r="B266">
        <v>228</v>
      </c>
      <c r="C266">
        <f t="shared" si="12"/>
        <v>1.7631578947368443E-2</v>
      </c>
      <c r="D266">
        <v>115.23</v>
      </c>
      <c r="E266">
        <f t="shared" si="13"/>
        <v>-5.9880239520957446E-3</v>
      </c>
      <c r="G266">
        <f t="shared" si="14"/>
        <v>5.2667168294989394E-3</v>
      </c>
    </row>
    <row r="267" spans="2:7">
      <c r="B267">
        <v>232.02</v>
      </c>
      <c r="C267">
        <f t="shared" si="12"/>
        <v>1.1723127316610737E-2</v>
      </c>
      <c r="D267">
        <v>114.54</v>
      </c>
      <c r="E267">
        <f t="shared" si="13"/>
        <v>-6.0240963855422436E-3</v>
      </c>
      <c r="G267">
        <f t="shared" si="14"/>
        <v>2.4324557085336506E-3</v>
      </c>
    </row>
    <row r="268" spans="2:7">
      <c r="B268">
        <v>234.74</v>
      </c>
      <c r="C268">
        <f t="shared" si="12"/>
        <v>1.1076084178238688E-3</v>
      </c>
      <c r="D268">
        <v>113.85</v>
      </c>
      <c r="E268">
        <f t="shared" si="13"/>
        <v>-7.0267896354853088E-3</v>
      </c>
      <c r="G268">
        <f t="shared" si="14"/>
        <v>-3.1507489630834863E-3</v>
      </c>
    </row>
    <row r="269" spans="2:7">
      <c r="B269">
        <v>235</v>
      </c>
      <c r="C269">
        <f t="shared" si="12"/>
        <v>1.0638297872340718E-3</v>
      </c>
      <c r="D269">
        <v>113.05</v>
      </c>
      <c r="E269">
        <f t="shared" si="13"/>
        <v>1.397611676249455E-2</v>
      </c>
      <c r="G269">
        <f t="shared" si="14"/>
        <v>7.8234120187829336E-3</v>
      </c>
    </row>
    <row r="270" spans="2:7">
      <c r="B270">
        <v>235.25</v>
      </c>
      <c r="C270">
        <f t="shared" si="12"/>
        <v>7.3538788522846676E-3</v>
      </c>
      <c r="D270">
        <v>114.63</v>
      </c>
      <c r="E270">
        <f t="shared" si="13"/>
        <v>-2.0936927505887937E-3</v>
      </c>
      <c r="G270">
        <f t="shared" si="14"/>
        <v>2.4080751181804107E-3</v>
      </c>
    </row>
    <row r="271" spans="2:7">
      <c r="B271">
        <v>236.98</v>
      </c>
      <c r="C271">
        <f t="shared" si="12"/>
        <v>4.7261372267701773E-3</v>
      </c>
      <c r="D271">
        <v>114.39</v>
      </c>
      <c r="E271">
        <f t="shared" si="13"/>
        <v>1.3025614127109009E-2</v>
      </c>
      <c r="G271">
        <f t="shared" si="14"/>
        <v>9.0709133840975557E-3</v>
      </c>
    </row>
    <row r="272" spans="2:7">
      <c r="B272">
        <v>238.1</v>
      </c>
      <c r="C272">
        <f t="shared" si="12"/>
        <v>7.9798404031916625E-4</v>
      </c>
      <c r="D272">
        <v>115.88</v>
      </c>
      <c r="E272">
        <f t="shared" si="13"/>
        <v>-4.4874007594062348E-3</v>
      </c>
      <c r="G272">
        <f t="shared" si="14"/>
        <v>-1.9689149023370814E-3</v>
      </c>
    </row>
    <row r="273" spans="2:7">
      <c r="B273">
        <v>238.29</v>
      </c>
      <c r="C273">
        <f t="shared" si="12"/>
        <v>1.0953040412942316E-2</v>
      </c>
      <c r="D273">
        <v>115.36</v>
      </c>
      <c r="E273">
        <f t="shared" si="13"/>
        <v>3.6407766990291801E-3</v>
      </c>
      <c r="G273">
        <f t="shared" si="14"/>
        <v>7.1250703587087899E-3</v>
      </c>
    </row>
    <row r="274" spans="2:7">
      <c r="B274">
        <v>240.9</v>
      </c>
      <c r="C274">
        <f t="shared" si="12"/>
        <v>-1.4113740141137421E-2</v>
      </c>
      <c r="D274">
        <v>115.78</v>
      </c>
      <c r="E274">
        <f t="shared" si="13"/>
        <v>-1.7101399205389556E-2</v>
      </c>
      <c r="G274">
        <f t="shared" si="14"/>
        <v>-1.5677779661273414E-2</v>
      </c>
    </row>
    <row r="275" spans="2:7">
      <c r="B275">
        <v>237.5</v>
      </c>
      <c r="C275">
        <f t="shared" si="12"/>
        <v>4.8842105263158242E-3</v>
      </c>
      <c r="D275">
        <v>113.8</v>
      </c>
      <c r="E275">
        <f t="shared" si="13"/>
        <v>1.1775043936731233E-2</v>
      </c>
      <c r="G275">
        <f t="shared" si="14"/>
        <v>8.4915618166682919E-3</v>
      </c>
    </row>
    <row r="276" spans="2:7">
      <c r="B276">
        <v>238.66</v>
      </c>
      <c r="C276">
        <f t="shared" si="12"/>
        <v>-2.5140367049358847E-4</v>
      </c>
      <c r="D276">
        <v>115.14</v>
      </c>
      <c r="E276">
        <f t="shared" si="13"/>
        <v>-7.6428695501128407E-3</v>
      </c>
      <c r="G276">
        <f t="shared" si="14"/>
        <v>-4.1208360584742681E-3</v>
      </c>
    </row>
    <row r="277" spans="2:7">
      <c r="B277">
        <v>238.6</v>
      </c>
      <c r="C277">
        <f t="shared" si="12"/>
        <v>2.0955574182734971E-4</v>
      </c>
      <c r="D277">
        <v>114.26</v>
      </c>
      <c r="E277">
        <f t="shared" si="13"/>
        <v>-3.3257482933660709E-3</v>
      </c>
      <c r="G277">
        <f t="shared" si="14"/>
        <v>-1.6411759205964063E-3</v>
      </c>
    </row>
    <row r="278" spans="2:7">
      <c r="B278">
        <v>238.65</v>
      </c>
      <c r="C278">
        <f t="shared" si="12"/>
        <v>1.8856065367693908E-3</v>
      </c>
      <c r="D278">
        <v>113.88</v>
      </c>
      <c r="E278">
        <f t="shared" si="13"/>
        <v>7.9030558482617863E-4</v>
      </c>
      <c r="G278">
        <f t="shared" si="14"/>
        <v>1.3122164884271192E-3</v>
      </c>
    </row>
    <row r="279" spans="2:7">
      <c r="B279">
        <v>239.1</v>
      </c>
      <c r="C279">
        <f t="shared" si="12"/>
        <v>-1.0455876202425385E-3</v>
      </c>
      <c r="D279">
        <v>113.97</v>
      </c>
      <c r="E279">
        <f t="shared" si="13"/>
        <v>1.324910064051954E-2</v>
      </c>
      <c r="G279">
        <f t="shared" si="14"/>
        <v>6.4376816842664098E-3</v>
      </c>
    </row>
    <row r="280" spans="2:7">
      <c r="B280">
        <v>238.85</v>
      </c>
      <c r="C280">
        <f t="shared" si="12"/>
        <v>6.3638266694578949E-3</v>
      </c>
      <c r="D280">
        <v>115.48</v>
      </c>
      <c r="E280">
        <f t="shared" si="13"/>
        <v>-1.2383096640110947E-2</v>
      </c>
      <c r="G280">
        <f t="shared" si="14"/>
        <v>-3.4501876831013949E-3</v>
      </c>
    </row>
    <row r="281" spans="2:7">
      <c r="B281">
        <v>240.37</v>
      </c>
      <c r="C281">
        <f t="shared" si="12"/>
        <v>8.4453134750592795E-3</v>
      </c>
      <c r="D281">
        <v>114.05</v>
      </c>
      <c r="E281">
        <f t="shared" si="13"/>
        <v>3.9456378781237422E-3</v>
      </c>
      <c r="G281">
        <f t="shared" si="14"/>
        <v>6.0897333000635261E-3</v>
      </c>
    </row>
    <row r="282" spans="2:7">
      <c r="B282">
        <v>242.4</v>
      </c>
      <c r="C282">
        <f t="shared" si="12"/>
        <v>-2.5990099009900458E-3</v>
      </c>
      <c r="D282">
        <v>114.5</v>
      </c>
      <c r="E282">
        <f t="shared" si="13"/>
        <v>-3.0567685589518723E-3</v>
      </c>
      <c r="G282">
        <f t="shared" si="14"/>
        <v>-2.8386465584330622E-3</v>
      </c>
    </row>
    <row r="283" spans="2:7">
      <c r="B283">
        <v>241.77</v>
      </c>
      <c r="C283">
        <f t="shared" si="12"/>
        <v>-2.6471439798155805E-3</v>
      </c>
      <c r="D283">
        <v>114.15</v>
      </c>
      <c r="E283">
        <f t="shared" si="13"/>
        <v>-2.452912833990406E-3</v>
      </c>
      <c r="G283">
        <f t="shared" si="14"/>
        <v>-2.545463974976102E-3</v>
      </c>
    </row>
    <row r="284" spans="2:7">
      <c r="B284">
        <v>241.13</v>
      </c>
      <c r="C284">
        <f t="shared" si="12"/>
        <v>-5.1424542777754878E-3</v>
      </c>
      <c r="D284">
        <v>113.87</v>
      </c>
      <c r="E284">
        <f t="shared" si="13"/>
        <v>4.3909721612365171E-3</v>
      </c>
      <c r="G284">
        <f t="shared" si="14"/>
        <v>-1.5170553695270303E-4</v>
      </c>
    </row>
    <row r="285" spans="2:7">
      <c r="B285">
        <v>239.89</v>
      </c>
      <c r="C285">
        <f t="shared" si="12"/>
        <v>-4.5437492183916239E-3</v>
      </c>
      <c r="D285">
        <v>114.37</v>
      </c>
      <c r="E285">
        <f t="shared" si="13"/>
        <v>1.7661974293958105E-2</v>
      </c>
      <c r="G285">
        <f t="shared" si="14"/>
        <v>7.0809470403234605E-3</v>
      </c>
    </row>
    <row r="286" spans="2:7">
      <c r="B286">
        <v>238.8</v>
      </c>
      <c r="C286">
        <f t="shared" si="12"/>
        <v>7.5376884422109214E-3</v>
      </c>
      <c r="D286">
        <v>116.39</v>
      </c>
      <c r="E286">
        <f t="shared" si="13"/>
        <v>9.6228198298822232E-3</v>
      </c>
      <c r="G286">
        <f t="shared" si="14"/>
        <v>8.6292547236568491E-3</v>
      </c>
    </row>
    <row r="287" spans="2:7">
      <c r="B287">
        <v>240.6</v>
      </c>
      <c r="C287">
        <f t="shared" si="12"/>
        <v>-4.7797173732335718E-3</v>
      </c>
      <c r="D287">
        <v>117.51</v>
      </c>
      <c r="E287">
        <f t="shared" si="13"/>
        <v>5.5314441324141317E-3</v>
      </c>
      <c r="G287">
        <f t="shared" si="14"/>
        <v>6.1817567497300142E-4</v>
      </c>
    </row>
    <row r="288" spans="2:7">
      <c r="B288">
        <v>239.45</v>
      </c>
      <c r="C288">
        <f t="shared" si="12"/>
        <v>-2.0881186051368017E-3</v>
      </c>
      <c r="D288">
        <v>118.16</v>
      </c>
      <c r="E288">
        <f t="shared" si="13"/>
        <v>4.6547054840893054E-3</v>
      </c>
      <c r="G288">
        <f t="shared" si="14"/>
        <v>1.4417498055730657E-3</v>
      </c>
    </row>
    <row r="289" spans="2:7">
      <c r="B289">
        <v>238.95</v>
      </c>
      <c r="C289">
        <f t="shared" si="12"/>
        <v>5.2312199204853638E-3</v>
      </c>
      <c r="D289">
        <v>118.71</v>
      </c>
      <c r="E289">
        <f t="shared" si="13"/>
        <v>-2.0470053070507865E-2</v>
      </c>
      <c r="G289">
        <f t="shared" si="14"/>
        <v>-8.2233964902995935E-3</v>
      </c>
    </row>
    <row r="290" spans="2:7">
      <c r="B290">
        <v>240.2</v>
      </c>
      <c r="C290">
        <f t="shared" si="12"/>
        <v>-1.5820149875104272E-3</v>
      </c>
      <c r="D290">
        <v>116.28</v>
      </c>
      <c r="E290">
        <f t="shared" si="13"/>
        <v>1.1179910560714656E-3</v>
      </c>
      <c r="G290">
        <f t="shared" si="14"/>
        <v>-1.685618236953062E-4</v>
      </c>
    </row>
    <row r="291" spans="2:7">
      <c r="B291">
        <v>239.82</v>
      </c>
      <c r="C291">
        <f t="shared" si="12"/>
        <v>1.1800517054457504E-2</v>
      </c>
      <c r="D291">
        <v>116.41</v>
      </c>
      <c r="E291">
        <f t="shared" si="13"/>
        <v>1.4345846576754528E-2</v>
      </c>
      <c r="G291">
        <f t="shared" si="14"/>
        <v>1.3132997059379998E-2</v>
      </c>
    </row>
    <row r="292" spans="2:7">
      <c r="B292">
        <v>242.65</v>
      </c>
      <c r="C292">
        <f t="shared" si="12"/>
        <v>-1.0096847310941737E-2</v>
      </c>
      <c r="D292">
        <v>118.08</v>
      </c>
      <c r="E292">
        <f t="shared" si="13"/>
        <v>-5.2506775067751033E-3</v>
      </c>
      <c r="G292">
        <f t="shared" si="14"/>
        <v>-7.5598774184605037E-3</v>
      </c>
    </row>
    <row r="293" spans="2:7">
      <c r="B293">
        <v>240.2</v>
      </c>
      <c r="C293">
        <f t="shared" si="12"/>
        <v>1.89425478767693E-2</v>
      </c>
      <c r="D293">
        <v>117.46</v>
      </c>
      <c r="E293">
        <f t="shared" si="13"/>
        <v>-3.3202792439979145E-3</v>
      </c>
      <c r="G293">
        <f t="shared" si="14"/>
        <v>7.2879578790476631E-3</v>
      </c>
    </row>
    <row r="294" spans="2:7">
      <c r="B294">
        <v>244.75</v>
      </c>
      <c r="C294">
        <f t="shared" si="12"/>
        <v>-1.2461695607763112E-2</v>
      </c>
      <c r="D294">
        <v>117.07</v>
      </c>
      <c r="E294">
        <f t="shared" si="13"/>
        <v>-2.3063124626291343E-3</v>
      </c>
      <c r="G294">
        <f t="shared" si="14"/>
        <v>-7.1453525312854746E-3</v>
      </c>
    </row>
    <row r="295" spans="2:7">
      <c r="B295">
        <v>241.7</v>
      </c>
      <c r="C295">
        <f t="shared" si="12"/>
        <v>1.3611915597848689E-2</v>
      </c>
      <c r="D295">
        <v>116.8</v>
      </c>
      <c r="E295">
        <f t="shared" si="13"/>
        <v>-8.7328767123286966E-3</v>
      </c>
      <c r="G295">
        <f t="shared" si="14"/>
        <v>1.9144168234708266E-3</v>
      </c>
    </row>
    <row r="296" spans="2:7">
      <c r="B296">
        <v>244.99</v>
      </c>
      <c r="C296">
        <f t="shared" si="12"/>
        <v>-4.2450712273971458E-3</v>
      </c>
      <c r="D296">
        <v>115.78</v>
      </c>
      <c r="E296">
        <f t="shared" si="13"/>
        <v>-1.2091898428053804E-3</v>
      </c>
      <c r="G296">
        <f t="shared" si="14"/>
        <v>-2.6557873225633568E-3</v>
      </c>
    </row>
    <row r="297" spans="2:7">
      <c r="B297">
        <v>243.95</v>
      </c>
      <c r="C297">
        <f t="shared" si="12"/>
        <v>-3.8942406230784155E-3</v>
      </c>
      <c r="D297">
        <v>115.64</v>
      </c>
      <c r="E297">
        <f t="shared" si="13"/>
        <v>-2.421307506053294E-3</v>
      </c>
      <c r="G297">
        <f t="shared" si="14"/>
        <v>-3.1231601363157645E-3</v>
      </c>
    </row>
    <row r="298" spans="2:7">
      <c r="B298">
        <v>243</v>
      </c>
      <c r="C298">
        <f t="shared" si="12"/>
        <v>-6.0493827160493785E-3</v>
      </c>
      <c r="D298">
        <v>115.36</v>
      </c>
      <c r="E298">
        <f t="shared" si="13"/>
        <v>-5.6345353675451015E-3</v>
      </c>
      <c r="G298">
        <f t="shared" si="14"/>
        <v>-5.8322101291073897E-3</v>
      </c>
    </row>
    <row r="299" spans="2:7">
      <c r="B299">
        <v>241.53</v>
      </c>
      <c r="C299">
        <f t="shared" si="12"/>
        <v>5.0511323645094919E-3</v>
      </c>
      <c r="D299">
        <v>114.71</v>
      </c>
      <c r="E299">
        <f t="shared" si="13"/>
        <v>-6.1023450440234051E-4</v>
      </c>
      <c r="G299">
        <f t="shared" si="14"/>
        <v>2.0874068086341475E-3</v>
      </c>
    </row>
    <row r="300" spans="2:7">
      <c r="B300">
        <v>242.75</v>
      </c>
      <c r="C300">
        <f t="shared" si="12"/>
        <v>1.6271884654994739E-2</v>
      </c>
      <c r="D300">
        <v>114.64</v>
      </c>
      <c r="E300">
        <f t="shared" si="13"/>
        <v>-2.4424284717375899E-3</v>
      </c>
      <c r="G300">
        <f t="shared" si="14"/>
        <v>6.4749417331503648E-3</v>
      </c>
    </row>
    <row r="301" spans="2:7">
      <c r="B301">
        <v>246.7</v>
      </c>
      <c r="C301">
        <f t="shared" si="12"/>
        <v>-5.8775841102552961E-3</v>
      </c>
      <c r="D301">
        <v>114.36</v>
      </c>
      <c r="E301">
        <f t="shared" si="13"/>
        <v>-9.7936341378104252E-3</v>
      </c>
      <c r="G301">
        <f t="shared" si="14"/>
        <v>-7.9276362996804073E-3</v>
      </c>
    </row>
    <row r="302" spans="2:7">
      <c r="B302">
        <v>245.25</v>
      </c>
      <c r="C302">
        <f t="shared" si="12"/>
        <v>-9.2150866462792358E-3</v>
      </c>
      <c r="D302">
        <v>113.24</v>
      </c>
      <c r="E302">
        <f t="shared" si="13"/>
        <v>-5.5634051571882281E-3</v>
      </c>
      <c r="G302">
        <f t="shared" si="14"/>
        <v>-7.3034313867400939E-3</v>
      </c>
    </row>
    <row r="303" spans="2:7">
      <c r="B303">
        <v>242.99</v>
      </c>
      <c r="C303">
        <f t="shared" si="12"/>
        <v>-7.3665582945801056E-3</v>
      </c>
      <c r="D303">
        <v>112.61</v>
      </c>
      <c r="E303">
        <f t="shared" si="13"/>
        <v>-5.0617174318443592E-3</v>
      </c>
      <c r="G303">
        <f t="shared" si="14"/>
        <v>-6.1599741029379424E-3</v>
      </c>
    </row>
    <row r="304" spans="2:7">
      <c r="B304">
        <v>241.2</v>
      </c>
      <c r="C304">
        <f t="shared" si="12"/>
        <v>-2.1558872305140753E-3</v>
      </c>
      <c r="D304">
        <v>112.04</v>
      </c>
      <c r="E304">
        <f t="shared" si="13"/>
        <v>-5.1767225990718702E-3</v>
      </c>
      <c r="G304">
        <f t="shared" si="14"/>
        <v>-3.7372945459540814E-3</v>
      </c>
    </row>
    <row r="305" spans="2:7">
      <c r="B305">
        <v>240.68</v>
      </c>
      <c r="C305">
        <f t="shared" si="12"/>
        <v>8.3928868206746277E-3</v>
      </c>
      <c r="D305">
        <v>111.46</v>
      </c>
      <c r="E305">
        <f t="shared" si="13"/>
        <v>3.3195765296967217E-3</v>
      </c>
      <c r="G305">
        <f t="shared" si="14"/>
        <v>5.7370088833476936E-3</v>
      </c>
    </row>
    <row r="306" spans="2:7">
      <c r="B306">
        <v>242.7</v>
      </c>
      <c r="C306">
        <f t="shared" si="12"/>
        <v>-1.0341985990935276E-2</v>
      </c>
      <c r="D306">
        <v>111.83</v>
      </c>
      <c r="E306">
        <f t="shared" si="13"/>
        <v>-7.5114012340159464E-3</v>
      </c>
      <c r="G306">
        <f t="shared" si="14"/>
        <v>-8.8601748706880062E-3</v>
      </c>
    </row>
    <row r="307" spans="2:7">
      <c r="B307">
        <v>240.19</v>
      </c>
      <c r="C307">
        <f t="shared" si="12"/>
        <v>-6.4115908239310571E-3</v>
      </c>
      <c r="D307">
        <v>110.99</v>
      </c>
      <c r="E307">
        <f t="shared" si="13"/>
        <v>1.4235516713217322E-2</v>
      </c>
      <c r="G307">
        <f t="shared" si="14"/>
        <v>4.3971699717661201E-3</v>
      </c>
    </row>
    <row r="308" spans="2:7">
      <c r="B308">
        <v>238.65</v>
      </c>
      <c r="C308">
        <f t="shared" si="12"/>
        <v>-7.7519379844961378E-3</v>
      </c>
      <c r="D308">
        <v>112.57</v>
      </c>
      <c r="E308">
        <f t="shared" si="13"/>
        <v>1.6789553166918436E-2</v>
      </c>
      <c r="G308">
        <f t="shared" si="14"/>
        <v>5.0955326332693934E-3</v>
      </c>
    </row>
    <row r="309" spans="2:7">
      <c r="B309">
        <v>236.8</v>
      </c>
      <c r="C309">
        <f t="shared" si="12"/>
        <v>6.5456081081081141E-3</v>
      </c>
      <c r="D309">
        <v>114.46</v>
      </c>
      <c r="E309">
        <f t="shared" si="13"/>
        <v>-8.5619430368686356E-3</v>
      </c>
      <c r="G309">
        <f t="shared" si="14"/>
        <v>-1.3631949162872148E-3</v>
      </c>
    </row>
    <row r="310" spans="2:7">
      <c r="B310">
        <v>238.35</v>
      </c>
      <c r="C310">
        <f t="shared" si="12"/>
        <v>5.8317600167820949E-3</v>
      </c>
      <c r="D310">
        <v>113.48</v>
      </c>
      <c r="E310">
        <f t="shared" si="13"/>
        <v>-1.0133944307367027E-2</v>
      </c>
      <c r="G310">
        <f t="shared" si="14"/>
        <v>-2.526286196909971E-3</v>
      </c>
    </row>
    <row r="311" spans="2:7">
      <c r="B311">
        <v>239.74</v>
      </c>
      <c r="C311">
        <f t="shared" si="12"/>
        <v>8.8012013014098223E-3</v>
      </c>
      <c r="D311">
        <v>112.33</v>
      </c>
      <c r="E311">
        <f t="shared" si="13"/>
        <v>1.0326715926288532E-2</v>
      </c>
      <c r="G311">
        <f t="shared" si="14"/>
        <v>9.5998082075338283E-3</v>
      </c>
    </row>
    <row r="312" spans="2:7">
      <c r="B312">
        <v>241.85</v>
      </c>
      <c r="C312">
        <f t="shared" si="12"/>
        <v>8.26958858796778E-3</v>
      </c>
      <c r="D312">
        <v>113.49</v>
      </c>
      <c r="E312">
        <f t="shared" si="13"/>
        <v>1.0926072781743068E-2</v>
      </c>
      <c r="G312">
        <f t="shared" si="14"/>
        <v>9.6602580634091439E-3</v>
      </c>
    </row>
    <row r="313" spans="2:7">
      <c r="B313">
        <v>243.85</v>
      </c>
      <c r="C313">
        <f t="shared" si="12"/>
        <v>1.5583350420340425E-2</v>
      </c>
      <c r="D313">
        <v>114.73</v>
      </c>
      <c r="E313">
        <f t="shared" si="13"/>
        <v>-6.7985705569598709E-3</v>
      </c>
      <c r="G313">
        <f t="shared" si="14"/>
        <v>3.8664147887237195E-3</v>
      </c>
    </row>
    <row r="314" spans="2:7">
      <c r="B314">
        <v>247.65</v>
      </c>
      <c r="C314">
        <f t="shared" si="12"/>
        <v>-3.4322632747829651E-3</v>
      </c>
      <c r="D314">
        <v>113.95</v>
      </c>
      <c r="E314">
        <f t="shared" si="13"/>
        <v>-1.5006581834137833E-2</v>
      </c>
      <c r="G314">
        <f t="shared" si="14"/>
        <v>-9.4914190406052389E-3</v>
      </c>
    </row>
    <row r="315" spans="2:7">
      <c r="B315">
        <v>246.8</v>
      </c>
      <c r="C315">
        <f t="shared" si="12"/>
        <v>5.6726094003245464E-4</v>
      </c>
      <c r="D315">
        <v>112.24</v>
      </c>
      <c r="E315">
        <f t="shared" si="13"/>
        <v>1.7551674982181131E-2</v>
      </c>
      <c r="G315">
        <f t="shared" si="14"/>
        <v>9.4586016910972893E-3</v>
      </c>
    </row>
    <row r="316" spans="2:7">
      <c r="B316">
        <v>246.94</v>
      </c>
      <c r="C316">
        <f t="shared" si="12"/>
        <v>4.6974973677815779E-3</v>
      </c>
      <c r="D316">
        <v>114.21</v>
      </c>
      <c r="E316">
        <f t="shared" si="13"/>
        <v>-6.1290605025821066E-4</v>
      </c>
      <c r="G316">
        <f t="shared" si="14"/>
        <v>1.9175011784377484E-3</v>
      </c>
    </row>
    <row r="317" spans="2:7">
      <c r="B317">
        <v>248.1</v>
      </c>
      <c r="C317">
        <f t="shared" si="12"/>
        <v>-6.6102378073357171E-3</v>
      </c>
      <c r="D317">
        <v>114.14</v>
      </c>
      <c r="E317">
        <f t="shared" si="13"/>
        <v>-3.5920799018748228E-3</v>
      </c>
      <c r="G317">
        <f t="shared" si="14"/>
        <v>-5.030232143826939E-3</v>
      </c>
    </row>
    <row r="318" spans="2:7">
      <c r="B318">
        <v>246.46</v>
      </c>
      <c r="C318">
        <f t="shared" si="12"/>
        <v>-4.4631988963728109E-4</v>
      </c>
      <c r="D318">
        <v>113.73</v>
      </c>
      <c r="E318">
        <f t="shared" si="13"/>
        <v>-1.1254726105688895E-2</v>
      </c>
      <c r="G318">
        <f t="shared" si="14"/>
        <v>-6.1045205437403015E-3</v>
      </c>
    </row>
    <row r="319" spans="2:7">
      <c r="B319">
        <v>246.35</v>
      </c>
      <c r="C319">
        <f t="shared" si="12"/>
        <v>-5.885934645829094E-3</v>
      </c>
      <c r="D319">
        <v>112.45</v>
      </c>
      <c r="E319">
        <f t="shared" si="13"/>
        <v>-5.958203646064919E-3</v>
      </c>
      <c r="G319">
        <f t="shared" si="14"/>
        <v>-5.9237674674525488E-3</v>
      </c>
    </row>
    <row r="320" spans="2:7">
      <c r="B320">
        <v>244.9</v>
      </c>
      <c r="C320">
        <f t="shared" si="12"/>
        <v>1.8374846876274553E-3</v>
      </c>
      <c r="D320">
        <v>111.78</v>
      </c>
      <c r="E320">
        <f t="shared" si="13"/>
        <v>1.315083199141176E-2</v>
      </c>
      <c r="G320">
        <f t="shared" si="14"/>
        <v>7.7600220011585395E-3</v>
      </c>
    </row>
    <row r="321" spans="2:7">
      <c r="B321">
        <v>245.35</v>
      </c>
      <c r="C321">
        <f t="shared" si="12"/>
        <v>-9.1705726513144903E-3</v>
      </c>
      <c r="D321">
        <v>113.25</v>
      </c>
      <c r="E321">
        <f t="shared" si="13"/>
        <v>9.3598233995584312E-3</v>
      </c>
      <c r="G321">
        <f t="shared" si="14"/>
        <v>5.3008968131748515E-4</v>
      </c>
    </row>
    <row r="322" spans="2:7">
      <c r="B322">
        <v>243.1</v>
      </c>
      <c r="C322">
        <f t="shared" si="12"/>
        <v>1.6454134101193674E-3</v>
      </c>
      <c r="D322">
        <v>114.31</v>
      </c>
      <c r="E322">
        <f t="shared" si="13"/>
        <v>1.9245910244072295E-3</v>
      </c>
      <c r="G322">
        <f t="shared" si="14"/>
        <v>1.7915628911990633E-3</v>
      </c>
    </row>
    <row r="323" spans="2:7">
      <c r="B323">
        <v>243.5</v>
      </c>
      <c r="C323">
        <f t="shared" ref="C323:C386" si="15">(B324/B323)-1</f>
        <v>-1.1293634496919891E-2</v>
      </c>
      <c r="D323">
        <v>114.53</v>
      </c>
      <c r="E323">
        <f t="shared" ref="E323:E386" si="16">(D324/D323)-1</f>
        <v>1.0128350650484563E-2</v>
      </c>
      <c r="G323">
        <f t="shared" si="14"/>
        <v>-7.9225272253658462E-5</v>
      </c>
    </row>
    <row r="324" spans="2:7">
      <c r="B324">
        <v>240.75</v>
      </c>
      <c r="C324">
        <f t="shared" si="15"/>
        <v>-3.5306334371755232E-3</v>
      </c>
      <c r="D324">
        <v>115.69</v>
      </c>
      <c r="E324">
        <f t="shared" si="16"/>
        <v>-4.9269599792548524E-3</v>
      </c>
      <c r="G324">
        <f t="shared" ref="G324:G387" si="17">C324*$J$5+E324*$J$6</f>
        <v>-4.2616103819540525E-3</v>
      </c>
    </row>
    <row r="325" spans="2:7">
      <c r="B325">
        <v>239.9</v>
      </c>
      <c r="C325">
        <f t="shared" si="15"/>
        <v>-4.1684035014588616E-4</v>
      </c>
      <c r="D325">
        <v>115.12</v>
      </c>
      <c r="E325">
        <f t="shared" si="16"/>
        <v>-3.9958304378040488E-3</v>
      </c>
      <c r="G325">
        <f t="shared" si="17"/>
        <v>-2.2904416610349345E-3</v>
      </c>
    </row>
    <row r="326" spans="2:7">
      <c r="B326">
        <v>239.8</v>
      </c>
      <c r="C326">
        <f t="shared" si="15"/>
        <v>-6.1301084236864423E-3</v>
      </c>
      <c r="D326">
        <v>114.66</v>
      </c>
      <c r="E326">
        <f t="shared" si="16"/>
        <v>-3.66300366300365E-3</v>
      </c>
      <c r="G326">
        <f t="shared" si="17"/>
        <v>-4.8385790814690008E-3</v>
      </c>
    </row>
    <row r="327" spans="2:7">
      <c r="B327">
        <v>238.33</v>
      </c>
      <c r="C327">
        <f t="shared" si="15"/>
        <v>-7.4686359249779288E-3</v>
      </c>
      <c r="D327">
        <v>114.24</v>
      </c>
      <c r="E327">
        <f t="shared" si="16"/>
        <v>6.9152661064426635E-3</v>
      </c>
      <c r="G327">
        <f t="shared" si="17"/>
        <v>6.1336788470752173E-5</v>
      </c>
    </row>
    <row r="328" spans="2:7">
      <c r="B328">
        <v>236.55</v>
      </c>
      <c r="C328">
        <f t="shared" si="15"/>
        <v>-1.2682308180089752E-4</v>
      </c>
      <c r="D328">
        <v>115.03</v>
      </c>
      <c r="E328">
        <f t="shared" si="16"/>
        <v>-2.0690254716160927E-2</v>
      </c>
      <c r="G328">
        <f t="shared" si="17"/>
        <v>-1.0891779542388375E-2</v>
      </c>
    </row>
    <row r="329" spans="2:7">
      <c r="B329">
        <v>236.52</v>
      </c>
      <c r="C329">
        <f t="shared" si="15"/>
        <v>1.1330965668865156E-2</v>
      </c>
      <c r="D329">
        <v>112.65</v>
      </c>
      <c r="E329">
        <f t="shared" si="16"/>
        <v>-1.6866400355083355E-3</v>
      </c>
      <c r="G329">
        <f t="shared" si="17"/>
        <v>4.5162490826256329E-3</v>
      </c>
    </row>
    <row r="330" spans="2:7">
      <c r="B330">
        <v>239.2</v>
      </c>
      <c r="C330">
        <f t="shared" si="15"/>
        <v>-1.3586956521739135E-2</v>
      </c>
      <c r="D330">
        <v>112.46</v>
      </c>
      <c r="E330">
        <f t="shared" si="16"/>
        <v>-7.1136404054772395E-4</v>
      </c>
      <c r="G330">
        <f t="shared" si="17"/>
        <v>-6.846583857835431E-3</v>
      </c>
    </row>
    <row r="331" spans="2:7">
      <c r="B331">
        <v>235.95</v>
      </c>
      <c r="C331">
        <f t="shared" si="15"/>
        <v>1.3562195380377284E-2</v>
      </c>
      <c r="D331">
        <v>112.38</v>
      </c>
      <c r="E331">
        <f t="shared" si="16"/>
        <v>-1.4504360206442413E-2</v>
      </c>
      <c r="G331">
        <f t="shared" si="17"/>
        <v>-1.1306464693228288E-3</v>
      </c>
    </row>
    <row r="332" spans="2:7">
      <c r="B332">
        <v>239.15</v>
      </c>
      <c r="C332">
        <f t="shared" si="15"/>
        <v>1.4217018607569631E-3</v>
      </c>
      <c r="D332">
        <v>110.75</v>
      </c>
      <c r="E332">
        <f t="shared" si="16"/>
        <v>7.2234762979683786E-4</v>
      </c>
      <c r="G332">
        <f t="shared" si="17"/>
        <v>1.0555899208493378E-3</v>
      </c>
    </row>
    <row r="333" spans="2:7">
      <c r="B333">
        <v>239.49</v>
      </c>
      <c r="C333">
        <f t="shared" si="15"/>
        <v>-2.9228777819534368E-3</v>
      </c>
      <c r="D333">
        <v>110.83</v>
      </c>
      <c r="E333">
        <f t="shared" si="16"/>
        <v>1.1729676080483697E-2</v>
      </c>
      <c r="G333">
        <f t="shared" si="17"/>
        <v>4.7477341650324044E-3</v>
      </c>
    </row>
    <row r="334" spans="2:7">
      <c r="B334">
        <v>238.79</v>
      </c>
      <c r="C334">
        <f t="shared" si="15"/>
        <v>8.417437916160786E-3</v>
      </c>
      <c r="D334">
        <v>112.13</v>
      </c>
      <c r="E334">
        <f t="shared" si="16"/>
        <v>7.6696691340407686E-3</v>
      </c>
      <c r="G334">
        <f t="shared" si="17"/>
        <v>8.0259809587209588E-3</v>
      </c>
    </row>
    <row r="335" spans="2:7">
      <c r="B335">
        <v>240.8</v>
      </c>
      <c r="C335">
        <f t="shared" si="15"/>
        <v>3.5299003322259992E-3</v>
      </c>
      <c r="D335">
        <v>112.99</v>
      </c>
      <c r="E335">
        <f t="shared" si="16"/>
        <v>-1.2301973625984619E-2</v>
      </c>
      <c r="G335">
        <f t="shared" si="17"/>
        <v>-4.7580856848972609E-3</v>
      </c>
    </row>
    <row r="336" spans="2:7">
      <c r="B336">
        <v>241.65</v>
      </c>
      <c r="C336">
        <f t="shared" si="15"/>
        <v>7.8212290502792658E-3</v>
      </c>
      <c r="D336">
        <v>111.6</v>
      </c>
      <c r="E336">
        <f t="shared" si="16"/>
        <v>-1.424731182795691E-2</v>
      </c>
      <c r="G336">
        <f t="shared" si="17"/>
        <v>-3.7316520994773736E-3</v>
      </c>
    </row>
    <row r="337" spans="2:7">
      <c r="B337">
        <v>243.54</v>
      </c>
      <c r="C337">
        <f t="shared" si="15"/>
        <v>1.0675864334401819E-3</v>
      </c>
      <c r="D337">
        <v>110.01</v>
      </c>
      <c r="E337">
        <f t="shared" si="16"/>
        <v>1.2726115807653038E-3</v>
      </c>
      <c r="G337">
        <f t="shared" si="17"/>
        <v>1.1749170980648832E-3</v>
      </c>
    </row>
    <row r="338" spans="2:7">
      <c r="B338">
        <v>243.8</v>
      </c>
      <c r="C338">
        <f t="shared" si="15"/>
        <v>1.189499589827725E-2</v>
      </c>
      <c r="D338">
        <v>110.15</v>
      </c>
      <c r="E338">
        <f t="shared" si="16"/>
        <v>-2.7235587834771868E-3</v>
      </c>
      <c r="G338">
        <f t="shared" si="17"/>
        <v>4.2421825223788023E-3</v>
      </c>
    </row>
    <row r="339" spans="2:7">
      <c r="B339">
        <v>246.7</v>
      </c>
      <c r="C339">
        <f t="shared" si="15"/>
        <v>0</v>
      </c>
      <c r="D339">
        <v>109.85</v>
      </c>
      <c r="E339">
        <f t="shared" si="16"/>
        <v>7.464724624488106E-3</v>
      </c>
      <c r="G339">
        <f t="shared" si="17"/>
        <v>3.9077833409195241E-3</v>
      </c>
    </row>
    <row r="340" spans="2:7">
      <c r="B340">
        <v>246.7</v>
      </c>
      <c r="C340">
        <f t="shared" si="15"/>
        <v>-9.7689501418727342E-3</v>
      </c>
      <c r="D340">
        <v>110.67</v>
      </c>
      <c r="E340">
        <f t="shared" si="16"/>
        <v>8.6744375169423016E-3</v>
      </c>
      <c r="G340">
        <f t="shared" si="17"/>
        <v>-1.1383670248306214E-4</v>
      </c>
    </row>
    <row r="341" spans="2:7">
      <c r="B341">
        <v>244.29</v>
      </c>
      <c r="C341">
        <f t="shared" si="15"/>
        <v>4.1344303901102997E-3</v>
      </c>
      <c r="D341">
        <v>111.63</v>
      </c>
      <c r="E341">
        <f t="shared" si="16"/>
        <v>1.3526829705276411E-2</v>
      </c>
      <c r="G341">
        <f t="shared" si="17"/>
        <v>9.0513514315997603E-3</v>
      </c>
    </row>
    <row r="342" spans="2:7">
      <c r="B342">
        <v>245.3</v>
      </c>
      <c r="C342">
        <f t="shared" si="15"/>
        <v>-5.0958010599265746E-3</v>
      </c>
      <c r="D342">
        <v>113.14</v>
      </c>
      <c r="E342">
        <f t="shared" si="16"/>
        <v>2.9167403217251753E-3</v>
      </c>
      <c r="G342">
        <f t="shared" si="17"/>
        <v>-9.0123564663188304E-4</v>
      </c>
    </row>
    <row r="343" spans="2:7">
      <c r="B343">
        <v>244.05</v>
      </c>
      <c r="C343">
        <f t="shared" si="15"/>
        <v>6.1462814996926518E-4</v>
      </c>
      <c r="D343">
        <v>113.47</v>
      </c>
      <c r="E343">
        <f t="shared" si="16"/>
        <v>-1.05754825063894E-2</v>
      </c>
      <c r="G343">
        <f t="shared" si="17"/>
        <v>-5.2433947786344973E-3</v>
      </c>
    </row>
    <row r="344" spans="2:7">
      <c r="B344">
        <v>244.2</v>
      </c>
      <c r="C344">
        <f t="shared" si="15"/>
        <v>-4.0950040950038513E-4</v>
      </c>
      <c r="D344">
        <v>112.27</v>
      </c>
      <c r="E344">
        <f t="shared" si="16"/>
        <v>6.145898280929929E-3</v>
      </c>
      <c r="G344">
        <f t="shared" si="17"/>
        <v>3.0222508049398845E-3</v>
      </c>
    </row>
    <row r="345" spans="2:7">
      <c r="B345">
        <v>244.1</v>
      </c>
      <c r="C345">
        <f t="shared" si="15"/>
        <v>-8.2343301925440482E-3</v>
      </c>
      <c r="D345">
        <v>112.96</v>
      </c>
      <c r="E345">
        <f t="shared" si="16"/>
        <v>-4.9575070821529232E-3</v>
      </c>
      <c r="G345">
        <f t="shared" si="17"/>
        <v>-6.518913294254294E-3</v>
      </c>
    </row>
    <row r="346" spans="2:7">
      <c r="B346">
        <v>242.09</v>
      </c>
      <c r="C346">
        <f t="shared" si="15"/>
        <v>-1.032673799000372E-2</v>
      </c>
      <c r="D346">
        <v>112.4</v>
      </c>
      <c r="E346">
        <f t="shared" si="16"/>
        <v>-1.5658362989323882E-2</v>
      </c>
      <c r="G346">
        <f t="shared" si="17"/>
        <v>-1.3117843677147824E-2</v>
      </c>
    </row>
    <row r="347" spans="2:7">
      <c r="B347">
        <v>239.59</v>
      </c>
      <c r="C347">
        <f t="shared" si="15"/>
        <v>-1.8489920280479133E-2</v>
      </c>
      <c r="D347">
        <v>110.64</v>
      </c>
      <c r="E347">
        <f t="shared" si="16"/>
        <v>-9.9421547360811768E-4</v>
      </c>
      <c r="G347">
        <f t="shared" si="17"/>
        <v>-9.3309188140821564E-3</v>
      </c>
    </row>
    <row r="348" spans="2:7">
      <c r="B348">
        <v>235.16</v>
      </c>
      <c r="C348">
        <f t="shared" si="15"/>
        <v>-2.3813573737030413E-3</v>
      </c>
      <c r="D348">
        <v>110.53</v>
      </c>
      <c r="E348">
        <f t="shared" si="16"/>
        <v>-7.1473808015923845E-3</v>
      </c>
      <c r="G348">
        <f t="shared" si="17"/>
        <v>-4.8763706382031133E-3</v>
      </c>
    </row>
    <row r="349" spans="2:7">
      <c r="B349">
        <v>234.6</v>
      </c>
      <c r="C349">
        <f t="shared" si="15"/>
        <v>2.7706734867860572E-3</v>
      </c>
      <c r="D349">
        <v>109.74</v>
      </c>
      <c r="E349">
        <f t="shared" si="16"/>
        <v>-3.4627300893019797E-3</v>
      </c>
      <c r="G349">
        <f t="shared" si="17"/>
        <v>-4.9251328529603049E-4</v>
      </c>
    </row>
    <row r="350" spans="2:7">
      <c r="B350">
        <v>235.25</v>
      </c>
      <c r="C350">
        <f t="shared" si="15"/>
        <v>-1.2964930924548423E-2</v>
      </c>
      <c r="D350">
        <v>109.36</v>
      </c>
      <c r="E350">
        <f t="shared" si="16"/>
        <v>8.3211411850767636E-3</v>
      </c>
      <c r="G350">
        <f t="shared" si="17"/>
        <v>-1.8216721751596375E-3</v>
      </c>
    </row>
    <row r="351" spans="2:7">
      <c r="B351">
        <v>232.2</v>
      </c>
      <c r="C351">
        <f t="shared" si="15"/>
        <v>-1.3781223083548566E-2</v>
      </c>
      <c r="D351">
        <v>110.27</v>
      </c>
      <c r="E351">
        <f t="shared" si="16"/>
        <v>-7.6176657295727868E-3</v>
      </c>
      <c r="G351">
        <f t="shared" si="17"/>
        <v>-1.0554600808742246E-2</v>
      </c>
    </row>
    <row r="352" spans="2:7">
      <c r="B352">
        <v>229</v>
      </c>
      <c r="C352">
        <f t="shared" si="15"/>
        <v>-4.3668122270745791E-5</v>
      </c>
      <c r="D352">
        <v>109.43</v>
      </c>
      <c r="E352">
        <f t="shared" si="16"/>
        <v>1.6357488805629039E-2</v>
      </c>
      <c r="G352">
        <f t="shared" si="17"/>
        <v>8.5423375294847934E-3</v>
      </c>
    </row>
    <row r="353" spans="2:7">
      <c r="B353">
        <v>228.99</v>
      </c>
      <c r="C353">
        <f t="shared" si="15"/>
        <v>1.7599021791344649E-2</v>
      </c>
      <c r="D353">
        <v>111.22</v>
      </c>
      <c r="E353">
        <f t="shared" si="16"/>
        <v>-1.1778457112030183E-2</v>
      </c>
      <c r="G353">
        <f t="shared" si="17"/>
        <v>2.2199115854279229E-3</v>
      </c>
    </row>
    <row r="354" spans="2:7">
      <c r="B354">
        <v>233.02</v>
      </c>
      <c r="C354">
        <f t="shared" si="15"/>
        <v>4.2056475838982976E-3</v>
      </c>
      <c r="D354">
        <v>109.91</v>
      </c>
      <c r="E354">
        <f t="shared" si="16"/>
        <v>-7.0057319625147496E-3</v>
      </c>
      <c r="G354">
        <f t="shared" si="17"/>
        <v>-1.663509608648933E-3</v>
      </c>
    </row>
    <row r="355" spans="2:7">
      <c r="B355">
        <v>234</v>
      </c>
      <c r="C355">
        <f t="shared" si="15"/>
        <v>-2.564102564102555E-3</v>
      </c>
      <c r="D355">
        <v>109.14</v>
      </c>
      <c r="E355">
        <f t="shared" si="16"/>
        <v>5.03939893714489E-3</v>
      </c>
      <c r="G355">
        <f t="shared" si="17"/>
        <v>1.4163304718004829E-3</v>
      </c>
    </row>
    <row r="356" spans="2:7">
      <c r="B356">
        <v>233.4</v>
      </c>
      <c r="C356">
        <f t="shared" si="15"/>
        <v>1.5338474721508177E-2</v>
      </c>
      <c r="D356">
        <v>109.69</v>
      </c>
      <c r="E356">
        <f t="shared" si="16"/>
        <v>1.6683380435773554E-2</v>
      </c>
      <c r="G356">
        <f t="shared" si="17"/>
        <v>1.6042532862926104E-2</v>
      </c>
    </row>
    <row r="357" spans="2:7">
      <c r="B357">
        <v>236.98</v>
      </c>
      <c r="C357">
        <f t="shared" si="15"/>
        <v>-3.0804287281627207E-3</v>
      </c>
      <c r="D357">
        <v>111.52</v>
      </c>
      <c r="E357">
        <f t="shared" si="16"/>
        <v>2.6721664275466406E-2</v>
      </c>
      <c r="G357">
        <f t="shared" si="17"/>
        <v>1.2520966959237129E-2</v>
      </c>
    </row>
    <row r="358" spans="2:7">
      <c r="B358">
        <v>236.25</v>
      </c>
      <c r="C358">
        <f t="shared" si="15"/>
        <v>2.2433862433861584E-3</v>
      </c>
      <c r="D358">
        <v>114.5</v>
      </c>
      <c r="E358">
        <f t="shared" si="16"/>
        <v>2.7947598253275086E-3</v>
      </c>
      <c r="G358">
        <f t="shared" si="17"/>
        <v>2.5320303135324554E-3</v>
      </c>
    </row>
    <row r="359" spans="2:7">
      <c r="B359">
        <v>236.78</v>
      </c>
      <c r="C359">
        <f t="shared" si="15"/>
        <v>5.9971281358222051E-3</v>
      </c>
      <c r="D359">
        <v>114.82</v>
      </c>
      <c r="E359">
        <f t="shared" si="16"/>
        <v>6.967427277477789E-3</v>
      </c>
      <c r="G359">
        <f t="shared" si="17"/>
        <v>6.5050797364789043E-3</v>
      </c>
    </row>
    <row r="360" spans="2:7">
      <c r="B360">
        <v>238.2</v>
      </c>
      <c r="C360">
        <f t="shared" si="15"/>
        <v>-1.0495382031906475E-3</v>
      </c>
      <c r="D360">
        <v>115.62</v>
      </c>
      <c r="E360">
        <f t="shared" si="16"/>
        <v>-6.0543158623083126E-4</v>
      </c>
      <c r="G360">
        <f t="shared" si="17"/>
        <v>-8.1704838921218366E-4</v>
      </c>
    </row>
    <row r="361" spans="2:7">
      <c r="B361">
        <v>237.95</v>
      </c>
      <c r="C361">
        <f t="shared" si="15"/>
        <v>9.2456398403026885E-3</v>
      </c>
      <c r="D361">
        <v>115.55</v>
      </c>
      <c r="E361">
        <f t="shared" si="16"/>
        <v>-1.2115967113803805E-3</v>
      </c>
      <c r="G361">
        <f t="shared" si="17"/>
        <v>3.7712765054966012E-3</v>
      </c>
    </row>
    <row r="362" spans="2:7">
      <c r="B362">
        <v>240.15</v>
      </c>
      <c r="C362">
        <f t="shared" si="15"/>
        <v>1.0410160316469685E-3</v>
      </c>
      <c r="D362">
        <v>115.41</v>
      </c>
      <c r="E362">
        <f t="shared" si="16"/>
        <v>1.2563902608092814E-2</v>
      </c>
      <c r="G362">
        <f t="shared" si="17"/>
        <v>7.0732471544163698E-3</v>
      </c>
    </row>
    <row r="363" spans="2:7">
      <c r="B363">
        <v>240.4</v>
      </c>
      <c r="C363">
        <f t="shared" si="15"/>
        <v>9.7753743760398137E-3</v>
      </c>
      <c r="D363">
        <v>116.86</v>
      </c>
      <c r="E363">
        <f t="shared" si="16"/>
        <v>-9.4129727879510572E-4</v>
      </c>
      <c r="G363">
        <f t="shared" si="17"/>
        <v>4.1651967647337324E-3</v>
      </c>
    </row>
    <row r="364" spans="2:7">
      <c r="B364">
        <v>242.75</v>
      </c>
      <c r="C364">
        <f t="shared" si="15"/>
        <v>3.7075180226571192E-3</v>
      </c>
      <c r="D364">
        <v>116.75</v>
      </c>
      <c r="E364">
        <f t="shared" si="16"/>
        <v>2.2269807280513865E-2</v>
      </c>
      <c r="G364">
        <f t="shared" si="17"/>
        <v>1.3424876449145126E-2</v>
      </c>
    </row>
    <row r="365" spans="2:7">
      <c r="B365">
        <v>243.65</v>
      </c>
      <c r="C365">
        <f t="shared" si="15"/>
        <v>9.0293453724603623E-3</v>
      </c>
      <c r="D365">
        <v>119.35</v>
      </c>
      <c r="E365">
        <f t="shared" si="16"/>
        <v>1.223292836196066E-2</v>
      </c>
      <c r="G365">
        <f t="shared" si="17"/>
        <v>1.0706421067463768E-2</v>
      </c>
    </row>
    <row r="366" spans="2:7">
      <c r="B366">
        <v>245.85</v>
      </c>
      <c r="C366">
        <f t="shared" si="15"/>
        <v>-4.6776489729509763E-3</v>
      </c>
      <c r="D366">
        <v>120.81</v>
      </c>
      <c r="E366">
        <f t="shared" si="16"/>
        <v>1.2416190712689623E-3</v>
      </c>
      <c r="G366">
        <f t="shared" si="17"/>
        <v>-1.5789121518018381E-3</v>
      </c>
    </row>
    <row r="367" spans="2:7">
      <c r="B367">
        <v>244.7</v>
      </c>
      <c r="C367">
        <f t="shared" si="15"/>
        <v>6.0073559460562809E-3</v>
      </c>
      <c r="D367">
        <v>120.96</v>
      </c>
      <c r="E367">
        <f t="shared" si="16"/>
        <v>9.3419312169313873E-3</v>
      </c>
      <c r="G367">
        <f t="shared" si="17"/>
        <v>7.7530061003593994E-3</v>
      </c>
    </row>
    <row r="368" spans="2:7">
      <c r="B368">
        <v>246.17</v>
      </c>
      <c r="C368">
        <f t="shared" si="15"/>
        <v>7.2307754803591084E-3</v>
      </c>
      <c r="D368">
        <v>122.09</v>
      </c>
      <c r="E368">
        <f t="shared" si="16"/>
        <v>-2.6210172823327715E-3</v>
      </c>
      <c r="G368">
        <f t="shared" si="17"/>
        <v>2.0733619690899087E-3</v>
      </c>
    </row>
    <row r="369" spans="2:7">
      <c r="B369">
        <v>247.95</v>
      </c>
      <c r="C369">
        <f t="shared" si="15"/>
        <v>-1.8148820326678861E-3</v>
      </c>
      <c r="D369">
        <v>121.77</v>
      </c>
      <c r="E369">
        <f t="shared" si="16"/>
        <v>3.8597355670526579E-3</v>
      </c>
      <c r="G369">
        <f t="shared" si="17"/>
        <v>1.1557802807858192E-3</v>
      </c>
    </row>
    <row r="370" spans="2:7">
      <c r="B370">
        <v>247.5</v>
      </c>
      <c r="C370">
        <f t="shared" si="15"/>
        <v>2.4242424242424399E-3</v>
      </c>
      <c r="D370">
        <v>122.24</v>
      </c>
      <c r="E370">
        <f t="shared" si="16"/>
        <v>4.1721204188482908E-3</v>
      </c>
      <c r="G370">
        <f t="shared" si="17"/>
        <v>3.3392565544186027E-3</v>
      </c>
    </row>
    <row r="371" spans="2:7">
      <c r="B371">
        <v>248.1</v>
      </c>
      <c r="C371">
        <f t="shared" si="15"/>
        <v>-4.4336960902860989E-3</v>
      </c>
      <c r="D371">
        <v>122.75</v>
      </c>
      <c r="E371">
        <f t="shared" si="16"/>
        <v>-7.9837067209775903E-3</v>
      </c>
      <c r="G371">
        <f t="shared" si="17"/>
        <v>-6.2921266554530949E-3</v>
      </c>
    </row>
    <row r="372" spans="2:7">
      <c r="B372">
        <v>247</v>
      </c>
      <c r="C372">
        <f t="shared" si="15"/>
        <v>-4.0080971659919307E-3</v>
      </c>
      <c r="D372">
        <v>121.77</v>
      </c>
      <c r="E372">
        <f t="shared" si="16"/>
        <v>1.396074566806238E-3</v>
      </c>
      <c r="G372">
        <f t="shared" si="17"/>
        <v>-1.1790132638720891E-3</v>
      </c>
    </row>
    <row r="373" spans="2:7">
      <c r="B373">
        <v>246.01</v>
      </c>
      <c r="C373">
        <f t="shared" si="15"/>
        <v>6.056664363237374E-3</v>
      </c>
      <c r="D373">
        <v>121.94</v>
      </c>
      <c r="E373">
        <f t="shared" si="16"/>
        <v>6.3145809414466569E-3</v>
      </c>
      <c r="G373">
        <f t="shared" si="17"/>
        <v>6.1916836919299334E-3</v>
      </c>
    </row>
    <row r="374" spans="2:7">
      <c r="B374">
        <v>247.5</v>
      </c>
      <c r="C374">
        <f t="shared" si="15"/>
        <v>8.8888888888889461E-3</v>
      </c>
      <c r="D374">
        <v>122.71</v>
      </c>
      <c r="E374">
        <f t="shared" si="16"/>
        <v>-2.689267378371718E-3</v>
      </c>
      <c r="G374">
        <f t="shared" si="17"/>
        <v>2.827724082977988E-3</v>
      </c>
    </row>
    <row r="375" spans="2:7">
      <c r="B375">
        <v>249.7</v>
      </c>
      <c r="C375">
        <f t="shared" si="15"/>
        <v>-3.2038446135361776E-3</v>
      </c>
      <c r="D375">
        <v>122.38</v>
      </c>
      <c r="E375">
        <f t="shared" si="16"/>
        <v>8.8249714005557145E-3</v>
      </c>
      <c r="G375">
        <f t="shared" si="17"/>
        <v>3.0932405698409285E-3</v>
      </c>
    </row>
    <row r="376" spans="2:7">
      <c r="B376">
        <v>248.9</v>
      </c>
      <c r="C376">
        <f t="shared" si="15"/>
        <v>7.834471675371546E-3</v>
      </c>
      <c r="D376">
        <v>123.46</v>
      </c>
      <c r="E376">
        <f t="shared" si="16"/>
        <v>6.8038231005993488E-3</v>
      </c>
      <c r="G376">
        <f t="shared" si="17"/>
        <v>7.2949271464783014E-3</v>
      </c>
    </row>
    <row r="377" spans="2:7">
      <c r="B377">
        <v>250.85</v>
      </c>
      <c r="C377">
        <f t="shared" si="15"/>
        <v>-4.3850906916483856E-3</v>
      </c>
      <c r="D377">
        <v>124.3</v>
      </c>
      <c r="E377">
        <f t="shared" si="16"/>
        <v>-1.0297666934835137E-2</v>
      </c>
      <c r="G377">
        <f t="shared" si="17"/>
        <v>-7.4803243549566509E-3</v>
      </c>
    </row>
    <row r="378" spans="2:7">
      <c r="B378">
        <v>249.75</v>
      </c>
      <c r="C378">
        <f t="shared" si="15"/>
        <v>-8.2082082082082231E-3</v>
      </c>
      <c r="D378">
        <v>123.02</v>
      </c>
      <c r="E378">
        <f t="shared" si="16"/>
        <v>4.8772557307752429E-4</v>
      </c>
      <c r="G378">
        <f t="shared" si="17"/>
        <v>-3.655886873705134E-3</v>
      </c>
    </row>
    <row r="379" spans="2:7">
      <c r="B379">
        <v>247.7</v>
      </c>
      <c r="C379">
        <f t="shared" si="15"/>
        <v>7.2668550666128429E-3</v>
      </c>
      <c r="D379">
        <v>123.08</v>
      </c>
      <c r="E379">
        <f t="shared" si="16"/>
        <v>-9.7497562560936446E-3</v>
      </c>
      <c r="G379">
        <f t="shared" si="17"/>
        <v>-1.6413409608240039E-3</v>
      </c>
    </row>
    <row r="380" spans="2:7">
      <c r="B380">
        <v>249.5</v>
      </c>
      <c r="C380">
        <f t="shared" si="15"/>
        <v>9.4188376753507885E-3</v>
      </c>
      <c r="D380">
        <v>121.88</v>
      </c>
      <c r="E380">
        <f t="shared" si="16"/>
        <v>2.7896291434197362E-3</v>
      </c>
      <c r="G380">
        <f t="shared" si="17"/>
        <v>5.9484470088848823E-3</v>
      </c>
    </row>
    <row r="381" spans="2:7">
      <c r="B381">
        <v>251.85</v>
      </c>
      <c r="C381">
        <f t="shared" si="15"/>
        <v>5.5588644034147983E-3</v>
      </c>
      <c r="D381">
        <v>122.22</v>
      </c>
      <c r="E381">
        <f t="shared" si="16"/>
        <v>8.5092456226476543E-3</v>
      </c>
      <c r="G381">
        <f t="shared" si="17"/>
        <v>7.1033889716831996E-3</v>
      </c>
    </row>
    <row r="382" spans="2:7">
      <c r="B382">
        <v>253.25</v>
      </c>
      <c r="C382">
        <f t="shared" si="15"/>
        <v>1.0463968410661328E-2</v>
      </c>
      <c r="D382">
        <v>123.26</v>
      </c>
      <c r="E382">
        <f t="shared" si="16"/>
        <v>-1.1358104819081394E-3</v>
      </c>
      <c r="G382">
        <f t="shared" si="17"/>
        <v>4.3914841604012125E-3</v>
      </c>
    </row>
    <row r="383" spans="2:7">
      <c r="B383">
        <v>255.9</v>
      </c>
      <c r="C383">
        <f t="shared" si="15"/>
        <v>4.2985541227040791E-3</v>
      </c>
      <c r="D383">
        <v>123.12</v>
      </c>
      <c r="E383">
        <f t="shared" si="16"/>
        <v>-3.8986354775828458E-3</v>
      </c>
      <c r="G383">
        <f t="shared" si="17"/>
        <v>7.3253669538734037E-6</v>
      </c>
    </row>
    <row r="384" spans="2:7">
      <c r="B384">
        <v>257</v>
      </c>
      <c r="C384">
        <f t="shared" si="15"/>
        <v>1.9455252918287869E-3</v>
      </c>
      <c r="D384">
        <v>122.64</v>
      </c>
      <c r="E384">
        <f t="shared" si="16"/>
        <v>2.3320287018917085E-2</v>
      </c>
      <c r="G384">
        <f t="shared" si="17"/>
        <v>1.3135213055959513E-2</v>
      </c>
    </row>
    <row r="385" spans="2:7">
      <c r="B385">
        <v>257.5</v>
      </c>
      <c r="C385">
        <f t="shared" si="15"/>
        <v>6.019417475728206E-3</v>
      </c>
      <c r="D385">
        <v>125.5</v>
      </c>
      <c r="E385">
        <f t="shared" si="16"/>
        <v>1.1075697211155422E-2</v>
      </c>
      <c r="G385">
        <f t="shared" si="17"/>
        <v>8.6663799172243539E-3</v>
      </c>
    </row>
    <row r="386" spans="2:7">
      <c r="B386">
        <v>259.05</v>
      </c>
      <c r="C386">
        <f t="shared" si="15"/>
        <v>-4.825323296660855E-3</v>
      </c>
      <c r="D386">
        <v>126.89</v>
      </c>
      <c r="E386">
        <f t="shared" si="16"/>
        <v>-4.5708881708566018E-3</v>
      </c>
      <c r="G386">
        <f t="shared" si="17"/>
        <v>-4.6921265083023286E-3</v>
      </c>
    </row>
    <row r="387" spans="2:7">
      <c r="B387">
        <v>257.8</v>
      </c>
      <c r="C387">
        <f t="shared" ref="C387:C450" si="18">(B388/B387)-1</f>
        <v>-2.3273855702095059E-3</v>
      </c>
      <c r="D387">
        <v>126.31</v>
      </c>
      <c r="E387">
        <f t="shared" ref="E387:E450" si="19">(D388/D387)-1</f>
        <v>6.4919642150265133E-3</v>
      </c>
      <c r="G387">
        <f t="shared" si="17"/>
        <v>2.2895440423615506E-3</v>
      </c>
    </row>
    <row r="388" spans="2:7">
      <c r="B388">
        <v>257.2</v>
      </c>
      <c r="C388">
        <f t="shared" si="18"/>
        <v>-3.8880248833592645E-3</v>
      </c>
      <c r="D388">
        <v>127.13</v>
      </c>
      <c r="E388">
        <f t="shared" si="19"/>
        <v>5.9781326201526763E-3</v>
      </c>
      <c r="G388">
        <f t="shared" ref="G388:G451" si="20">C388*$J$5+E388*$J$6</f>
        <v>1.2769085697292371E-3</v>
      </c>
    </row>
    <row r="389" spans="2:7">
      <c r="B389">
        <v>256.2</v>
      </c>
      <c r="C389">
        <f t="shared" si="18"/>
        <v>2.3419203747072626E-3</v>
      </c>
      <c r="D389">
        <v>127.89</v>
      </c>
      <c r="E389">
        <f t="shared" si="19"/>
        <v>-7.3500664633668888E-3</v>
      </c>
      <c r="G389">
        <f t="shared" si="20"/>
        <v>-2.7318347350245558E-3</v>
      </c>
    </row>
    <row r="390" spans="2:7">
      <c r="B390">
        <v>256.8</v>
      </c>
      <c r="C390">
        <f t="shared" si="18"/>
        <v>-2.1417445482866393E-3</v>
      </c>
      <c r="D390">
        <v>126.95</v>
      </c>
      <c r="E390">
        <f t="shared" si="19"/>
        <v>1.000393855848758E-2</v>
      </c>
      <c r="G390">
        <f t="shared" si="20"/>
        <v>4.2165205581096658E-3</v>
      </c>
    </row>
    <row r="391" spans="2:7">
      <c r="B391">
        <v>256.25</v>
      </c>
      <c r="C391">
        <f t="shared" si="18"/>
        <v>-3.9024390243913576E-4</v>
      </c>
      <c r="D391">
        <v>128.22</v>
      </c>
      <c r="E391">
        <f t="shared" si="19"/>
        <v>4.8354390890656962E-3</v>
      </c>
      <c r="G391">
        <f t="shared" si="20"/>
        <v>2.345401143613644E-3</v>
      </c>
    </row>
    <row r="392" spans="2:7">
      <c r="B392">
        <v>256.14999999999998</v>
      </c>
      <c r="C392">
        <f t="shared" si="18"/>
        <v>2.3423775131758973E-4</v>
      </c>
      <c r="D392">
        <v>128.84</v>
      </c>
      <c r="E392">
        <f t="shared" si="19"/>
        <v>5.8987891959019212E-3</v>
      </c>
      <c r="G392">
        <f t="shared" si="20"/>
        <v>3.1996304325574874E-3</v>
      </c>
    </row>
    <row r="393" spans="2:7">
      <c r="B393">
        <v>256.20999999999998</v>
      </c>
      <c r="C393">
        <f t="shared" si="18"/>
        <v>5.4642675929903461E-3</v>
      </c>
      <c r="D393">
        <v>129.6</v>
      </c>
      <c r="E393">
        <f t="shared" si="19"/>
        <v>5.1697530864198704E-3</v>
      </c>
      <c r="G393">
        <f t="shared" si="20"/>
        <v>5.3100892488007027E-3</v>
      </c>
    </row>
    <row r="394" spans="2:7">
      <c r="B394">
        <v>257.61</v>
      </c>
      <c r="C394">
        <f t="shared" si="18"/>
        <v>5.3957532704476119E-3</v>
      </c>
      <c r="D394">
        <v>130.27000000000001</v>
      </c>
      <c r="E394">
        <f t="shared" si="19"/>
        <v>7.6763644737853909E-5</v>
      </c>
      <c r="G394">
        <f t="shared" si="20"/>
        <v>2.6112622013885534E-3</v>
      </c>
    </row>
    <row r="395" spans="2:7">
      <c r="B395">
        <v>259</v>
      </c>
      <c r="C395">
        <f t="shared" si="18"/>
        <v>-7.3359073359072768E-3</v>
      </c>
      <c r="D395">
        <v>130.28</v>
      </c>
      <c r="E395">
        <f t="shared" si="19"/>
        <v>-1.0746085354620849E-2</v>
      </c>
      <c r="G395">
        <f t="shared" si="20"/>
        <v>-9.1211355287038332E-3</v>
      </c>
    </row>
    <row r="396" spans="2:7">
      <c r="B396">
        <v>257.10000000000002</v>
      </c>
      <c r="C396">
        <f t="shared" si="18"/>
        <v>-8.556981719175516E-3</v>
      </c>
      <c r="D396">
        <v>128.88</v>
      </c>
      <c r="E396">
        <f t="shared" si="19"/>
        <v>3.8795779019240584E-4</v>
      </c>
      <c r="G396">
        <f t="shared" si="20"/>
        <v>-3.8743058860214083E-3</v>
      </c>
    </row>
    <row r="397" spans="2:7">
      <c r="B397">
        <v>254.9</v>
      </c>
      <c r="C397">
        <f t="shared" si="18"/>
        <v>-3.7269517457827472E-3</v>
      </c>
      <c r="D397">
        <v>128.93</v>
      </c>
      <c r="E397">
        <f t="shared" si="19"/>
        <v>-1.1711781586907666E-2</v>
      </c>
      <c r="G397">
        <f t="shared" si="20"/>
        <v>-7.9070101676116424E-3</v>
      </c>
    </row>
    <row r="398" spans="2:7">
      <c r="B398">
        <v>253.95</v>
      </c>
      <c r="C398">
        <f t="shared" si="18"/>
        <v>1.2443394368970351E-2</v>
      </c>
      <c r="D398">
        <v>127.42</v>
      </c>
      <c r="E398">
        <f t="shared" si="19"/>
        <v>5.5721236854495704E-3</v>
      </c>
      <c r="G398">
        <f t="shared" si="20"/>
        <v>8.8462841661472221E-3</v>
      </c>
    </row>
    <row r="399" spans="2:7">
      <c r="B399">
        <v>257.11</v>
      </c>
      <c r="C399">
        <f t="shared" si="18"/>
        <v>6.7675314067909831E-3</v>
      </c>
      <c r="D399">
        <v>128.13</v>
      </c>
      <c r="E399">
        <f t="shared" si="19"/>
        <v>3.1218293920238782E-3</v>
      </c>
      <c r="G399">
        <f t="shared" si="20"/>
        <v>4.859006402060404E-3</v>
      </c>
    </row>
    <row r="400" spans="2:7">
      <c r="B400">
        <v>258.85000000000002</v>
      </c>
      <c r="C400">
        <f t="shared" si="18"/>
        <v>1.6611937415489386E-3</v>
      </c>
      <c r="D400">
        <v>128.53</v>
      </c>
      <c r="E400">
        <f t="shared" si="19"/>
        <v>-7.1578619777483699E-3</v>
      </c>
      <c r="G400">
        <f t="shared" si="20"/>
        <v>-2.9555819275032028E-3</v>
      </c>
    </row>
    <row r="401" spans="2:7">
      <c r="B401">
        <v>259.27999999999997</v>
      </c>
      <c r="C401">
        <f t="shared" si="18"/>
        <v>-4.1653810552297887E-3</v>
      </c>
      <c r="D401">
        <v>127.61</v>
      </c>
      <c r="E401">
        <f t="shared" si="19"/>
        <v>-4.6234621111198582E-3</v>
      </c>
      <c r="G401">
        <f t="shared" si="20"/>
        <v>-4.4051864879882403E-3</v>
      </c>
    </row>
    <row r="402" spans="2:7">
      <c r="B402">
        <v>258.2</v>
      </c>
      <c r="C402">
        <f t="shared" si="18"/>
        <v>-2.788536018590082E-3</v>
      </c>
      <c r="D402">
        <v>127.02</v>
      </c>
      <c r="E402">
        <f t="shared" si="19"/>
        <v>-1.57455518815941E-3</v>
      </c>
      <c r="G402">
        <f t="shared" si="20"/>
        <v>-2.1530170538596252E-3</v>
      </c>
    </row>
    <row r="403" spans="2:7">
      <c r="B403">
        <v>257.48</v>
      </c>
      <c r="C403">
        <f t="shared" si="18"/>
        <v>2.4467919838433438E-3</v>
      </c>
      <c r="D403">
        <v>126.82</v>
      </c>
      <c r="E403">
        <f t="shared" si="19"/>
        <v>2.5232613152499361E-3</v>
      </c>
      <c r="G403">
        <f t="shared" si="20"/>
        <v>2.486823678834695E-3</v>
      </c>
    </row>
    <row r="404" spans="2:7">
      <c r="B404">
        <v>258.11</v>
      </c>
      <c r="C404">
        <f t="shared" si="18"/>
        <v>8.4072682189761938E-3</v>
      </c>
      <c r="D404">
        <v>127.14</v>
      </c>
      <c r="E404">
        <f t="shared" si="19"/>
        <v>4.0113260972156617E-3</v>
      </c>
      <c r="G404">
        <f t="shared" si="20"/>
        <v>6.1059925182345553E-3</v>
      </c>
    </row>
    <row r="405" spans="2:7">
      <c r="B405">
        <v>260.27999999999997</v>
      </c>
      <c r="C405">
        <f t="shared" si="18"/>
        <v>-4.9177808513907184E-3</v>
      </c>
      <c r="D405">
        <v>127.65</v>
      </c>
      <c r="E405">
        <f t="shared" si="19"/>
        <v>-1.6372894633764234E-2</v>
      </c>
      <c r="G405">
        <f t="shared" si="20"/>
        <v>-1.0914532916463254E-2</v>
      </c>
    </row>
    <row r="406" spans="2:7">
      <c r="B406">
        <v>259</v>
      </c>
      <c r="C406">
        <f t="shared" si="18"/>
        <v>7.7992277992278147E-3</v>
      </c>
      <c r="D406">
        <v>125.56</v>
      </c>
      <c r="E406">
        <f t="shared" si="19"/>
        <v>-6.2918126791972062E-3</v>
      </c>
      <c r="G406">
        <f t="shared" si="20"/>
        <v>4.2256810877231528E-4</v>
      </c>
    </row>
    <row r="407" spans="2:7">
      <c r="B407">
        <v>261.02</v>
      </c>
      <c r="C407">
        <f t="shared" si="18"/>
        <v>1.3064133016627233E-2</v>
      </c>
      <c r="D407">
        <v>124.77</v>
      </c>
      <c r="E407">
        <f t="shared" si="19"/>
        <v>-9.2971066762843613E-3</v>
      </c>
      <c r="G407">
        <f t="shared" si="20"/>
        <v>1.3580240373880122E-3</v>
      </c>
    </row>
    <row r="408" spans="2:7">
      <c r="B408">
        <v>264.43</v>
      </c>
      <c r="C408">
        <f t="shared" si="18"/>
        <v>1.4710887569489017E-2</v>
      </c>
      <c r="D408">
        <v>123.61</v>
      </c>
      <c r="E408">
        <f t="shared" si="19"/>
        <v>2.1842892969823335E-3</v>
      </c>
      <c r="G408">
        <f t="shared" si="20"/>
        <v>8.1532133738317688E-3</v>
      </c>
    </row>
    <row r="409" spans="2:7">
      <c r="B409">
        <v>268.32</v>
      </c>
      <c r="C409">
        <f t="shared" si="18"/>
        <v>-3.1305903398926027E-3</v>
      </c>
      <c r="D409">
        <v>123.88</v>
      </c>
      <c r="E409">
        <f t="shared" si="19"/>
        <v>-7.8301582176300011E-3</v>
      </c>
      <c r="G409">
        <f t="shared" si="20"/>
        <v>-5.590814123888131E-3</v>
      </c>
    </row>
    <row r="410" spans="2:7">
      <c r="B410">
        <v>267.48</v>
      </c>
      <c r="C410">
        <f t="shared" si="18"/>
        <v>-4.224614924480341E-3</v>
      </c>
      <c r="D410">
        <v>122.91</v>
      </c>
      <c r="E410">
        <f t="shared" si="19"/>
        <v>1.2529493125050806E-2</v>
      </c>
      <c r="G410">
        <f t="shared" si="20"/>
        <v>4.5461606394492154E-3</v>
      </c>
    </row>
    <row r="411" spans="2:7">
      <c r="B411">
        <v>266.35000000000002</v>
      </c>
      <c r="C411">
        <f t="shared" si="18"/>
        <v>2.7407546461422072E-3</v>
      </c>
      <c r="D411">
        <v>124.45</v>
      </c>
      <c r="E411">
        <f t="shared" si="19"/>
        <v>-2.9730815588590032E-3</v>
      </c>
      <c r="G411">
        <f t="shared" si="20"/>
        <v>-2.5043860717592669E-4</v>
      </c>
    </row>
    <row r="412" spans="2:7">
      <c r="B412">
        <v>267.08</v>
      </c>
      <c r="C412">
        <f t="shared" si="18"/>
        <v>-9.360491238580293E-4</v>
      </c>
      <c r="D412">
        <v>124.08</v>
      </c>
      <c r="E412">
        <f t="shared" si="19"/>
        <v>2.4983881366860139E-3</v>
      </c>
      <c r="G412">
        <f t="shared" si="20"/>
        <v>8.6187878203677752E-4</v>
      </c>
    </row>
    <row r="413" spans="2:7">
      <c r="B413">
        <v>266.83</v>
      </c>
      <c r="C413">
        <f t="shared" si="18"/>
        <v>1.3754075628677587E-2</v>
      </c>
      <c r="D413">
        <v>124.39</v>
      </c>
      <c r="E413">
        <f t="shared" si="19"/>
        <v>6.190208216094506E-3</v>
      </c>
      <c r="G413">
        <f t="shared" si="20"/>
        <v>9.7943910381903428E-3</v>
      </c>
    </row>
    <row r="414" spans="2:7">
      <c r="B414">
        <v>270.5</v>
      </c>
      <c r="C414">
        <f t="shared" si="18"/>
        <v>-1.367837338262512E-3</v>
      </c>
      <c r="D414">
        <v>125.16</v>
      </c>
      <c r="E414">
        <f t="shared" si="19"/>
        <v>-3.3557046979866278E-3</v>
      </c>
      <c r="G414">
        <f t="shared" si="20"/>
        <v>-2.4084859010780869E-3</v>
      </c>
    </row>
    <row r="415" spans="2:7">
      <c r="B415">
        <v>270.13</v>
      </c>
      <c r="C415">
        <f t="shared" si="18"/>
        <v>-1.2993743753007769E-2</v>
      </c>
      <c r="D415">
        <v>124.74</v>
      </c>
      <c r="E415">
        <f t="shared" si="19"/>
        <v>-8.3373416706749026E-3</v>
      </c>
      <c r="G415">
        <f t="shared" si="20"/>
        <v>-1.0556117262906515E-2</v>
      </c>
    </row>
    <row r="416" spans="2:7">
      <c r="B416">
        <v>266.62</v>
      </c>
      <c r="C416">
        <f t="shared" si="18"/>
        <v>3.1130447828369157E-3</v>
      </c>
      <c r="D416">
        <v>123.7</v>
      </c>
      <c r="E416">
        <f t="shared" si="19"/>
        <v>2.3443815683104052E-3</v>
      </c>
      <c r="G416">
        <f t="shared" si="20"/>
        <v>2.7106495900322877E-3</v>
      </c>
    </row>
    <row r="417" spans="2:7">
      <c r="B417">
        <v>267.45</v>
      </c>
      <c r="C417">
        <f t="shared" si="18"/>
        <v>2.0788932510749758E-2</v>
      </c>
      <c r="D417">
        <v>123.99</v>
      </c>
      <c r="E417">
        <f t="shared" si="19"/>
        <v>5.7262682474392701E-3</v>
      </c>
      <c r="G417">
        <f t="shared" si="20"/>
        <v>1.2903627768906717E-2</v>
      </c>
    </row>
    <row r="418" spans="2:7">
      <c r="B418">
        <v>273.01</v>
      </c>
      <c r="C418">
        <f t="shared" si="18"/>
        <v>1.5750338815427867E-3</v>
      </c>
      <c r="D418">
        <v>124.7</v>
      </c>
      <c r="E418">
        <f t="shared" si="19"/>
        <v>-9.7834803528468184E-3</v>
      </c>
      <c r="G418">
        <f t="shared" si="20"/>
        <v>-4.3711483201601719E-3</v>
      </c>
    </row>
    <row r="419" spans="2:7">
      <c r="B419">
        <v>273.44</v>
      </c>
      <c r="C419">
        <f t="shared" si="18"/>
        <v>-2.5234055002925082E-3</v>
      </c>
      <c r="D419">
        <v>123.48</v>
      </c>
      <c r="E419">
        <f t="shared" si="19"/>
        <v>2.9154518950438302E-3</v>
      </c>
      <c r="G419">
        <f t="shared" si="20"/>
        <v>3.238363461660653E-4</v>
      </c>
    </row>
    <row r="420" spans="2:7">
      <c r="B420">
        <v>272.75</v>
      </c>
      <c r="C420">
        <f t="shared" si="18"/>
        <v>9.1659028414299293E-3</v>
      </c>
      <c r="D420">
        <v>123.84</v>
      </c>
      <c r="E420">
        <f t="shared" si="19"/>
        <v>2.1640826873384977E-2</v>
      </c>
      <c r="G420">
        <f t="shared" si="20"/>
        <v>1.56965255721584E-2</v>
      </c>
    </row>
    <row r="421" spans="2:7">
      <c r="B421">
        <v>275.25</v>
      </c>
      <c r="C421">
        <f t="shared" si="18"/>
        <v>6.9028156221615511E-3</v>
      </c>
      <c r="D421">
        <v>126.52</v>
      </c>
      <c r="E421">
        <f t="shared" si="19"/>
        <v>-2.9244388239012542E-3</v>
      </c>
      <c r="G421">
        <f t="shared" si="20"/>
        <v>1.7582479196476721E-3</v>
      </c>
    </row>
    <row r="422" spans="2:7">
      <c r="B422">
        <v>277.14999999999998</v>
      </c>
      <c r="C422">
        <f t="shared" si="18"/>
        <v>-3.2473389861085167E-3</v>
      </c>
      <c r="D422">
        <v>126.15</v>
      </c>
      <c r="E422">
        <f t="shared" si="19"/>
        <v>-1.3158937772493107E-2</v>
      </c>
      <c r="G422">
        <f t="shared" si="20"/>
        <v>-8.4360609507808503E-3</v>
      </c>
    </row>
    <row r="423" spans="2:7">
      <c r="B423">
        <v>276.25</v>
      </c>
      <c r="C423">
        <f t="shared" si="18"/>
        <v>-1.44796380090495E-3</v>
      </c>
      <c r="D423">
        <v>124.49</v>
      </c>
      <c r="E423">
        <f t="shared" si="19"/>
        <v>-1.7672102176881088E-3</v>
      </c>
      <c r="G423">
        <f t="shared" si="20"/>
        <v>-1.6150893000909338E-3</v>
      </c>
    </row>
    <row r="424" spans="2:7">
      <c r="B424">
        <v>275.85000000000002</v>
      </c>
      <c r="C424">
        <f t="shared" si="18"/>
        <v>6.7065434112740796E-3</v>
      </c>
      <c r="D424">
        <v>124.27</v>
      </c>
      <c r="E424">
        <f t="shared" si="19"/>
        <v>-7.7251146696708517E-3</v>
      </c>
      <c r="G424">
        <f t="shared" si="20"/>
        <v>-8.4842959410059244E-4</v>
      </c>
    </row>
    <row r="425" spans="2:7">
      <c r="B425">
        <v>277.7</v>
      </c>
      <c r="C425">
        <f t="shared" si="18"/>
        <v>-4.8613611811305635E-3</v>
      </c>
      <c r="D425">
        <v>123.31</v>
      </c>
      <c r="E425">
        <f t="shared" si="19"/>
        <v>5.8389425026357245E-3</v>
      </c>
      <c r="G425">
        <f t="shared" si="20"/>
        <v>7.4024779732108879E-4</v>
      </c>
    </row>
    <row r="426" spans="2:7">
      <c r="B426">
        <v>276.35000000000002</v>
      </c>
      <c r="C426">
        <f t="shared" si="18"/>
        <v>1.2665098606838843E-3</v>
      </c>
      <c r="D426">
        <v>124.03</v>
      </c>
      <c r="E426">
        <f t="shared" si="19"/>
        <v>7.0950576473434168E-3</v>
      </c>
      <c r="G426">
        <f t="shared" si="20"/>
        <v>4.3177546270001498E-3</v>
      </c>
    </row>
    <row r="427" spans="2:7">
      <c r="B427">
        <v>276.7</v>
      </c>
      <c r="C427">
        <f t="shared" si="18"/>
        <v>-1.5901698590531144E-2</v>
      </c>
      <c r="D427">
        <v>124.91</v>
      </c>
      <c r="E427">
        <f t="shared" si="19"/>
        <v>2.5618445280601865E-3</v>
      </c>
      <c r="G427">
        <f t="shared" si="20"/>
        <v>-6.2360337679485817E-3</v>
      </c>
    </row>
    <row r="428" spans="2:7">
      <c r="B428">
        <v>272.3</v>
      </c>
      <c r="C428">
        <f t="shared" si="18"/>
        <v>5.5086301872935284E-3</v>
      </c>
      <c r="D428">
        <v>125.23</v>
      </c>
      <c r="E428">
        <f t="shared" si="19"/>
        <v>6.7875109797970179E-3</v>
      </c>
      <c r="G428">
        <f t="shared" si="20"/>
        <v>6.1781242821691059E-3</v>
      </c>
    </row>
    <row r="429" spans="2:7">
      <c r="B429">
        <v>273.8</v>
      </c>
      <c r="C429">
        <f t="shared" si="18"/>
        <v>2.3739956172388554E-2</v>
      </c>
      <c r="D429">
        <v>126.08</v>
      </c>
      <c r="E429">
        <f t="shared" si="19"/>
        <v>1.0310913705582347E-3</v>
      </c>
      <c r="G429">
        <f t="shared" si="20"/>
        <v>1.1851865448630382E-2</v>
      </c>
    </row>
    <row r="430" spans="2:7">
      <c r="B430">
        <v>280.3</v>
      </c>
      <c r="C430">
        <f t="shared" si="18"/>
        <v>6.7784516589368682E-3</v>
      </c>
      <c r="D430">
        <v>126.21</v>
      </c>
      <c r="E430">
        <f t="shared" si="19"/>
        <v>1.5846604864908631E-3</v>
      </c>
      <c r="G430">
        <f t="shared" si="20"/>
        <v>4.0595019801613844E-3</v>
      </c>
    </row>
    <row r="431" spans="2:7">
      <c r="B431">
        <v>282.2</v>
      </c>
      <c r="C431">
        <f t="shared" si="18"/>
        <v>-6.3075832742734983E-3</v>
      </c>
      <c r="D431">
        <v>126.41</v>
      </c>
      <c r="E431">
        <f t="shared" si="19"/>
        <v>-6.0912902460248386E-3</v>
      </c>
      <c r="G431">
        <f t="shared" si="20"/>
        <v>-6.1943538739853256E-3</v>
      </c>
    </row>
    <row r="432" spans="2:7">
      <c r="B432">
        <v>280.42</v>
      </c>
      <c r="C432">
        <f t="shared" si="18"/>
        <v>-7.9166963839955029E-3</v>
      </c>
      <c r="D432">
        <v>125.64</v>
      </c>
      <c r="E432">
        <f t="shared" si="19"/>
        <v>1.2734797835083356E-3</v>
      </c>
      <c r="G432">
        <f t="shared" si="20"/>
        <v>-3.1056391603072435E-3</v>
      </c>
    </row>
    <row r="433" spans="2:7">
      <c r="B433">
        <v>278.2</v>
      </c>
      <c r="C433">
        <f t="shared" si="18"/>
        <v>6.2904385334292545E-3</v>
      </c>
      <c r="D433">
        <v>125.8</v>
      </c>
      <c r="E433">
        <f t="shared" si="19"/>
        <v>1.5659777424483323E-2</v>
      </c>
      <c r="G433">
        <f t="shared" si="20"/>
        <v>1.1195287442896062E-2</v>
      </c>
    </row>
    <row r="434" spans="2:7">
      <c r="B434">
        <v>279.95</v>
      </c>
      <c r="C434">
        <f t="shared" si="18"/>
        <v>4.1078764065012319E-3</v>
      </c>
      <c r="D434">
        <v>127.77</v>
      </c>
      <c r="E434">
        <f t="shared" si="19"/>
        <v>-1.0878923064882251E-2</v>
      </c>
      <c r="G434">
        <f t="shared" si="20"/>
        <v>-3.737713116768022E-3</v>
      </c>
    </row>
    <row r="435" spans="2:7">
      <c r="B435">
        <v>281.10000000000002</v>
      </c>
      <c r="C435">
        <f t="shared" si="18"/>
        <v>5.8342226965493182E-3</v>
      </c>
      <c r="D435">
        <v>126.38</v>
      </c>
      <c r="E435">
        <f t="shared" si="19"/>
        <v>-8.7830352903940367E-3</v>
      </c>
      <c r="G435">
        <f t="shared" si="20"/>
        <v>-1.8179118596155291E-3</v>
      </c>
    </row>
    <row r="436" spans="2:7">
      <c r="B436">
        <v>282.74</v>
      </c>
      <c r="C436">
        <f t="shared" si="18"/>
        <v>-1.4147273113108705E-3</v>
      </c>
      <c r="D436">
        <v>125.27</v>
      </c>
      <c r="E436">
        <f t="shared" si="19"/>
        <v>9.5793086932238758E-4</v>
      </c>
      <c r="G436">
        <f t="shared" si="20"/>
        <v>-1.7264075374935975E-4</v>
      </c>
    </row>
    <row r="437" spans="2:7">
      <c r="B437">
        <v>282.33999999999997</v>
      </c>
      <c r="C437">
        <f t="shared" si="18"/>
        <v>-8.7837359212296073E-3</v>
      </c>
      <c r="D437">
        <v>125.39</v>
      </c>
      <c r="E437">
        <f t="shared" si="19"/>
        <v>-6.220591753728355E-3</v>
      </c>
      <c r="G437">
        <f t="shared" si="20"/>
        <v>-7.4419299495427013E-3</v>
      </c>
    </row>
    <row r="438" spans="2:7">
      <c r="B438">
        <v>279.86</v>
      </c>
      <c r="C438">
        <f t="shared" si="18"/>
        <v>2.0010005002502051E-3</v>
      </c>
      <c r="D438">
        <v>124.61</v>
      </c>
      <c r="E438">
        <f t="shared" si="19"/>
        <v>-2.0865099109220742E-3</v>
      </c>
      <c r="G438">
        <f t="shared" si="20"/>
        <v>-1.3881119999848324E-4</v>
      </c>
    </row>
    <row r="439" spans="2:7">
      <c r="B439">
        <v>280.42</v>
      </c>
      <c r="C439">
        <f t="shared" si="18"/>
        <v>7.8453747949502883E-3</v>
      </c>
      <c r="D439">
        <v>124.35</v>
      </c>
      <c r="E439">
        <f t="shared" si="19"/>
        <v>5.9509449135506376E-3</v>
      </c>
      <c r="G439">
        <f t="shared" si="20"/>
        <v>6.8536407520375714E-3</v>
      </c>
    </row>
    <row r="440" spans="2:7">
      <c r="B440">
        <v>282.62</v>
      </c>
      <c r="C440">
        <f t="shared" si="18"/>
        <v>3.9983016063973587E-3</v>
      </c>
      <c r="D440">
        <v>125.09</v>
      </c>
      <c r="E440">
        <f t="shared" si="19"/>
        <v>-3.9171796306659568E-3</v>
      </c>
      <c r="G440">
        <f t="shared" si="20"/>
        <v>-1.4545282120528727E-4</v>
      </c>
    </row>
    <row r="441" spans="2:7">
      <c r="B441">
        <v>283.75</v>
      </c>
      <c r="C441">
        <f t="shared" si="18"/>
        <v>-1.7621145374449032E-3</v>
      </c>
      <c r="D441">
        <v>124.6</v>
      </c>
      <c r="E441">
        <f t="shared" si="19"/>
        <v>-9.7913322632423583E-3</v>
      </c>
      <c r="G441">
        <f t="shared" si="20"/>
        <v>-5.9654100168998712E-3</v>
      </c>
    </row>
    <row r="442" spans="2:7">
      <c r="B442">
        <v>283.25</v>
      </c>
      <c r="C442">
        <f t="shared" si="18"/>
        <v>1.0556045895851796E-2</v>
      </c>
      <c r="D442">
        <v>123.38</v>
      </c>
      <c r="E442">
        <f t="shared" si="19"/>
        <v>-7.5376884422110324E-3</v>
      </c>
      <c r="G442">
        <f t="shared" si="20"/>
        <v>1.0839759698759045E-3</v>
      </c>
    </row>
    <row r="443" spans="2:7">
      <c r="B443">
        <v>286.24</v>
      </c>
      <c r="C443">
        <f t="shared" si="18"/>
        <v>-2.3406931246506835E-3</v>
      </c>
      <c r="D443">
        <v>122.45</v>
      </c>
      <c r="E443">
        <f t="shared" si="19"/>
        <v>1.1759902000816558E-2</v>
      </c>
      <c r="G443">
        <f t="shared" si="20"/>
        <v>5.0409684235314181E-3</v>
      </c>
    </row>
    <row r="444" spans="2:7">
      <c r="B444">
        <v>285.57</v>
      </c>
      <c r="C444">
        <f t="shared" si="18"/>
        <v>6.3031831074700229E-4</v>
      </c>
      <c r="D444">
        <v>123.89</v>
      </c>
      <c r="E444">
        <f t="shared" si="19"/>
        <v>2.8250867705221783E-3</v>
      </c>
      <c r="G444">
        <f t="shared" si="20"/>
        <v>1.7792795994393071E-3</v>
      </c>
    </row>
    <row r="445" spans="2:7">
      <c r="B445">
        <v>285.75</v>
      </c>
      <c r="C445">
        <f t="shared" si="18"/>
        <v>-4.7244094488190225E-3</v>
      </c>
      <c r="D445">
        <v>124.24</v>
      </c>
      <c r="E445">
        <f t="shared" si="19"/>
        <v>-2.3341918866709443E-3</v>
      </c>
      <c r="G445">
        <f t="shared" si="20"/>
        <v>-3.4731305550345037E-3</v>
      </c>
    </row>
    <row r="446" spans="2:7">
      <c r="B446">
        <v>284.39999999999998</v>
      </c>
      <c r="C446">
        <f t="shared" si="18"/>
        <v>1.2658227848101333E-2</v>
      </c>
      <c r="D446">
        <v>123.95</v>
      </c>
      <c r="E446">
        <f t="shared" si="19"/>
        <v>-7.3416700282371572E-3</v>
      </c>
      <c r="G446">
        <f t="shared" si="20"/>
        <v>2.1882813098381328E-3</v>
      </c>
    </row>
    <row r="447" spans="2:7">
      <c r="B447">
        <v>288</v>
      </c>
      <c r="C447">
        <f t="shared" si="18"/>
        <v>5.2777777777777146E-3</v>
      </c>
      <c r="D447">
        <v>123.04</v>
      </c>
      <c r="E447">
        <f t="shared" si="19"/>
        <v>1.5442132639791328E-3</v>
      </c>
      <c r="G447">
        <f t="shared" si="20"/>
        <v>3.3232567548041572E-3</v>
      </c>
    </row>
    <row r="448" spans="2:7">
      <c r="B448">
        <v>289.52</v>
      </c>
      <c r="C448">
        <f t="shared" si="18"/>
        <v>-2.6595744680850686E-3</v>
      </c>
      <c r="D448">
        <v>123.23</v>
      </c>
      <c r="E448">
        <f t="shared" si="19"/>
        <v>4.4631988963725888E-3</v>
      </c>
      <c r="G448">
        <f t="shared" si="20"/>
        <v>1.0691973882085153E-3</v>
      </c>
    </row>
    <row r="449" spans="2:7">
      <c r="B449">
        <v>288.75</v>
      </c>
      <c r="C449">
        <f t="shared" si="18"/>
        <v>1.9047619047618536E-3</v>
      </c>
      <c r="D449">
        <v>123.78</v>
      </c>
      <c r="E449">
        <f t="shared" si="19"/>
        <v>1.2360639844886112E-2</v>
      </c>
      <c r="G449">
        <f t="shared" si="20"/>
        <v>7.3784140064169041E-3</v>
      </c>
    </row>
    <row r="450" spans="2:7">
      <c r="B450">
        <v>289.3</v>
      </c>
      <c r="C450">
        <f t="shared" si="18"/>
        <v>4.5627376425856347E-3</v>
      </c>
      <c r="D450">
        <v>125.31</v>
      </c>
      <c r="E450">
        <f t="shared" si="19"/>
        <v>-7.0225839917005262E-3</v>
      </c>
      <c r="G450">
        <f t="shared" si="20"/>
        <v>-1.5021782329631712E-3</v>
      </c>
    </row>
    <row r="451" spans="2:7">
      <c r="B451">
        <v>290.62</v>
      </c>
      <c r="C451">
        <f t="shared" ref="C451:C514" si="21">(B452/B451)-1</f>
        <v>-7.8797054572982139E-3</v>
      </c>
      <c r="D451">
        <v>124.43</v>
      </c>
      <c r="E451">
        <f t="shared" ref="E451:E514" si="22">(D452/D451)-1</f>
        <v>-8.6795788796915074E-3</v>
      </c>
      <c r="G451">
        <f t="shared" si="20"/>
        <v>-8.2984391939211043E-3</v>
      </c>
    </row>
    <row r="452" spans="2:7">
      <c r="B452">
        <v>288.33</v>
      </c>
      <c r="C452">
        <f t="shared" si="21"/>
        <v>-1.1445219019872166E-3</v>
      </c>
      <c r="D452">
        <v>123.35</v>
      </c>
      <c r="E452">
        <f t="shared" si="22"/>
        <v>-9.7284150790422075E-4</v>
      </c>
      <c r="G452">
        <f t="shared" ref="G452:G515" si="23">C452*$J$5+E452*$J$6</f>
        <v>-1.0546472156847684E-3</v>
      </c>
    </row>
    <row r="453" spans="2:7">
      <c r="B453">
        <v>288</v>
      </c>
      <c r="C453">
        <f t="shared" si="21"/>
        <v>9.2361111111112226E-3</v>
      </c>
      <c r="D453">
        <v>123.23</v>
      </c>
      <c r="E453">
        <f t="shared" si="22"/>
        <v>-4.8689442505889247E-4</v>
      </c>
      <c r="G453">
        <f t="shared" si="23"/>
        <v>4.1461177129261673E-3</v>
      </c>
    </row>
    <row r="454" spans="2:7">
      <c r="B454">
        <v>290.66000000000003</v>
      </c>
      <c r="C454">
        <f t="shared" si="21"/>
        <v>6.6744650106653758E-3</v>
      </c>
      <c r="D454">
        <v>123.17</v>
      </c>
      <c r="E454">
        <f t="shared" si="22"/>
        <v>6.3327108873914018E-3</v>
      </c>
      <c r="G454">
        <f t="shared" si="23"/>
        <v>6.495556727131451E-3</v>
      </c>
    </row>
    <row r="455" spans="2:7">
      <c r="B455">
        <v>292.60000000000002</v>
      </c>
      <c r="C455">
        <f t="shared" si="21"/>
        <v>7.1770334928229484E-3</v>
      </c>
      <c r="D455">
        <v>123.95</v>
      </c>
      <c r="E455">
        <f t="shared" si="22"/>
        <v>3.3884630899556623E-3</v>
      </c>
      <c r="G455">
        <f t="shared" si="23"/>
        <v>5.1937168869219241E-3</v>
      </c>
    </row>
    <row r="456" spans="2:7">
      <c r="B456">
        <v>294.7</v>
      </c>
      <c r="C456">
        <f t="shared" si="21"/>
        <v>-6.7865626060400475E-3</v>
      </c>
      <c r="D456">
        <v>124.37</v>
      </c>
      <c r="E456">
        <f t="shared" si="22"/>
        <v>-8.4425504542897656E-3</v>
      </c>
      <c r="G456">
        <f t="shared" si="23"/>
        <v>-7.6534722445987758E-3</v>
      </c>
    </row>
    <row r="457" spans="2:7">
      <c r="B457">
        <v>292.7</v>
      </c>
      <c r="C457">
        <f t="shared" si="21"/>
        <v>-2.5623505295524485E-3</v>
      </c>
      <c r="D457">
        <v>123.32</v>
      </c>
      <c r="E457">
        <f t="shared" si="22"/>
        <v>4.0544923775542863E-3</v>
      </c>
      <c r="G457">
        <f t="shared" si="23"/>
        <v>9.0156673231792757E-4</v>
      </c>
    </row>
    <row r="458" spans="2:7">
      <c r="B458">
        <v>291.95</v>
      </c>
      <c r="C458">
        <f t="shared" si="21"/>
        <v>-1.0070217502997081E-2</v>
      </c>
      <c r="D458">
        <v>123.82</v>
      </c>
      <c r="E458">
        <f t="shared" si="22"/>
        <v>-1.6152479405587838E-3</v>
      </c>
      <c r="G458">
        <f t="shared" si="23"/>
        <v>-5.6440409370606317E-3</v>
      </c>
    </row>
    <row r="459" spans="2:7">
      <c r="B459">
        <v>289.01</v>
      </c>
      <c r="C459">
        <f t="shared" si="21"/>
        <v>1.3148333967682779E-2</v>
      </c>
      <c r="D459">
        <v>123.62</v>
      </c>
      <c r="E459">
        <f t="shared" si="22"/>
        <v>8.0893059375508614E-4</v>
      </c>
      <c r="G459">
        <f t="shared" si="23"/>
        <v>6.6886563014316317E-3</v>
      </c>
    </row>
    <row r="460" spans="2:7">
      <c r="B460">
        <v>292.81</v>
      </c>
      <c r="C460">
        <f t="shared" si="21"/>
        <v>-6.1814828728526949E-3</v>
      </c>
      <c r="D460">
        <v>123.72</v>
      </c>
      <c r="E460">
        <f t="shared" si="22"/>
        <v>-4.8496605237633439E-3</v>
      </c>
      <c r="G460">
        <f t="shared" si="23"/>
        <v>-5.4842738731044199E-3</v>
      </c>
    </row>
    <row r="461" spans="2:7">
      <c r="B461">
        <v>291</v>
      </c>
      <c r="C461">
        <f t="shared" si="21"/>
        <v>-2.7491408934707806E-3</v>
      </c>
      <c r="D461">
        <v>123.12</v>
      </c>
      <c r="E461">
        <f t="shared" si="22"/>
        <v>1.5756985055230599E-2</v>
      </c>
      <c r="G461">
        <f t="shared" si="23"/>
        <v>6.9388160406743922E-3</v>
      </c>
    </row>
    <row r="462" spans="2:7">
      <c r="B462">
        <v>290.2</v>
      </c>
      <c r="C462">
        <f t="shared" si="21"/>
        <v>2.7567195037905279E-3</v>
      </c>
      <c r="D462">
        <v>125.06</v>
      </c>
      <c r="E462">
        <f t="shared" si="22"/>
        <v>8.2360466975852642E-3</v>
      </c>
      <c r="G462">
        <f t="shared" si="23"/>
        <v>5.6251472897420728E-3</v>
      </c>
    </row>
    <row r="463" spans="2:7">
      <c r="B463">
        <v>291</v>
      </c>
      <c r="C463">
        <f t="shared" si="21"/>
        <v>1.0652920962199497E-2</v>
      </c>
      <c r="D463">
        <v>126.09</v>
      </c>
      <c r="E463">
        <f t="shared" si="22"/>
        <v>-1.3641050043619596E-2</v>
      </c>
      <c r="G463">
        <f t="shared" si="23"/>
        <v>-2.0649728593467994E-3</v>
      </c>
    </row>
    <row r="464" spans="2:7">
      <c r="B464">
        <v>294.10000000000002</v>
      </c>
      <c r="C464">
        <f t="shared" si="21"/>
        <v>-6.8004080244814524E-3</v>
      </c>
      <c r="D464">
        <v>124.37</v>
      </c>
      <c r="E464">
        <f t="shared" si="22"/>
        <v>-5.387151242260968E-3</v>
      </c>
      <c r="G464">
        <f t="shared" si="23"/>
        <v>-6.0605680989890293E-3</v>
      </c>
    </row>
    <row r="465" spans="2:7">
      <c r="B465">
        <v>292.10000000000002</v>
      </c>
      <c r="C465">
        <f t="shared" si="21"/>
        <v>-1.882916809311963E-3</v>
      </c>
      <c r="D465">
        <v>123.7</v>
      </c>
      <c r="E465">
        <f t="shared" si="22"/>
        <v>-1.1236863379143092E-2</v>
      </c>
      <c r="G465">
        <f t="shared" si="23"/>
        <v>-6.7797078386185594E-3</v>
      </c>
    </row>
    <row r="466" spans="2:7">
      <c r="B466">
        <v>291.55</v>
      </c>
      <c r="C466">
        <f t="shared" si="21"/>
        <v>1.46115589092779E-2</v>
      </c>
      <c r="D466">
        <v>122.31</v>
      </c>
      <c r="E466">
        <f t="shared" si="22"/>
        <v>-4.9873272831330029E-3</v>
      </c>
      <c r="G466">
        <f t="shared" si="23"/>
        <v>4.3515419875507916E-3</v>
      </c>
    </row>
    <row r="467" spans="2:7">
      <c r="B467">
        <v>295.81</v>
      </c>
      <c r="C467">
        <f t="shared" si="21"/>
        <v>-1.1527669788039652E-2</v>
      </c>
      <c r="D467">
        <v>121.7</v>
      </c>
      <c r="E467">
        <f t="shared" si="22"/>
        <v>-7.4774034511092546E-3</v>
      </c>
      <c r="G467">
        <f t="shared" si="23"/>
        <v>-9.4073553606565889E-3</v>
      </c>
    </row>
    <row r="468" spans="2:7">
      <c r="B468">
        <v>292.39999999999998</v>
      </c>
      <c r="C468">
        <f t="shared" si="21"/>
        <v>-3.419972640217317E-4</v>
      </c>
      <c r="D468">
        <v>120.79</v>
      </c>
      <c r="E468">
        <f t="shared" si="22"/>
        <v>-1.904131136683529E-3</v>
      </c>
      <c r="G468">
        <f t="shared" si="23"/>
        <v>-1.1597743463601826E-3</v>
      </c>
    </row>
    <row r="469" spans="2:7">
      <c r="B469">
        <v>292.3</v>
      </c>
      <c r="C469">
        <f t="shared" si="21"/>
        <v>-1.8132056106739736E-2</v>
      </c>
      <c r="D469">
        <v>120.56</v>
      </c>
      <c r="E469">
        <f t="shared" si="22"/>
        <v>1.6589250165899294E-4</v>
      </c>
      <c r="G469">
        <f t="shared" si="23"/>
        <v>-8.553080010243002E-3</v>
      </c>
    </row>
    <row r="470" spans="2:7">
      <c r="B470">
        <v>287</v>
      </c>
      <c r="C470">
        <f t="shared" si="21"/>
        <v>4.4947735191638305E-3</v>
      </c>
      <c r="D470">
        <v>120.58</v>
      </c>
      <c r="E470">
        <f t="shared" si="22"/>
        <v>7.2980593796649895E-3</v>
      </c>
      <c r="G470">
        <f t="shared" si="23"/>
        <v>5.962293667136187E-3</v>
      </c>
    </row>
    <row r="471" spans="2:7">
      <c r="B471">
        <v>288.29000000000002</v>
      </c>
      <c r="C471">
        <f t="shared" si="21"/>
        <v>4.8909084602308806E-3</v>
      </c>
      <c r="D471">
        <v>121.46</v>
      </c>
      <c r="E471">
        <f t="shared" si="22"/>
        <v>3.7049234315824631E-3</v>
      </c>
      <c r="G471">
        <f t="shared" si="23"/>
        <v>4.2700452977334344E-3</v>
      </c>
    </row>
    <row r="472" spans="2:7">
      <c r="B472">
        <v>289.7</v>
      </c>
      <c r="C472">
        <f t="shared" si="21"/>
        <v>1.0355540214024295E-4</v>
      </c>
      <c r="D472">
        <v>121.91</v>
      </c>
      <c r="E472">
        <f t="shared" si="22"/>
        <v>-3.1990812894758802E-3</v>
      </c>
      <c r="G472">
        <f t="shared" si="23"/>
        <v>-1.6253749059207978E-3</v>
      </c>
    </row>
    <row r="473" spans="2:7">
      <c r="B473">
        <v>289.73</v>
      </c>
      <c r="C473">
        <f t="shared" si="21"/>
        <v>2.6921616677595406E-3</v>
      </c>
      <c r="D473">
        <v>121.52</v>
      </c>
      <c r="E473">
        <f t="shared" si="22"/>
        <v>-3.2916392363395719E-3</v>
      </c>
      <c r="G473">
        <f t="shared" si="23"/>
        <v>-4.4035810553634514E-4</v>
      </c>
    </row>
    <row r="474" spans="2:7">
      <c r="B474">
        <v>290.51</v>
      </c>
      <c r="C474">
        <f t="shared" si="21"/>
        <v>-2.4439778320882732E-3</v>
      </c>
      <c r="D474">
        <v>121.12</v>
      </c>
      <c r="E474">
        <f t="shared" si="22"/>
        <v>-8.2562747688252891E-4</v>
      </c>
      <c r="G474">
        <f t="shared" si="23"/>
        <v>-1.5967714211380661E-3</v>
      </c>
    </row>
    <row r="475" spans="2:7">
      <c r="B475">
        <v>289.8</v>
      </c>
      <c r="C475">
        <f t="shared" si="21"/>
        <v>3.9682539682539542E-3</v>
      </c>
      <c r="D475">
        <v>121.02</v>
      </c>
      <c r="E475">
        <f t="shared" si="22"/>
        <v>1.4873574615765994E-2</v>
      </c>
      <c r="G475">
        <f t="shared" si="23"/>
        <v>9.677189327226509E-3</v>
      </c>
    </row>
    <row r="476" spans="2:7">
      <c r="B476">
        <v>290.95</v>
      </c>
      <c r="C476">
        <f t="shared" si="21"/>
        <v>1.7185083347648344E-4</v>
      </c>
      <c r="D476">
        <v>122.82</v>
      </c>
      <c r="E476">
        <f t="shared" si="22"/>
        <v>6.595017098192546E-3</v>
      </c>
      <c r="G476">
        <f t="shared" si="23"/>
        <v>3.534378373055343E-3</v>
      </c>
    </row>
    <row r="477" spans="2:7">
      <c r="B477">
        <v>291</v>
      </c>
      <c r="C477">
        <f t="shared" si="21"/>
        <v>-1.0309278350515427E-2</v>
      </c>
      <c r="D477">
        <v>123.63</v>
      </c>
      <c r="E477">
        <f t="shared" si="22"/>
        <v>-1.083879317317793E-2</v>
      </c>
      <c r="G477">
        <f t="shared" si="23"/>
        <v>-1.0586479360179247E-2</v>
      </c>
    </row>
    <row r="478" spans="2:7">
      <c r="B478">
        <v>288</v>
      </c>
      <c r="C478">
        <f t="shared" si="21"/>
        <v>5.3819444444445086E-3</v>
      </c>
      <c r="D478">
        <v>122.29</v>
      </c>
      <c r="E478">
        <f t="shared" si="22"/>
        <v>9.0767846921253614E-3</v>
      </c>
      <c r="G478">
        <f t="shared" si="23"/>
        <v>7.3161933141054365E-3</v>
      </c>
    </row>
    <row r="479" spans="2:7">
      <c r="B479">
        <v>289.55</v>
      </c>
      <c r="C479">
        <f t="shared" si="21"/>
        <v>8.8067691245035107E-3</v>
      </c>
      <c r="D479">
        <v>123.4</v>
      </c>
      <c r="E479">
        <f t="shared" si="22"/>
        <v>1.1183144246353249E-2</v>
      </c>
      <c r="G479">
        <f t="shared" si="23"/>
        <v>1.0050801500791851E-2</v>
      </c>
    </row>
    <row r="480" spans="2:7">
      <c r="B480">
        <v>292.10000000000002</v>
      </c>
      <c r="C480">
        <f t="shared" si="21"/>
        <v>5.1352276617588899E-4</v>
      </c>
      <c r="D480">
        <v>124.78</v>
      </c>
      <c r="E480">
        <f t="shared" si="22"/>
        <v>-4.0070524122448603E-4</v>
      </c>
      <c r="G480">
        <f t="shared" si="23"/>
        <v>3.4924404301792599E-5</v>
      </c>
    </row>
    <row r="481" spans="2:7">
      <c r="B481">
        <v>292.25</v>
      </c>
      <c r="C481">
        <f t="shared" si="21"/>
        <v>3.9349871685199211E-3</v>
      </c>
      <c r="D481">
        <v>124.73</v>
      </c>
      <c r="E481">
        <f t="shared" si="22"/>
        <v>5.6121221839173785E-3</v>
      </c>
      <c r="G481">
        <f t="shared" si="23"/>
        <v>4.8129673490804907E-3</v>
      </c>
    </row>
    <row r="482" spans="2:7">
      <c r="B482">
        <v>293.39999999999998</v>
      </c>
      <c r="C482">
        <f t="shared" si="21"/>
        <v>1.670074982958436E-2</v>
      </c>
      <c r="D482">
        <v>125.43</v>
      </c>
      <c r="E482">
        <f t="shared" si="22"/>
        <v>2.1525950729490706E-3</v>
      </c>
      <c r="G482">
        <f t="shared" si="23"/>
        <v>9.0847908144857849E-3</v>
      </c>
    </row>
    <row r="483" spans="2:7">
      <c r="B483">
        <v>298.3</v>
      </c>
      <c r="C483">
        <f t="shared" si="21"/>
        <v>3.5199463627222372E-3</v>
      </c>
      <c r="D483">
        <v>125.7</v>
      </c>
      <c r="E483">
        <f t="shared" si="22"/>
        <v>-9.7056483691329021E-3</v>
      </c>
      <c r="G483">
        <f t="shared" si="23"/>
        <v>-3.4036524794039294E-3</v>
      </c>
    </row>
    <row r="484" spans="2:7">
      <c r="B484">
        <v>299.35000000000002</v>
      </c>
      <c r="C484">
        <f t="shared" si="21"/>
        <v>-8.3514280942043051E-4</v>
      </c>
      <c r="D484">
        <v>124.48</v>
      </c>
      <c r="E484">
        <f t="shared" si="22"/>
        <v>-4.6593830334190622E-3</v>
      </c>
      <c r="G484">
        <f t="shared" si="23"/>
        <v>-2.8371325666837143E-3</v>
      </c>
    </row>
    <row r="485" spans="2:7">
      <c r="B485">
        <v>299.10000000000002</v>
      </c>
      <c r="C485">
        <f t="shared" si="21"/>
        <v>6.6867268472070585E-4</v>
      </c>
      <c r="D485">
        <v>123.9</v>
      </c>
      <c r="E485">
        <f t="shared" si="22"/>
        <v>4.1162227602904444E-3</v>
      </c>
      <c r="G485">
        <f t="shared" si="23"/>
        <v>2.4734651492814641E-3</v>
      </c>
    </row>
    <row r="486" spans="2:7">
      <c r="B486">
        <v>299.3</v>
      </c>
      <c r="C486">
        <f t="shared" si="21"/>
        <v>1.3030404276645369E-2</v>
      </c>
      <c r="D486">
        <v>124.41</v>
      </c>
      <c r="E486">
        <f t="shared" si="22"/>
        <v>2.8936580660718914E-3</v>
      </c>
      <c r="G486">
        <f t="shared" si="23"/>
        <v>7.7238176354101533E-3</v>
      </c>
    </row>
    <row r="487" spans="2:7">
      <c r="B487">
        <v>303.2</v>
      </c>
      <c r="C487">
        <f t="shared" si="21"/>
        <v>-1.8139841688654679E-3</v>
      </c>
      <c r="D487">
        <v>124.77</v>
      </c>
      <c r="E487">
        <f t="shared" si="22"/>
        <v>-3.6066362106276229E-3</v>
      </c>
      <c r="G487">
        <f t="shared" si="23"/>
        <v>-2.7524375127279564E-3</v>
      </c>
    </row>
    <row r="488" spans="2:7">
      <c r="B488">
        <v>302.64999999999998</v>
      </c>
      <c r="C488">
        <f t="shared" si="21"/>
        <v>-4.9892615232115523E-3</v>
      </c>
      <c r="D488">
        <v>124.32</v>
      </c>
      <c r="E488">
        <f t="shared" si="22"/>
        <v>1.7696267696267753E-3</v>
      </c>
      <c r="G488">
        <f t="shared" si="23"/>
        <v>-1.4509835019106874E-3</v>
      </c>
    </row>
    <row r="489" spans="2:7">
      <c r="B489">
        <v>301.14</v>
      </c>
      <c r="C489">
        <f t="shared" si="21"/>
        <v>1.8596001859600975E-3</v>
      </c>
      <c r="D489">
        <v>124.54</v>
      </c>
      <c r="E489">
        <f t="shared" si="22"/>
        <v>-9.6354584872337945E-4</v>
      </c>
      <c r="G489">
        <f t="shared" si="23"/>
        <v>3.8168323680329709E-4</v>
      </c>
    </row>
    <row r="490" spans="2:7">
      <c r="B490">
        <v>301.7</v>
      </c>
      <c r="C490">
        <f t="shared" si="21"/>
        <v>4.6072257209148759E-3</v>
      </c>
      <c r="D490">
        <v>124.42</v>
      </c>
      <c r="E490">
        <f t="shared" si="22"/>
        <v>-3.0541713550875649E-3</v>
      </c>
      <c r="G490">
        <f t="shared" si="23"/>
        <v>5.9648435162759769E-4</v>
      </c>
    </row>
    <row r="491" spans="2:7">
      <c r="B491">
        <v>303.08999999999997</v>
      </c>
      <c r="C491">
        <f t="shared" si="21"/>
        <v>5.0150120426277756E-3</v>
      </c>
      <c r="D491">
        <v>124.04</v>
      </c>
      <c r="E491">
        <f t="shared" si="22"/>
        <v>-2.6604321186715074E-3</v>
      </c>
      <c r="G491">
        <f t="shared" si="23"/>
        <v>9.9691702418760065E-4</v>
      </c>
    </row>
    <row r="492" spans="2:7">
      <c r="B492">
        <v>304.61</v>
      </c>
      <c r="C492">
        <f t="shared" si="21"/>
        <v>-7.7476117002068801E-3</v>
      </c>
      <c r="D492">
        <v>123.71</v>
      </c>
      <c r="E492">
        <f t="shared" si="22"/>
        <v>-1.366098132729765E-2</v>
      </c>
      <c r="G492">
        <f t="shared" si="23"/>
        <v>-1.0843260699988899E-2</v>
      </c>
    </row>
    <row r="493" spans="2:7">
      <c r="B493">
        <v>302.25</v>
      </c>
      <c r="C493">
        <f t="shared" si="21"/>
        <v>7.6095947063690161E-3</v>
      </c>
      <c r="D493">
        <v>122.02</v>
      </c>
      <c r="E493">
        <f t="shared" si="22"/>
        <v>-7.4577938042943437E-3</v>
      </c>
      <c r="G493">
        <f t="shared" si="23"/>
        <v>-2.7818317896325349E-4</v>
      </c>
    </row>
    <row r="494" spans="2:7">
      <c r="B494">
        <v>304.55</v>
      </c>
      <c r="C494">
        <f t="shared" si="21"/>
        <v>5.1551469381054815E-3</v>
      </c>
      <c r="D494">
        <v>121.11</v>
      </c>
      <c r="E494">
        <f t="shared" si="22"/>
        <v>-3.4679217240525251E-3</v>
      </c>
      <c r="G494">
        <f t="shared" si="23"/>
        <v>6.409704934657646E-4</v>
      </c>
    </row>
    <row r="495" spans="2:7">
      <c r="B495">
        <v>306.12</v>
      </c>
      <c r="C495">
        <f t="shared" si="21"/>
        <v>-4.9327061283156448E-3</v>
      </c>
      <c r="D495">
        <v>120.69</v>
      </c>
      <c r="E495">
        <f t="shared" si="22"/>
        <v>1.4085674040931195E-3</v>
      </c>
      <c r="G495">
        <f t="shared" si="23"/>
        <v>-1.6130494340996565E-3</v>
      </c>
    </row>
    <row r="496" spans="2:7">
      <c r="B496">
        <v>304.61</v>
      </c>
      <c r="C496">
        <f t="shared" si="21"/>
        <v>2.7576245034632851E-3</v>
      </c>
      <c r="D496">
        <v>120.86</v>
      </c>
      <c r="E496">
        <f t="shared" si="22"/>
        <v>-5.6263445308620819E-3</v>
      </c>
      <c r="G496">
        <f t="shared" si="23"/>
        <v>-1.6313832860060452E-3</v>
      </c>
    </row>
    <row r="497" spans="2:7">
      <c r="B497">
        <v>305.45</v>
      </c>
      <c r="C497">
        <f t="shared" si="21"/>
        <v>9.0031101653298418E-3</v>
      </c>
      <c r="D497">
        <v>120.18</v>
      </c>
      <c r="E497">
        <f t="shared" si="22"/>
        <v>-8.5704776169079899E-3</v>
      </c>
      <c r="G497">
        <f t="shared" si="23"/>
        <v>-1.9666303867166366E-4</v>
      </c>
    </row>
    <row r="498" spans="2:7">
      <c r="B498">
        <v>308.2</v>
      </c>
      <c r="C498">
        <f t="shared" si="21"/>
        <v>-6.489292667098967E-4</v>
      </c>
      <c r="D498">
        <v>119.15</v>
      </c>
      <c r="E498">
        <f t="shared" si="22"/>
        <v>-5.0356693243811534E-3</v>
      </c>
      <c r="G498">
        <f t="shared" si="23"/>
        <v>-2.9453876869008E-3</v>
      </c>
    </row>
    <row r="499" spans="2:7">
      <c r="B499">
        <v>308</v>
      </c>
      <c r="C499">
        <f t="shared" si="21"/>
        <v>1.0714285714285676E-2</v>
      </c>
      <c r="D499">
        <v>118.55</v>
      </c>
      <c r="E499">
        <f t="shared" si="22"/>
        <v>-5.904681568957848E-4</v>
      </c>
      <c r="G499">
        <f t="shared" si="23"/>
        <v>4.7962470627221808E-3</v>
      </c>
    </row>
    <row r="500" spans="2:7">
      <c r="B500">
        <v>311.3</v>
      </c>
      <c r="C500">
        <f t="shared" si="21"/>
        <v>1.3748795374237011E-2</v>
      </c>
      <c r="D500">
        <v>118.48</v>
      </c>
      <c r="E500">
        <f t="shared" si="22"/>
        <v>-2.1100607697501772E-3</v>
      </c>
      <c r="G500">
        <f t="shared" si="23"/>
        <v>5.4466841828597172E-3</v>
      </c>
    </row>
    <row r="501" spans="2:7">
      <c r="B501">
        <v>315.58</v>
      </c>
      <c r="C501">
        <f t="shared" si="21"/>
        <v>-8.4922998922618564E-3</v>
      </c>
      <c r="D501">
        <v>118.23</v>
      </c>
      <c r="E501">
        <f t="shared" si="22"/>
        <v>-2.9603315571344879E-3</v>
      </c>
      <c r="G501">
        <f t="shared" si="23"/>
        <v>-5.5963144688226793E-3</v>
      </c>
    </row>
    <row r="502" spans="2:7">
      <c r="B502">
        <v>312.89999999999998</v>
      </c>
      <c r="C502">
        <f t="shared" si="21"/>
        <v>1.3199105145413892E-2</v>
      </c>
      <c r="D502">
        <v>117.88</v>
      </c>
      <c r="E502">
        <f t="shared" si="22"/>
        <v>1.2046148625721065E-2</v>
      </c>
      <c r="G502">
        <f t="shared" si="23"/>
        <v>1.2595532407354698E-2</v>
      </c>
    </row>
    <row r="503" spans="2:7">
      <c r="B503">
        <v>317.02999999999997</v>
      </c>
      <c r="C503">
        <f t="shared" si="21"/>
        <v>9.3681985931932665E-3</v>
      </c>
      <c r="D503">
        <v>119.3</v>
      </c>
      <c r="E503">
        <f t="shared" si="22"/>
        <v>-1.6848281642916962E-2</v>
      </c>
      <c r="G503">
        <f t="shared" si="23"/>
        <v>-4.3561288104104401E-3</v>
      </c>
    </row>
    <row r="504" spans="2:7">
      <c r="B504">
        <v>320</v>
      </c>
      <c r="C504">
        <f t="shared" si="21"/>
        <v>1.6249999999999876E-3</v>
      </c>
      <c r="D504">
        <v>117.29</v>
      </c>
      <c r="E504">
        <f t="shared" si="22"/>
        <v>-4.2629380168823783E-4</v>
      </c>
      <c r="G504">
        <f t="shared" si="23"/>
        <v>5.5114769481620152E-4</v>
      </c>
    </row>
    <row r="505" spans="2:7">
      <c r="B505">
        <v>320.52</v>
      </c>
      <c r="C505">
        <f t="shared" si="21"/>
        <v>1.7097217022338684E-2</v>
      </c>
      <c r="D505">
        <v>117.24</v>
      </c>
      <c r="E505">
        <f t="shared" si="22"/>
        <v>7.164790174002178E-3</v>
      </c>
      <c r="G505">
        <f t="shared" si="23"/>
        <v>1.1897591567234524E-2</v>
      </c>
    </row>
    <row r="506" spans="2:7">
      <c r="B506">
        <v>326</v>
      </c>
      <c r="C506">
        <f t="shared" si="21"/>
        <v>-3.9877300613497813E-3</v>
      </c>
      <c r="D506">
        <v>118.08</v>
      </c>
      <c r="E506">
        <f t="shared" si="22"/>
        <v>-1.3211382113821113E-2</v>
      </c>
      <c r="G506">
        <f t="shared" si="23"/>
        <v>-8.8163119108185251E-3</v>
      </c>
    </row>
    <row r="507" spans="2:7">
      <c r="B507">
        <v>324.7</v>
      </c>
      <c r="C507">
        <f t="shared" si="21"/>
        <v>2.0942408376962707E-3</v>
      </c>
      <c r="D507">
        <v>116.52</v>
      </c>
      <c r="E507">
        <f t="shared" si="22"/>
        <v>-3.2612427051149639E-3</v>
      </c>
      <c r="G507">
        <f t="shared" si="23"/>
        <v>-7.0935479696541091E-4</v>
      </c>
    </row>
    <row r="508" spans="2:7">
      <c r="B508">
        <v>325.38</v>
      </c>
      <c r="C508">
        <f t="shared" si="21"/>
        <v>1.4506115925994267E-2</v>
      </c>
      <c r="D508">
        <v>116.14</v>
      </c>
      <c r="E508">
        <f t="shared" si="22"/>
        <v>7.7492681246771333E-4</v>
      </c>
      <c r="G508">
        <f t="shared" si="23"/>
        <v>7.3178384250631159E-3</v>
      </c>
    </row>
    <row r="509" spans="2:7">
      <c r="B509">
        <v>330.1</v>
      </c>
      <c r="C509">
        <f t="shared" si="21"/>
        <v>5.5437746137534383E-3</v>
      </c>
      <c r="D509">
        <v>116.23</v>
      </c>
      <c r="E509">
        <f t="shared" si="22"/>
        <v>-4.215779058762914E-3</v>
      </c>
      <c r="G509">
        <f t="shared" si="23"/>
        <v>4.3464826619112745E-4</v>
      </c>
    </row>
    <row r="510" spans="2:7">
      <c r="B510">
        <v>331.93</v>
      </c>
      <c r="C510">
        <f t="shared" si="21"/>
        <v>2.4704003856235168E-3</v>
      </c>
      <c r="D510">
        <v>115.74</v>
      </c>
      <c r="E510">
        <f t="shared" si="22"/>
        <v>4.147226542249971E-3</v>
      </c>
      <c r="G510">
        <f t="shared" si="23"/>
        <v>3.3482188786174657E-3</v>
      </c>
    </row>
    <row r="511" spans="2:7">
      <c r="B511">
        <v>332.75</v>
      </c>
      <c r="C511">
        <f t="shared" si="21"/>
        <v>-2.1036814425245964E-4</v>
      </c>
      <c r="D511">
        <v>116.22</v>
      </c>
      <c r="E511">
        <f t="shared" si="22"/>
        <v>5.2486663224917685E-3</v>
      </c>
      <c r="G511">
        <f t="shared" si="23"/>
        <v>2.647436399088144E-3</v>
      </c>
    </row>
    <row r="512" spans="2:7">
      <c r="B512">
        <v>332.68</v>
      </c>
      <c r="C512">
        <f t="shared" si="21"/>
        <v>-5.5007815318023345E-3</v>
      </c>
      <c r="D512">
        <v>116.83</v>
      </c>
      <c r="E512">
        <f t="shared" si="22"/>
        <v>1.6262946161087477E-3</v>
      </c>
      <c r="G512">
        <f t="shared" si="23"/>
        <v>-1.7697571683708828E-3</v>
      </c>
    </row>
    <row r="513" spans="2:7">
      <c r="B513">
        <v>330.85</v>
      </c>
      <c r="C513">
        <f t="shared" si="21"/>
        <v>-1.1636693365573603E-2</v>
      </c>
      <c r="D513">
        <v>117.02</v>
      </c>
      <c r="E513">
        <f t="shared" si="22"/>
        <v>7.4346265595623962E-3</v>
      </c>
      <c r="G513">
        <f t="shared" si="23"/>
        <v>-1.6528573847649063E-3</v>
      </c>
    </row>
    <row r="514" spans="2:7">
      <c r="B514">
        <v>327</v>
      </c>
      <c r="C514">
        <f t="shared" si="21"/>
        <v>1.5290519877675823E-2</v>
      </c>
      <c r="D514">
        <v>117.89</v>
      </c>
      <c r="E514">
        <f t="shared" si="22"/>
        <v>1.068792942573582E-2</v>
      </c>
      <c r="G514">
        <f t="shared" si="23"/>
        <v>1.2881063776085232E-2</v>
      </c>
    </row>
    <row r="515" spans="2:7">
      <c r="B515">
        <v>332</v>
      </c>
      <c r="C515">
        <f t="shared" ref="C515:C578" si="24">(B516/B515)-1</f>
        <v>1.2530120481927698E-2</v>
      </c>
      <c r="D515">
        <v>119.15</v>
      </c>
      <c r="E515">
        <f t="shared" ref="E515:E578" si="25">(D516/D515)-1</f>
        <v>-2.2660511959715635E-3</v>
      </c>
      <c r="G515">
        <f t="shared" si="23"/>
        <v>4.7843246085474342E-3</v>
      </c>
    </row>
    <row r="516" spans="2:7">
      <c r="B516">
        <v>336.16</v>
      </c>
      <c r="C516">
        <f t="shared" si="24"/>
        <v>2.6772965254640013E-4</v>
      </c>
      <c r="D516">
        <v>118.88</v>
      </c>
      <c r="E516">
        <f t="shared" si="25"/>
        <v>2.4394347240914716E-3</v>
      </c>
      <c r="G516">
        <f t="shared" ref="G516:G579" si="26">C516*$J$5+E516*$J$6</f>
        <v>1.404617257500245E-3</v>
      </c>
    </row>
    <row r="517" spans="2:7">
      <c r="B517">
        <v>336.25</v>
      </c>
      <c r="C517">
        <f t="shared" si="24"/>
        <v>1.0646840148698766E-2</v>
      </c>
      <c r="D517">
        <v>119.17</v>
      </c>
      <c r="E517">
        <f t="shared" si="25"/>
        <v>1.3258370395233587E-2</v>
      </c>
      <c r="G517">
        <f t="shared" si="26"/>
        <v>1.2013976232759745E-2</v>
      </c>
    </row>
    <row r="518" spans="2:7">
      <c r="B518">
        <v>339.83</v>
      </c>
      <c r="C518">
        <f t="shared" si="24"/>
        <v>1.491922431804138E-2</v>
      </c>
      <c r="D518">
        <v>120.75</v>
      </c>
      <c r="E518">
        <f t="shared" si="25"/>
        <v>-2.8157349896480444E-3</v>
      </c>
      <c r="G518">
        <f t="shared" si="26"/>
        <v>5.634973120465965E-3</v>
      </c>
    </row>
    <row r="519" spans="2:7">
      <c r="B519">
        <v>344.9</v>
      </c>
      <c r="C519">
        <f t="shared" si="24"/>
        <v>6.1177152797913248E-3</v>
      </c>
      <c r="D519">
        <v>120.41</v>
      </c>
      <c r="E519">
        <f t="shared" si="25"/>
        <v>6.5609168673699259E-3</v>
      </c>
      <c r="G519">
        <f t="shared" si="26"/>
        <v>6.3497313108887227E-3</v>
      </c>
    </row>
    <row r="520" spans="2:7">
      <c r="B520">
        <v>347.01</v>
      </c>
      <c r="C520">
        <f t="shared" si="24"/>
        <v>-1.4437624275957406E-2</v>
      </c>
      <c r="D520">
        <v>121.2</v>
      </c>
      <c r="E520">
        <f t="shared" si="25"/>
        <v>6.6006600660073467E-4</v>
      </c>
      <c r="G520">
        <f t="shared" si="26"/>
        <v>-6.5339834130382192E-3</v>
      </c>
    </row>
    <row r="521" spans="2:7">
      <c r="B521">
        <v>342</v>
      </c>
      <c r="C521">
        <f t="shared" si="24"/>
        <v>-1.1929824561403457E-2</v>
      </c>
      <c r="D521">
        <v>121.28</v>
      </c>
      <c r="E521">
        <f t="shared" si="25"/>
        <v>6.926121372031746E-3</v>
      </c>
      <c r="G521">
        <f t="shared" si="26"/>
        <v>-2.058736865250127E-3</v>
      </c>
    </row>
    <row r="522" spans="2:7">
      <c r="B522">
        <v>337.92</v>
      </c>
      <c r="C522">
        <f t="shared" si="24"/>
        <v>1.7459753787878451E-3</v>
      </c>
      <c r="D522">
        <v>122.12</v>
      </c>
      <c r="E522">
        <f t="shared" si="25"/>
        <v>4.0124467736653013E-3</v>
      </c>
      <c r="G522">
        <f t="shared" si="26"/>
        <v>2.9324731540061938E-3</v>
      </c>
    </row>
    <row r="523" spans="2:7">
      <c r="B523">
        <v>338.51</v>
      </c>
      <c r="C523">
        <f t="shared" si="24"/>
        <v>3.4267820743849597E-3</v>
      </c>
      <c r="D523">
        <v>122.61</v>
      </c>
      <c r="E523">
        <f t="shared" si="25"/>
        <v>8.9715357638042725E-4</v>
      </c>
      <c r="G523">
        <f t="shared" si="26"/>
        <v>2.102521555679587E-3</v>
      </c>
    </row>
    <row r="524" spans="2:7">
      <c r="B524">
        <v>339.67</v>
      </c>
      <c r="C524">
        <f t="shared" si="24"/>
        <v>-1.0156917007683841E-2</v>
      </c>
      <c r="D524">
        <v>122.72</v>
      </c>
      <c r="E524">
        <f t="shared" si="25"/>
        <v>2.2001303780965209E-3</v>
      </c>
      <c r="G524">
        <f t="shared" si="26"/>
        <v>-3.6880027012278212E-3</v>
      </c>
    </row>
    <row r="525" spans="2:7">
      <c r="B525">
        <v>336.22</v>
      </c>
      <c r="C525">
        <f t="shared" si="24"/>
        <v>1.02016536791385E-2</v>
      </c>
      <c r="D525">
        <v>122.99</v>
      </c>
      <c r="E525">
        <f t="shared" si="25"/>
        <v>4.3906008618588288E-3</v>
      </c>
      <c r="G525">
        <f t="shared" si="26"/>
        <v>7.1595675292925928E-3</v>
      </c>
    </row>
    <row r="526" spans="2:7">
      <c r="B526">
        <v>339.65</v>
      </c>
      <c r="C526">
        <f t="shared" si="24"/>
        <v>-3.3858383630206434E-3</v>
      </c>
      <c r="D526">
        <v>123.53</v>
      </c>
      <c r="E526">
        <f t="shared" si="25"/>
        <v>9.7142394560023604E-4</v>
      </c>
      <c r="G526">
        <f t="shared" si="26"/>
        <v>-1.1048115444576129E-3</v>
      </c>
    </row>
    <row r="527" spans="2:7">
      <c r="B527">
        <v>338.5</v>
      </c>
      <c r="C527">
        <f t="shared" si="24"/>
        <v>4.0472673559823757E-3</v>
      </c>
      <c r="D527">
        <v>123.65</v>
      </c>
      <c r="E527">
        <f t="shared" si="25"/>
        <v>8.249090173877871E-3</v>
      </c>
      <c r="G527">
        <f t="shared" si="26"/>
        <v>6.2469216011506682E-3</v>
      </c>
    </row>
    <row r="528" spans="2:7">
      <c r="B528">
        <v>339.87</v>
      </c>
      <c r="C528">
        <f t="shared" si="24"/>
        <v>4.6194133050871944E-3</v>
      </c>
      <c r="D528">
        <v>124.67</v>
      </c>
      <c r="E528">
        <f t="shared" si="25"/>
        <v>4.8127055426325782E-3</v>
      </c>
      <c r="G528">
        <f t="shared" si="26"/>
        <v>4.7206017914422031E-3</v>
      </c>
    </row>
    <row r="529" spans="2:7">
      <c r="B529">
        <v>341.44</v>
      </c>
      <c r="C529">
        <f t="shared" si="24"/>
        <v>3.8659793814432852E-3</v>
      </c>
      <c r="D529">
        <v>125.27</v>
      </c>
      <c r="E529">
        <f t="shared" si="25"/>
        <v>3.3527580426280235E-3</v>
      </c>
      <c r="G529">
        <f t="shared" si="26"/>
        <v>3.5973080105734957E-3</v>
      </c>
    </row>
    <row r="530" spans="2:7">
      <c r="B530">
        <v>342.76</v>
      </c>
      <c r="C530">
        <f t="shared" si="24"/>
        <v>-4.2595402030575213E-3</v>
      </c>
      <c r="D530">
        <v>125.69</v>
      </c>
      <c r="E530">
        <f t="shared" si="25"/>
        <v>-1.5912164850028221E-3</v>
      </c>
      <c r="G530">
        <f t="shared" si="26"/>
        <v>-2.8626727366558862E-3</v>
      </c>
    </row>
    <row r="531" spans="2:7">
      <c r="B531">
        <v>341.3</v>
      </c>
      <c r="C531">
        <f t="shared" si="24"/>
        <v>1.0547905068854391E-2</v>
      </c>
      <c r="D531">
        <v>125.49</v>
      </c>
      <c r="E531">
        <f t="shared" si="25"/>
        <v>2.6296916088930367E-3</v>
      </c>
      <c r="G531">
        <f t="shared" si="26"/>
        <v>6.4027203225646223E-3</v>
      </c>
    </row>
    <row r="532" spans="2:7">
      <c r="B532">
        <v>344.9</v>
      </c>
      <c r="C532">
        <f t="shared" si="24"/>
        <v>-3.3053058857639428E-3</v>
      </c>
      <c r="D532">
        <v>125.82</v>
      </c>
      <c r="E532">
        <f t="shared" si="25"/>
        <v>-1.3670322683198233E-2</v>
      </c>
      <c r="G532">
        <f t="shared" si="26"/>
        <v>-8.7313921792207955E-3</v>
      </c>
    </row>
    <row r="533" spans="2:7">
      <c r="B533">
        <v>343.76</v>
      </c>
      <c r="C533">
        <f t="shared" si="24"/>
        <v>4.3925994880149588E-3</v>
      </c>
      <c r="D533">
        <v>124.1</v>
      </c>
      <c r="E533">
        <f t="shared" si="25"/>
        <v>-4.8348106365825316E-4</v>
      </c>
      <c r="G533">
        <f t="shared" si="26"/>
        <v>1.8399713192140325E-3</v>
      </c>
    </row>
    <row r="534" spans="2:7">
      <c r="B534">
        <v>345.27</v>
      </c>
      <c r="C534">
        <f t="shared" si="24"/>
        <v>6.6614533553455146E-4</v>
      </c>
      <c r="D534">
        <v>124.04</v>
      </c>
      <c r="E534">
        <f t="shared" si="25"/>
        <v>1.8542405675587847E-3</v>
      </c>
      <c r="G534">
        <f t="shared" si="26"/>
        <v>1.2881131894992377E-3</v>
      </c>
    </row>
    <row r="535" spans="2:7">
      <c r="B535">
        <v>345.5</v>
      </c>
      <c r="C535">
        <f t="shared" si="24"/>
        <v>-8.6830680173661801E-3</v>
      </c>
      <c r="D535">
        <v>124.27</v>
      </c>
      <c r="E535">
        <f t="shared" si="25"/>
        <v>-9.7368632815643119E-3</v>
      </c>
      <c r="G535">
        <f t="shared" si="26"/>
        <v>-9.2347298381739024E-3</v>
      </c>
    </row>
    <row r="536" spans="2:7">
      <c r="B536">
        <v>342.5</v>
      </c>
      <c r="C536">
        <f t="shared" si="24"/>
        <v>-7.5912408759124528E-3</v>
      </c>
      <c r="D536">
        <v>123.06</v>
      </c>
      <c r="E536">
        <f t="shared" si="25"/>
        <v>-1.4627011214042307E-3</v>
      </c>
      <c r="G536">
        <f t="shared" si="26"/>
        <v>-4.3829503144273982E-3</v>
      </c>
    </row>
    <row r="537" spans="2:7">
      <c r="B537">
        <v>339.9</v>
      </c>
      <c r="C537">
        <f t="shared" si="24"/>
        <v>1.1768167107973015E-2</v>
      </c>
      <c r="D537">
        <v>122.88</v>
      </c>
      <c r="E537">
        <f t="shared" si="25"/>
        <v>-3.7434895833332593E-3</v>
      </c>
      <c r="G537">
        <f t="shared" si="26"/>
        <v>3.6478148300741801E-3</v>
      </c>
    </row>
    <row r="538" spans="2:7">
      <c r="B538">
        <v>343.9</v>
      </c>
      <c r="C538">
        <f t="shared" si="24"/>
        <v>-4.7979063681301559E-3</v>
      </c>
      <c r="D538">
        <v>122.42</v>
      </c>
      <c r="E538">
        <f t="shared" si="25"/>
        <v>1.2007841855905976E-2</v>
      </c>
      <c r="G538">
        <f t="shared" si="26"/>
        <v>3.9999028271527608E-3</v>
      </c>
    </row>
    <row r="539" spans="2:7">
      <c r="B539">
        <v>342.25</v>
      </c>
      <c r="C539">
        <f t="shared" si="24"/>
        <v>-8.0350620891161961E-3</v>
      </c>
      <c r="D539">
        <v>123.89</v>
      </c>
      <c r="E539">
        <f t="shared" si="25"/>
        <v>-3.9551214787311162E-3</v>
      </c>
      <c r="G539">
        <f t="shared" si="26"/>
        <v>-5.8992131795796068E-3</v>
      </c>
    </row>
    <row r="540" spans="2:7">
      <c r="B540">
        <v>339.5</v>
      </c>
      <c r="C540">
        <f t="shared" si="24"/>
        <v>2.4153166421207573E-2</v>
      </c>
      <c r="D540">
        <v>123.4</v>
      </c>
      <c r="E540">
        <f t="shared" si="25"/>
        <v>-6.239870340356668E-3</v>
      </c>
      <c r="G540">
        <f t="shared" si="26"/>
        <v>8.2424116765286923E-3</v>
      </c>
    </row>
    <row r="541" spans="2:7">
      <c r="B541">
        <v>347.7</v>
      </c>
      <c r="C541">
        <f t="shared" si="24"/>
        <v>-5.7520851308601184E-4</v>
      </c>
      <c r="D541">
        <v>122.63</v>
      </c>
      <c r="E541">
        <f t="shared" si="25"/>
        <v>1.1579548234526671E-2</v>
      </c>
      <c r="G541">
        <f t="shared" si="26"/>
        <v>5.7878066442892282E-3</v>
      </c>
    </row>
    <row r="542" spans="2:7">
      <c r="B542">
        <v>347.5</v>
      </c>
      <c r="C542">
        <f t="shared" si="24"/>
        <v>-2.2359712230215822E-2</v>
      </c>
      <c r="D542">
        <v>124.05</v>
      </c>
      <c r="E542">
        <f t="shared" si="25"/>
        <v>-9.6735187424412672E-4</v>
      </c>
      <c r="G542">
        <f t="shared" si="26"/>
        <v>-1.1160811583864639E-2</v>
      </c>
    </row>
    <row r="543" spans="2:7">
      <c r="B543">
        <v>339.73</v>
      </c>
      <c r="C543">
        <f t="shared" si="24"/>
        <v>-2.2753362964707313E-2</v>
      </c>
      <c r="D543">
        <v>123.93</v>
      </c>
      <c r="E543">
        <f t="shared" si="25"/>
        <v>-1.2749132574840782E-2</v>
      </c>
      <c r="G543">
        <f t="shared" si="26"/>
        <v>-1.7516148355612184E-2</v>
      </c>
    </row>
    <row r="544" spans="2:7">
      <c r="B544">
        <v>332</v>
      </c>
      <c r="C544">
        <f t="shared" si="24"/>
        <v>-6.8674698795180289E-3</v>
      </c>
      <c r="D544">
        <v>122.35</v>
      </c>
      <c r="E544">
        <f t="shared" si="25"/>
        <v>-5.4760931753166098E-3</v>
      </c>
      <c r="G544">
        <f t="shared" si="26"/>
        <v>-6.1390841748685861E-3</v>
      </c>
    </row>
    <row r="545" spans="2:7">
      <c r="B545">
        <v>329.72</v>
      </c>
      <c r="C545">
        <f t="shared" si="24"/>
        <v>-1.185854664563879E-2</v>
      </c>
      <c r="D545">
        <v>121.68</v>
      </c>
      <c r="E545">
        <f t="shared" si="25"/>
        <v>9.1222879684418334E-3</v>
      </c>
      <c r="G545">
        <f t="shared" si="26"/>
        <v>-8.7507972516758219E-4</v>
      </c>
    </row>
    <row r="546" spans="2:7">
      <c r="B546">
        <v>325.81</v>
      </c>
      <c r="C546">
        <f t="shared" si="24"/>
        <v>1.5070132899542843E-2</v>
      </c>
      <c r="D546">
        <v>122.79</v>
      </c>
      <c r="E546">
        <f t="shared" si="25"/>
        <v>9.8542226565681013E-3</v>
      </c>
      <c r="G546">
        <f t="shared" si="26"/>
        <v>1.2339603887345566E-2</v>
      </c>
    </row>
    <row r="547" spans="2:7">
      <c r="B547">
        <v>330.72</v>
      </c>
      <c r="C547">
        <f t="shared" si="24"/>
        <v>-8.5268505079827417E-3</v>
      </c>
      <c r="D547">
        <v>124</v>
      </c>
      <c r="E547">
        <f t="shared" si="25"/>
        <v>9.0322580645161299E-3</v>
      </c>
      <c r="G547">
        <f t="shared" si="26"/>
        <v>6.6534282972041843E-4</v>
      </c>
    </row>
    <row r="548" spans="2:7">
      <c r="B548">
        <v>327.9</v>
      </c>
      <c r="C548">
        <f t="shared" si="24"/>
        <v>-1.3723696248856276E-3</v>
      </c>
      <c r="D548">
        <v>125.12</v>
      </c>
      <c r="E548">
        <f t="shared" si="25"/>
        <v>1.5105498721227573E-2</v>
      </c>
      <c r="G548">
        <f t="shared" si="26"/>
        <v>7.2537944543046339E-3</v>
      </c>
    </row>
    <row r="549" spans="2:7">
      <c r="B549">
        <v>327.45</v>
      </c>
      <c r="C549">
        <f t="shared" si="24"/>
        <v>7.4820583295158727E-3</v>
      </c>
      <c r="D549">
        <v>127.01</v>
      </c>
      <c r="E549">
        <f t="shared" si="25"/>
        <v>4.0941658137154668E-3</v>
      </c>
      <c r="G549">
        <f t="shared" si="26"/>
        <v>5.7084965974943599E-3</v>
      </c>
    </row>
    <row r="550" spans="2:7">
      <c r="B550">
        <v>329.9</v>
      </c>
      <c r="C550">
        <f t="shared" si="24"/>
        <v>7.8508638981511503E-3</v>
      </c>
      <c r="D550">
        <v>127.53</v>
      </c>
      <c r="E550">
        <f t="shared" si="25"/>
        <v>9.6447894613032048E-3</v>
      </c>
      <c r="G550">
        <f t="shared" si="26"/>
        <v>8.7899839304612509E-3</v>
      </c>
    </row>
    <row r="551" spans="2:7">
      <c r="B551">
        <v>332.49</v>
      </c>
      <c r="C551">
        <f t="shared" si="24"/>
        <v>1.9098318746428422E-2</v>
      </c>
      <c r="D551">
        <v>128.76</v>
      </c>
      <c r="E551">
        <f t="shared" si="25"/>
        <v>6.9897483690588569E-3</v>
      </c>
      <c r="G551">
        <f t="shared" si="26"/>
        <v>1.2759482153875455E-2</v>
      </c>
    </row>
    <row r="552" spans="2:7">
      <c r="B552">
        <v>338.84</v>
      </c>
      <c r="C552">
        <f t="shared" si="24"/>
        <v>-1.4461102585289209E-3</v>
      </c>
      <c r="D552">
        <v>129.66</v>
      </c>
      <c r="E552">
        <f t="shared" si="25"/>
        <v>6.2471078204535679E-3</v>
      </c>
      <c r="G552">
        <f t="shared" si="26"/>
        <v>2.5812894058184124E-3</v>
      </c>
    </row>
    <row r="553" spans="2:7">
      <c r="B553">
        <v>338.35</v>
      </c>
      <c r="C553">
        <f t="shared" si="24"/>
        <v>-7.9799024678595121E-4</v>
      </c>
      <c r="D553">
        <v>130.47</v>
      </c>
      <c r="E553">
        <f t="shared" si="25"/>
        <v>-1.3029815283206458E-3</v>
      </c>
      <c r="G553">
        <f t="shared" si="26"/>
        <v>-1.0623531826693638E-3</v>
      </c>
    </row>
    <row r="554" spans="2:7">
      <c r="B554">
        <v>338.08</v>
      </c>
      <c r="C554">
        <f t="shared" si="24"/>
        <v>1.2097728348320125E-2</v>
      </c>
      <c r="D554">
        <v>130.30000000000001</v>
      </c>
      <c r="E554">
        <f t="shared" si="25"/>
        <v>1.3277052954719704E-2</v>
      </c>
      <c r="G554">
        <f t="shared" si="26"/>
        <v>1.2715104779770305E-2</v>
      </c>
    </row>
    <row r="555" spans="2:7">
      <c r="B555">
        <v>342.17</v>
      </c>
      <c r="C555">
        <f t="shared" si="24"/>
        <v>3.1563258029634333E-3</v>
      </c>
      <c r="D555">
        <v>132.03</v>
      </c>
      <c r="E555">
        <f t="shared" si="25"/>
        <v>2.5751723093236922E-3</v>
      </c>
      <c r="G555">
        <f t="shared" si="26"/>
        <v>2.8520919490430292E-3</v>
      </c>
    </row>
    <row r="556" spans="2:7">
      <c r="B556">
        <v>343.25</v>
      </c>
      <c r="C556">
        <f t="shared" si="24"/>
        <v>1.1828113619810621E-2</v>
      </c>
      <c r="D556">
        <v>132.37</v>
      </c>
      <c r="E556">
        <f t="shared" si="25"/>
        <v>2.5685578303240586E-3</v>
      </c>
      <c r="G556">
        <f t="shared" si="26"/>
        <v>6.9807361640144058E-3</v>
      </c>
    </row>
    <row r="557" spans="2:7">
      <c r="B557">
        <v>347.31</v>
      </c>
      <c r="C557">
        <f t="shared" si="24"/>
        <v>-8.1483400996227306E-3</v>
      </c>
      <c r="D557">
        <v>132.71</v>
      </c>
      <c r="E557">
        <f t="shared" si="25"/>
        <v>-8.7408635370356258E-3</v>
      </c>
      <c r="G557">
        <f t="shared" si="26"/>
        <v>-8.4585261191083803E-3</v>
      </c>
    </row>
    <row r="558" spans="2:7">
      <c r="B558">
        <v>344.48</v>
      </c>
      <c r="C558">
        <f t="shared" si="24"/>
        <v>-1.6836971667442135E-3</v>
      </c>
      <c r="D558">
        <v>131.55000000000001</v>
      </c>
      <c r="E558">
        <f t="shared" si="25"/>
        <v>2.8886354998098884E-3</v>
      </c>
      <c r="G558">
        <f t="shared" si="26"/>
        <v>7.0991898419685902E-4</v>
      </c>
    </row>
    <row r="559" spans="2:7">
      <c r="B559">
        <v>343.9</v>
      </c>
      <c r="C559">
        <f t="shared" si="24"/>
        <v>4.8851410293691E-3</v>
      </c>
      <c r="D559">
        <v>131.93</v>
      </c>
      <c r="E559">
        <f t="shared" si="25"/>
        <v>9.3231259000985389E-3</v>
      </c>
      <c r="G559">
        <f t="shared" si="26"/>
        <v>7.2084261091959617E-3</v>
      </c>
    </row>
    <row r="560" spans="2:7">
      <c r="B560">
        <v>345.58</v>
      </c>
      <c r="C560">
        <f t="shared" si="24"/>
        <v>2.8068753978818251E-3</v>
      </c>
      <c r="D560">
        <v>133.16</v>
      </c>
      <c r="E560">
        <f t="shared" si="25"/>
        <v>-6.0078101531979566E-4</v>
      </c>
      <c r="G560">
        <f t="shared" si="26"/>
        <v>1.0229672655707764E-3</v>
      </c>
    </row>
    <row r="561" spans="2:7">
      <c r="B561">
        <v>346.55</v>
      </c>
      <c r="C561">
        <f t="shared" si="24"/>
        <v>1.3129418554321148E-2</v>
      </c>
      <c r="D561">
        <v>133.08000000000001</v>
      </c>
      <c r="E561">
        <f t="shared" si="25"/>
        <v>4.0577096483318531E-3</v>
      </c>
      <c r="G561">
        <f t="shared" si="26"/>
        <v>8.3803789420357523E-3</v>
      </c>
    </row>
    <row r="562" spans="2:7">
      <c r="B562">
        <v>351.1</v>
      </c>
      <c r="C562">
        <f t="shared" si="24"/>
        <v>1.0680717744232515E-2</v>
      </c>
      <c r="D562">
        <v>133.62</v>
      </c>
      <c r="E562">
        <f t="shared" si="25"/>
        <v>-9.2052088010777799E-3</v>
      </c>
      <c r="G562">
        <f t="shared" si="26"/>
        <v>2.7043519776257484E-4</v>
      </c>
    </row>
    <row r="563" spans="2:7">
      <c r="B563">
        <v>354.85</v>
      </c>
      <c r="C563">
        <f t="shared" si="24"/>
        <v>-9.8633225306477001E-4</v>
      </c>
      <c r="D563">
        <v>132.38999999999999</v>
      </c>
      <c r="E563">
        <f t="shared" si="25"/>
        <v>-7.553440592189542E-4</v>
      </c>
      <c r="G563">
        <f t="shared" si="26"/>
        <v>-8.654099335864855E-4</v>
      </c>
    </row>
    <row r="564" spans="2:7">
      <c r="B564">
        <v>354.5</v>
      </c>
      <c r="C564">
        <f t="shared" si="24"/>
        <v>-1.8956276445698195E-2</v>
      </c>
      <c r="D564">
        <v>132.29</v>
      </c>
      <c r="E564">
        <f t="shared" si="25"/>
        <v>-7.6347418550154478E-3</v>
      </c>
      <c r="G564">
        <f t="shared" si="26"/>
        <v>-1.3029453087475776E-2</v>
      </c>
    </row>
    <row r="565" spans="2:7">
      <c r="B565">
        <v>347.78</v>
      </c>
      <c r="C565">
        <f t="shared" si="24"/>
        <v>-2.2427971706250327E-3</v>
      </c>
      <c r="D565">
        <v>131.28</v>
      </c>
      <c r="E565">
        <f t="shared" si="25"/>
        <v>-4.2656916514320908E-3</v>
      </c>
      <c r="G565">
        <f t="shared" si="26"/>
        <v>-3.301782431327528E-3</v>
      </c>
    </row>
    <row r="566" spans="2:7">
      <c r="B566">
        <v>347</v>
      </c>
      <c r="C566">
        <f t="shared" si="24"/>
        <v>-1.3285302593660009E-2</v>
      </c>
      <c r="D566">
        <v>130.72</v>
      </c>
      <c r="E566">
        <f t="shared" si="25"/>
        <v>1.2469400244798035E-2</v>
      </c>
      <c r="G566">
        <f t="shared" si="26"/>
        <v>1.9728434227277766E-4</v>
      </c>
    </row>
    <row r="567" spans="2:7">
      <c r="B567">
        <v>342.39</v>
      </c>
      <c r="C567">
        <f t="shared" si="24"/>
        <v>-1.2967668448260694E-2</v>
      </c>
      <c r="D567">
        <v>132.35</v>
      </c>
      <c r="E567">
        <f t="shared" si="25"/>
        <v>3.4000755572347607E-3</v>
      </c>
      <c r="G567">
        <f t="shared" si="26"/>
        <v>-4.3991544613838224E-3</v>
      </c>
    </row>
    <row r="568" spans="2:7">
      <c r="B568">
        <v>337.95</v>
      </c>
      <c r="C568">
        <f t="shared" si="24"/>
        <v>7.3975440153868366E-3</v>
      </c>
      <c r="D568">
        <v>132.80000000000001</v>
      </c>
      <c r="E568">
        <f t="shared" si="25"/>
        <v>-1.3855421686747027E-2</v>
      </c>
      <c r="G568">
        <f t="shared" si="26"/>
        <v>-3.728383529680242E-3</v>
      </c>
    </row>
    <row r="569" spans="2:7">
      <c r="B569">
        <v>340.45</v>
      </c>
      <c r="C569">
        <f t="shared" si="24"/>
        <v>1.7623733294169552E-2</v>
      </c>
      <c r="D569">
        <v>130.96</v>
      </c>
      <c r="E569">
        <f t="shared" si="25"/>
        <v>9.9266951740983878E-4</v>
      </c>
      <c r="G569">
        <f t="shared" si="26"/>
        <v>8.9173714070358429E-3</v>
      </c>
    </row>
    <row r="570" spans="2:7">
      <c r="B570">
        <v>346.45</v>
      </c>
      <c r="C570">
        <f t="shared" si="24"/>
        <v>9.2942704574976442E-3</v>
      </c>
      <c r="D570">
        <v>131.09</v>
      </c>
      <c r="E570">
        <f t="shared" si="25"/>
        <v>-3.051338774887502E-3</v>
      </c>
      <c r="G570">
        <f t="shared" si="26"/>
        <v>2.8313440243440203E-3</v>
      </c>
    </row>
    <row r="571" spans="2:7">
      <c r="B571">
        <v>349.67</v>
      </c>
      <c r="C571">
        <f t="shared" si="24"/>
        <v>3.2602167758171152E-3</v>
      </c>
      <c r="D571">
        <v>130.69</v>
      </c>
      <c r="E571">
        <f t="shared" si="25"/>
        <v>2.3720254036270205E-3</v>
      </c>
      <c r="G571">
        <f t="shared" si="26"/>
        <v>2.7952485924756009E-3</v>
      </c>
    </row>
    <row r="572" spans="2:7">
      <c r="B572">
        <v>350.81</v>
      </c>
      <c r="C572">
        <f t="shared" si="24"/>
        <v>-3.0215786323081195E-3</v>
      </c>
      <c r="D572">
        <v>131</v>
      </c>
      <c r="E572">
        <f t="shared" si="25"/>
        <v>-4.1984732824428272E-3</v>
      </c>
      <c r="G572">
        <f t="shared" si="26"/>
        <v>-3.6376829816536392E-3</v>
      </c>
    </row>
    <row r="573" spans="2:7">
      <c r="B573">
        <v>349.75</v>
      </c>
      <c r="C573">
        <f t="shared" si="24"/>
        <v>-8.5775553967119E-3</v>
      </c>
      <c r="D573">
        <v>130.44999999999999</v>
      </c>
      <c r="E573">
        <f t="shared" si="25"/>
        <v>5.7493292449213307E-3</v>
      </c>
      <c r="G573">
        <f t="shared" si="26"/>
        <v>-1.0774312868169033E-3</v>
      </c>
    </row>
    <row r="574" spans="2:7">
      <c r="B574">
        <v>346.75</v>
      </c>
      <c r="C574">
        <f t="shared" si="24"/>
        <v>-4.6142754145638287E-3</v>
      </c>
      <c r="D574">
        <v>131.19999999999999</v>
      </c>
      <c r="E574">
        <f t="shared" si="25"/>
        <v>1.9817073170733668E-3</v>
      </c>
      <c r="G574">
        <f t="shared" si="26"/>
        <v>-1.1612784545517567E-3</v>
      </c>
    </row>
    <row r="575" spans="2:7">
      <c r="B575">
        <v>345.15</v>
      </c>
      <c r="C575">
        <f t="shared" si="24"/>
        <v>-8.6918730986527137E-3</v>
      </c>
      <c r="D575">
        <v>131.46</v>
      </c>
      <c r="E575">
        <f t="shared" si="25"/>
        <v>-1.0649627263047412E-3</v>
      </c>
      <c r="G575">
        <f t="shared" si="26"/>
        <v>-4.6991855187285504E-3</v>
      </c>
    </row>
    <row r="576" spans="2:7">
      <c r="B576">
        <v>342.15</v>
      </c>
      <c r="C576">
        <f t="shared" si="24"/>
        <v>1.1310828583954491E-2</v>
      </c>
      <c r="D576">
        <v>131.32</v>
      </c>
      <c r="E576">
        <f t="shared" si="25"/>
        <v>-8.9095339628387782E-3</v>
      </c>
      <c r="G576">
        <f t="shared" si="26"/>
        <v>7.2546879070821413E-4</v>
      </c>
    </row>
    <row r="577" spans="2:7">
      <c r="B577">
        <v>346.02</v>
      </c>
      <c r="C577">
        <f t="shared" si="24"/>
        <v>1.5923935032656988E-2</v>
      </c>
      <c r="D577">
        <v>130.15</v>
      </c>
      <c r="E577">
        <f t="shared" si="25"/>
        <v>-4.6868997310796079E-3</v>
      </c>
      <c r="G577">
        <f t="shared" si="26"/>
        <v>5.1341630338408795E-3</v>
      </c>
    </row>
    <row r="578" spans="2:7">
      <c r="B578">
        <v>351.53</v>
      </c>
      <c r="C578">
        <f t="shared" si="24"/>
        <v>4.523084800728272E-3</v>
      </c>
      <c r="D578">
        <v>129.54</v>
      </c>
      <c r="E578">
        <f t="shared" si="25"/>
        <v>-1.5130461633472203E-2</v>
      </c>
      <c r="G578">
        <f t="shared" si="26"/>
        <v>-5.7655467575756774E-3</v>
      </c>
    </row>
    <row r="579" spans="2:7">
      <c r="B579">
        <v>353.12</v>
      </c>
      <c r="C579">
        <f t="shared" ref="C579:C642" si="27">(B580/B579)-1</f>
        <v>-9.4868599909380125E-3</v>
      </c>
      <c r="D579">
        <v>127.58</v>
      </c>
      <c r="E579">
        <f t="shared" ref="E579:E642" si="28">(D580/D579)-1</f>
        <v>-4.0758739614359385E-3</v>
      </c>
      <c r="G579">
        <f t="shared" si="26"/>
        <v>-6.6542088044936765E-3</v>
      </c>
    </row>
    <row r="580" spans="2:7">
      <c r="B580">
        <v>349.77</v>
      </c>
      <c r="C580">
        <f t="shared" si="27"/>
        <v>-1.3437401721130282E-3</v>
      </c>
      <c r="D580">
        <v>127.06</v>
      </c>
      <c r="E580">
        <f t="shared" si="28"/>
        <v>1.1962852195813056E-2</v>
      </c>
      <c r="G580">
        <f t="shared" ref="G580:G643" si="29">C580*$J$5+E580*$J$6</f>
        <v>5.6222609324962786E-3</v>
      </c>
    </row>
    <row r="581" spans="2:7">
      <c r="B581">
        <v>349.3</v>
      </c>
      <c r="C581">
        <f t="shared" si="27"/>
        <v>-1.9467506441454008E-3</v>
      </c>
      <c r="D581">
        <v>128.58000000000001</v>
      </c>
      <c r="E581">
        <f t="shared" si="28"/>
        <v>-4.0441748327889604E-3</v>
      </c>
      <c r="G581">
        <f t="shared" si="29"/>
        <v>-3.0447522069003046E-3</v>
      </c>
    </row>
    <row r="582" spans="2:7">
      <c r="B582">
        <v>348.62</v>
      </c>
      <c r="C582">
        <f t="shared" si="27"/>
        <v>-3.1552980322414603E-3</v>
      </c>
      <c r="D582">
        <v>128.06</v>
      </c>
      <c r="E582">
        <f t="shared" si="28"/>
        <v>1.062002186475075E-2</v>
      </c>
      <c r="G582">
        <f t="shared" si="29"/>
        <v>4.0560819338339629E-3</v>
      </c>
    </row>
    <row r="583" spans="2:7">
      <c r="B583">
        <v>347.52</v>
      </c>
      <c r="C583">
        <f t="shared" si="27"/>
        <v>6.5607734806629736E-3</v>
      </c>
      <c r="D583">
        <v>129.41999999999999</v>
      </c>
      <c r="E583">
        <f t="shared" si="28"/>
        <v>-1.8544274455259968E-3</v>
      </c>
      <c r="G583">
        <f t="shared" si="29"/>
        <v>2.1554157958030475E-3</v>
      </c>
    </row>
    <row r="584" spans="2:7">
      <c r="B584">
        <v>349.8</v>
      </c>
      <c r="C584">
        <f t="shared" si="27"/>
        <v>-6.2893081761006275E-3</v>
      </c>
      <c r="D584">
        <v>129.18</v>
      </c>
      <c r="E584">
        <f t="shared" si="28"/>
        <v>-6.8122000309644992E-3</v>
      </c>
      <c r="G584">
        <f t="shared" si="29"/>
        <v>-6.5630420621218648E-3</v>
      </c>
    </row>
    <row r="585" spans="2:7">
      <c r="B585">
        <v>347.6</v>
      </c>
      <c r="C585">
        <f t="shared" si="27"/>
        <v>-3.4522439585732423E-3</v>
      </c>
      <c r="D585">
        <v>128.30000000000001</v>
      </c>
      <c r="E585">
        <f t="shared" si="28"/>
        <v>5.0662509742789297E-3</v>
      </c>
      <c r="G585">
        <f t="shared" si="29"/>
        <v>1.0071881387748703E-3</v>
      </c>
    </row>
    <row r="586" spans="2:7">
      <c r="B586">
        <v>346.4</v>
      </c>
      <c r="C586">
        <f t="shared" si="27"/>
        <v>4.041570438799269E-3</v>
      </c>
      <c r="D586">
        <v>128.94999999999999</v>
      </c>
      <c r="E586">
        <f t="shared" si="28"/>
        <v>7.5998449011245306E-3</v>
      </c>
      <c r="G586">
        <f t="shared" si="29"/>
        <v>5.9043271198265437E-3</v>
      </c>
    </row>
    <row r="587" spans="2:7">
      <c r="B587">
        <v>347.8</v>
      </c>
      <c r="C587">
        <f t="shared" si="27"/>
        <v>5.8366877515811932E-3</v>
      </c>
      <c r="D587">
        <v>129.93</v>
      </c>
      <c r="E587">
        <f t="shared" si="28"/>
        <v>-1.3391826368044368E-2</v>
      </c>
      <c r="G587">
        <f t="shared" si="29"/>
        <v>-4.2294393900427895E-3</v>
      </c>
    </row>
    <row r="588" spans="2:7">
      <c r="B588">
        <v>349.83</v>
      </c>
      <c r="C588">
        <f t="shared" si="27"/>
        <v>-3.6017494211474377E-3</v>
      </c>
      <c r="D588">
        <v>128.19</v>
      </c>
      <c r="E588">
        <f t="shared" si="28"/>
        <v>6.2407364068972626E-4</v>
      </c>
      <c r="G588">
        <f t="shared" si="29"/>
        <v>-1.3895310482756823E-3</v>
      </c>
    </row>
    <row r="589" spans="2:7">
      <c r="B589">
        <v>348.57</v>
      </c>
      <c r="C589">
        <f t="shared" si="27"/>
        <v>1.7270562584272842E-2</v>
      </c>
      <c r="D589">
        <v>128.27000000000001</v>
      </c>
      <c r="E589">
        <f t="shared" si="28"/>
        <v>1.715132143135456E-3</v>
      </c>
      <c r="G589">
        <f t="shared" si="29"/>
        <v>9.1272947483374209E-3</v>
      </c>
    </row>
    <row r="590" spans="2:7">
      <c r="B590">
        <v>354.59</v>
      </c>
      <c r="C590">
        <f t="shared" si="27"/>
        <v>1.7936208014890376E-2</v>
      </c>
      <c r="D590">
        <v>128.49</v>
      </c>
      <c r="E590">
        <f t="shared" si="28"/>
        <v>-3.7356992762084262E-3</v>
      </c>
      <c r="G590">
        <f t="shared" si="29"/>
        <v>6.5909645480001517E-3</v>
      </c>
    </row>
    <row r="591" spans="2:7">
      <c r="B591">
        <v>360.95</v>
      </c>
      <c r="C591">
        <f t="shared" si="27"/>
        <v>-3.047513506025723E-3</v>
      </c>
      <c r="D591">
        <v>128.01</v>
      </c>
      <c r="E591">
        <f t="shared" si="28"/>
        <v>-1.1639715647214999E-2</v>
      </c>
      <c r="G591">
        <f t="shared" si="29"/>
        <v>-7.5455313269383092E-3</v>
      </c>
    </row>
    <row r="592" spans="2:7">
      <c r="B592">
        <v>359.85</v>
      </c>
      <c r="C592">
        <f t="shared" si="27"/>
        <v>1.1671529804085035E-2</v>
      </c>
      <c r="D592">
        <v>126.52</v>
      </c>
      <c r="E592">
        <f t="shared" si="28"/>
        <v>2.7663610496364566E-3</v>
      </c>
      <c r="G592">
        <f t="shared" si="29"/>
        <v>7.0096739611312034E-3</v>
      </c>
    </row>
    <row r="593" spans="2:7">
      <c r="B593">
        <v>364.05</v>
      </c>
      <c r="C593">
        <f t="shared" si="27"/>
        <v>2.1975003433594154E-3</v>
      </c>
      <c r="D593">
        <v>126.87</v>
      </c>
      <c r="E593">
        <f t="shared" si="28"/>
        <v>-2.6799085678254064E-3</v>
      </c>
      <c r="G593">
        <f t="shared" si="29"/>
        <v>-3.5582322164583896E-4</v>
      </c>
    </row>
    <row r="594" spans="2:7">
      <c r="B594">
        <v>364.85</v>
      </c>
      <c r="C594">
        <f t="shared" si="27"/>
        <v>6.3587775798272794E-3</v>
      </c>
      <c r="D594">
        <v>126.53</v>
      </c>
      <c r="E594">
        <f t="shared" si="28"/>
        <v>7.5871334861297157E-3</v>
      </c>
      <c r="G594">
        <f t="shared" si="29"/>
        <v>7.0018218967766053E-3</v>
      </c>
    </row>
    <row r="595" spans="2:7">
      <c r="B595">
        <v>367.17</v>
      </c>
      <c r="C595">
        <f t="shared" si="27"/>
        <v>4.9840673257619539E-3</v>
      </c>
      <c r="D595">
        <v>127.49</v>
      </c>
      <c r="E595">
        <f t="shared" si="28"/>
        <v>3.921876225587706E-4</v>
      </c>
      <c r="G595">
        <f t="shared" si="29"/>
        <v>2.5802183011350874E-3</v>
      </c>
    </row>
    <row r="596" spans="2:7">
      <c r="B596">
        <v>369</v>
      </c>
      <c r="C596">
        <f t="shared" si="27"/>
        <v>-8.1300813008133854E-4</v>
      </c>
      <c r="D596">
        <v>127.54</v>
      </c>
      <c r="E596">
        <f t="shared" si="28"/>
        <v>5.331660655480519E-3</v>
      </c>
      <c r="G596">
        <f t="shared" si="29"/>
        <v>2.4037259791602943E-3</v>
      </c>
    </row>
    <row r="597" spans="2:7">
      <c r="B597">
        <v>368.7</v>
      </c>
      <c r="C597">
        <f t="shared" si="27"/>
        <v>1.0442093843233025E-2</v>
      </c>
      <c r="D597">
        <v>128.22</v>
      </c>
      <c r="E597">
        <f t="shared" si="28"/>
        <v>-7.0971767274995434E-3</v>
      </c>
      <c r="G597">
        <f t="shared" si="29"/>
        <v>1.2602856994545246E-3</v>
      </c>
    </row>
    <row r="598" spans="2:7">
      <c r="B598">
        <v>372.55</v>
      </c>
      <c r="C598">
        <f t="shared" si="27"/>
        <v>-2.4426251509864771E-3</v>
      </c>
      <c r="D598">
        <v>127.31</v>
      </c>
      <c r="E598">
        <f t="shared" si="28"/>
        <v>-2.277904328018221E-3</v>
      </c>
      <c r="G598">
        <f t="shared" si="29"/>
        <v>-2.3563938001625951E-3</v>
      </c>
    </row>
    <row r="599" spans="2:7">
      <c r="B599">
        <v>371.64</v>
      </c>
      <c r="C599">
        <f t="shared" si="27"/>
        <v>9.686793671295213E-4</v>
      </c>
      <c r="D599">
        <v>127.02</v>
      </c>
      <c r="E599">
        <f t="shared" si="28"/>
        <v>-1.1021886317115204E-3</v>
      </c>
      <c r="G599">
        <f t="shared" si="29"/>
        <v>-1.1542003026376407E-4</v>
      </c>
    </row>
    <row r="600" spans="2:7">
      <c r="B600">
        <v>372</v>
      </c>
      <c r="C600">
        <f t="shared" si="27"/>
        <v>-1.0725806451612918E-2</v>
      </c>
      <c r="D600">
        <v>126.88</v>
      </c>
      <c r="E600">
        <f t="shared" si="28"/>
        <v>-3.0737704918032405E-3</v>
      </c>
      <c r="G600">
        <f t="shared" si="29"/>
        <v>-6.7199656266525524E-3</v>
      </c>
    </row>
    <row r="601" spans="2:7">
      <c r="B601">
        <v>368.01</v>
      </c>
      <c r="C601">
        <f t="shared" si="27"/>
        <v>-3.2879541316811478E-3</v>
      </c>
      <c r="D601">
        <v>126.49</v>
      </c>
      <c r="E601">
        <f t="shared" si="28"/>
        <v>-5.5340343110126256E-3</v>
      </c>
      <c r="G601">
        <f t="shared" si="29"/>
        <v>-4.4637771055611765E-3</v>
      </c>
    </row>
    <row r="602" spans="2:7">
      <c r="B602">
        <v>366.8</v>
      </c>
      <c r="C602">
        <f t="shared" si="27"/>
        <v>7.1701199563793949E-3</v>
      </c>
      <c r="D602">
        <v>125.79</v>
      </c>
      <c r="E602">
        <f t="shared" si="28"/>
        <v>7.0752842038317443E-3</v>
      </c>
      <c r="G602">
        <f t="shared" si="29"/>
        <v>7.120473439920701E-3</v>
      </c>
    </row>
    <row r="603" spans="2:7">
      <c r="B603">
        <v>369.43</v>
      </c>
      <c r="C603">
        <f t="shared" si="27"/>
        <v>3.7084156673794499E-3</v>
      </c>
      <c r="D603">
        <v>126.68</v>
      </c>
      <c r="E603">
        <f t="shared" si="28"/>
        <v>-1.9734764761604184E-3</v>
      </c>
      <c r="G603">
        <f t="shared" si="29"/>
        <v>7.3394513023632862E-4</v>
      </c>
    </row>
    <row r="604" spans="2:7">
      <c r="B604">
        <v>370.8</v>
      </c>
      <c r="C604">
        <f t="shared" si="27"/>
        <v>1.281014023732463E-2</v>
      </c>
      <c r="D604">
        <v>126.43</v>
      </c>
      <c r="E604">
        <f t="shared" si="28"/>
        <v>9.9659890848691202E-3</v>
      </c>
      <c r="G604">
        <f t="shared" si="29"/>
        <v>1.1321227109014172E-2</v>
      </c>
    </row>
    <row r="605" spans="2:7">
      <c r="B605">
        <v>375.55</v>
      </c>
      <c r="C605">
        <f t="shared" si="27"/>
        <v>-5.192384502729297E-3</v>
      </c>
      <c r="D605">
        <v>127.69</v>
      </c>
      <c r="E605">
        <f t="shared" si="28"/>
        <v>-3.445845406844672E-3</v>
      </c>
      <c r="G605">
        <f t="shared" si="29"/>
        <v>-4.2780712860336963E-3</v>
      </c>
    </row>
    <row r="606" spans="2:7">
      <c r="B606">
        <v>373.6</v>
      </c>
      <c r="C606">
        <f t="shared" si="27"/>
        <v>-1.343683083511793E-2</v>
      </c>
      <c r="D606">
        <v>127.25</v>
      </c>
      <c r="E606">
        <f t="shared" si="28"/>
        <v>-7.8585461689584246E-4</v>
      </c>
      <c r="G606">
        <f t="shared" si="29"/>
        <v>-6.8140447848786664E-3</v>
      </c>
    </row>
    <row r="607" spans="2:7">
      <c r="B607">
        <v>368.58</v>
      </c>
      <c r="C607">
        <f t="shared" si="27"/>
        <v>1.3294264474470463E-3</v>
      </c>
      <c r="D607">
        <v>127.15</v>
      </c>
      <c r="E607">
        <f t="shared" si="28"/>
        <v>-6.9996067636649562E-3</v>
      </c>
      <c r="G607">
        <f t="shared" si="29"/>
        <v>-3.0308224385700877E-3</v>
      </c>
    </row>
    <row r="608" spans="2:7">
      <c r="B608">
        <v>369.07</v>
      </c>
      <c r="C608">
        <f t="shared" si="27"/>
        <v>4.0100793887338781E-3</v>
      </c>
      <c r="D608">
        <v>126.26</v>
      </c>
      <c r="E608">
        <f t="shared" si="28"/>
        <v>5.8609219071756868E-3</v>
      </c>
      <c r="G608">
        <f t="shared" si="29"/>
        <v>4.9789954471381659E-3</v>
      </c>
    </row>
    <row r="609" spans="2:7">
      <c r="B609">
        <v>370.55</v>
      </c>
      <c r="C609">
        <f t="shared" si="27"/>
        <v>1.268384833355829E-2</v>
      </c>
      <c r="D609">
        <v>127</v>
      </c>
      <c r="E609">
        <f t="shared" si="28"/>
        <v>1.3385826771654674E-3</v>
      </c>
      <c r="G609">
        <f t="shared" si="29"/>
        <v>6.7446017624366479E-3</v>
      </c>
    </row>
    <row r="610" spans="2:7">
      <c r="B610">
        <v>375.25</v>
      </c>
      <c r="C610">
        <f t="shared" si="27"/>
        <v>1.1858760826115811E-2</v>
      </c>
      <c r="D610">
        <v>127.17</v>
      </c>
      <c r="E610">
        <f t="shared" si="28"/>
        <v>-2.4376818432020331E-3</v>
      </c>
      <c r="G610">
        <f t="shared" si="29"/>
        <v>4.3745730887279196E-3</v>
      </c>
    </row>
    <row r="611" spans="2:7">
      <c r="B611">
        <v>379.7</v>
      </c>
      <c r="C611">
        <f t="shared" si="27"/>
        <v>1.1851461680273845E-2</v>
      </c>
      <c r="D611">
        <v>126.86</v>
      </c>
      <c r="E611">
        <f t="shared" si="28"/>
        <v>-4.9661043670187199E-3</v>
      </c>
      <c r="G611">
        <f t="shared" si="29"/>
        <v>3.0474658545161862E-3</v>
      </c>
    </row>
    <row r="612" spans="2:7">
      <c r="B612">
        <v>384.2</v>
      </c>
      <c r="C612">
        <f t="shared" si="27"/>
        <v>4.5549193128577858E-3</v>
      </c>
      <c r="D612">
        <v>126.23</v>
      </c>
      <c r="E612">
        <f t="shared" si="28"/>
        <v>-1.4180464231957624E-2</v>
      </c>
      <c r="G612">
        <f t="shared" si="29"/>
        <v>-5.2530539728530817E-3</v>
      </c>
    </row>
    <row r="613" spans="2:7">
      <c r="B613">
        <v>385.95</v>
      </c>
      <c r="C613">
        <f t="shared" si="27"/>
        <v>-3.8087835211814136E-3</v>
      </c>
      <c r="D613">
        <v>124.44</v>
      </c>
      <c r="E613">
        <f t="shared" si="28"/>
        <v>1.6072002571521082E-4</v>
      </c>
      <c r="G613">
        <f t="shared" si="29"/>
        <v>-1.7307484143810306E-3</v>
      </c>
    </row>
    <row r="614" spans="2:7">
      <c r="B614">
        <v>384.48</v>
      </c>
      <c r="C614">
        <f t="shared" si="27"/>
        <v>9.0511860174780079E-3</v>
      </c>
      <c r="D614">
        <v>124.46</v>
      </c>
      <c r="E614">
        <f t="shared" si="28"/>
        <v>-1.3659006909849669E-3</v>
      </c>
      <c r="G614">
        <f t="shared" si="29"/>
        <v>3.5978411255976409E-3</v>
      </c>
    </row>
    <row r="615" spans="2:7">
      <c r="B615">
        <v>387.96</v>
      </c>
      <c r="C615">
        <f t="shared" si="27"/>
        <v>-7.7327559542220703E-3</v>
      </c>
      <c r="D615">
        <v>124.29</v>
      </c>
      <c r="E615">
        <f t="shared" si="28"/>
        <v>3.2182798294311254E-4</v>
      </c>
      <c r="G615">
        <f t="shared" si="29"/>
        <v>-3.5161812631160968E-3</v>
      </c>
    </row>
    <row r="616" spans="2:7">
      <c r="B616">
        <v>384.96</v>
      </c>
      <c r="C616">
        <f t="shared" si="27"/>
        <v>-1.6651080631753912E-2</v>
      </c>
      <c r="D616">
        <v>124.33</v>
      </c>
      <c r="E616">
        <f t="shared" si="28"/>
        <v>4.8258666452194454E-4</v>
      </c>
      <c r="G616">
        <f t="shared" si="29"/>
        <v>-7.6816058021535009E-3</v>
      </c>
    </row>
    <row r="617" spans="2:7">
      <c r="B617">
        <v>378.55</v>
      </c>
      <c r="C617">
        <f t="shared" si="27"/>
        <v>8.1891427816667139E-3</v>
      </c>
      <c r="D617">
        <v>124.39</v>
      </c>
      <c r="E617">
        <f t="shared" si="28"/>
        <v>-1.607846289893855E-4</v>
      </c>
      <c r="G617">
        <f t="shared" si="29"/>
        <v>3.8179557821882456E-3</v>
      </c>
    </row>
    <row r="618" spans="2:7">
      <c r="B618">
        <v>381.65</v>
      </c>
      <c r="C618">
        <f t="shared" si="27"/>
        <v>1.2183938163238706E-2</v>
      </c>
      <c r="D618">
        <v>124.37</v>
      </c>
      <c r="E618">
        <f t="shared" si="28"/>
        <v>3.296614939294118E-3</v>
      </c>
      <c r="G618">
        <f t="shared" si="29"/>
        <v>7.5314244555037138E-3</v>
      </c>
    </row>
    <row r="619" spans="2:7">
      <c r="B619">
        <v>386.3</v>
      </c>
      <c r="C619">
        <f t="shared" si="27"/>
        <v>2.3297954957286482E-3</v>
      </c>
      <c r="D619">
        <v>124.78</v>
      </c>
      <c r="E619">
        <f t="shared" si="28"/>
        <v>-9.7772078858791023E-3</v>
      </c>
      <c r="G619">
        <f t="shared" si="29"/>
        <v>-4.0082207745430103E-3</v>
      </c>
    </row>
    <row r="620" spans="2:7">
      <c r="B620">
        <v>387.2</v>
      </c>
      <c r="C620">
        <f t="shared" si="27"/>
        <v>4.0030991735537924E-3</v>
      </c>
      <c r="D620">
        <v>123.56</v>
      </c>
      <c r="E620">
        <f t="shared" si="28"/>
        <v>1.6995791518290559E-2</v>
      </c>
      <c r="G620">
        <f t="shared" si="29"/>
        <v>1.0804773616023491E-2</v>
      </c>
    </row>
    <row r="621" spans="2:7">
      <c r="B621">
        <v>388.75</v>
      </c>
      <c r="C621">
        <f t="shared" si="27"/>
        <v>6.1736334405144699E-3</v>
      </c>
      <c r="D621">
        <v>125.66</v>
      </c>
      <c r="E621">
        <f t="shared" si="28"/>
        <v>-3.9789909279008828E-4</v>
      </c>
      <c r="G621">
        <f t="shared" si="29"/>
        <v>2.7334361593295336E-3</v>
      </c>
    </row>
    <row r="622" spans="2:7">
      <c r="B622">
        <v>391.15</v>
      </c>
      <c r="C622">
        <f t="shared" si="27"/>
        <v>1.6234181260386116E-2</v>
      </c>
      <c r="D622">
        <v>125.61</v>
      </c>
      <c r="E622">
        <f t="shared" si="28"/>
        <v>6.8465886474007309E-3</v>
      </c>
      <c r="G622">
        <f t="shared" si="29"/>
        <v>1.1319776527488267E-2</v>
      </c>
    </row>
    <row r="623" spans="2:7">
      <c r="B623">
        <v>397.5</v>
      </c>
      <c r="C623">
        <f t="shared" si="27"/>
        <v>1.2603773584905609E-2</v>
      </c>
      <c r="D623">
        <v>126.47</v>
      </c>
      <c r="E623">
        <f t="shared" si="28"/>
        <v>-1.6921008934925319E-2</v>
      </c>
      <c r="G623">
        <f t="shared" si="29"/>
        <v>-2.8524500642258836E-3</v>
      </c>
    </row>
    <row r="624" spans="2:7">
      <c r="B624">
        <v>402.51</v>
      </c>
      <c r="C624">
        <f t="shared" si="27"/>
        <v>8.4469951057131176E-4</v>
      </c>
      <c r="D624">
        <v>124.33</v>
      </c>
      <c r="E624">
        <f t="shared" si="28"/>
        <v>-2.3244591007801851E-2</v>
      </c>
      <c r="G624">
        <f t="shared" si="29"/>
        <v>-1.176604407579704E-2</v>
      </c>
    </row>
    <row r="625" spans="2:7">
      <c r="B625">
        <v>402.85</v>
      </c>
      <c r="C625">
        <f t="shared" si="27"/>
        <v>1.774854164080919E-2</v>
      </c>
      <c r="D625">
        <v>121.44</v>
      </c>
      <c r="E625">
        <f t="shared" si="28"/>
        <v>7.4110671936760131E-3</v>
      </c>
      <c r="G625">
        <f t="shared" si="29"/>
        <v>1.2336873767734971E-2</v>
      </c>
    </row>
    <row r="626" spans="2:7">
      <c r="B626">
        <v>410</v>
      </c>
      <c r="C626">
        <f t="shared" si="27"/>
        <v>-2.1951219512194031E-3</v>
      </c>
      <c r="D626">
        <v>122.34</v>
      </c>
      <c r="E626">
        <f t="shared" si="28"/>
        <v>-3.2695765898316242E-3</v>
      </c>
      <c r="G626">
        <f t="shared" si="29"/>
        <v>-2.7575989545329011E-3</v>
      </c>
    </row>
    <row r="627" spans="2:7">
      <c r="B627">
        <v>409.1</v>
      </c>
      <c r="C627">
        <f t="shared" si="27"/>
        <v>5.1332192617941086E-3</v>
      </c>
      <c r="D627">
        <v>121.94</v>
      </c>
      <c r="E627">
        <f t="shared" si="28"/>
        <v>7.0526488436937207E-3</v>
      </c>
      <c r="G627">
        <f t="shared" si="29"/>
        <v>6.1380406479185565E-3</v>
      </c>
    </row>
    <row r="628" spans="2:7">
      <c r="B628">
        <v>411.2</v>
      </c>
      <c r="C628">
        <f t="shared" si="27"/>
        <v>-7.3200389105058106E-3</v>
      </c>
      <c r="D628">
        <v>122.8</v>
      </c>
      <c r="E628">
        <f t="shared" si="28"/>
        <v>-2.4429967426708998E-4</v>
      </c>
      <c r="G628">
        <f t="shared" si="29"/>
        <v>-3.6158894203348405E-3</v>
      </c>
    </row>
    <row r="629" spans="2:7">
      <c r="B629">
        <v>408.19</v>
      </c>
      <c r="C629">
        <f t="shared" si="27"/>
        <v>1.3915088561699207E-2</v>
      </c>
      <c r="D629">
        <v>122.77</v>
      </c>
      <c r="E629">
        <f t="shared" si="28"/>
        <v>1.3847031033640267E-2</v>
      </c>
      <c r="G629">
        <f t="shared" si="29"/>
        <v>1.3879460445760352E-2</v>
      </c>
    </row>
    <row r="630" spans="2:7">
      <c r="B630">
        <v>413.87</v>
      </c>
      <c r="C630">
        <f t="shared" si="27"/>
        <v>-4.8807596588300584E-3</v>
      </c>
      <c r="D630">
        <v>124.47</v>
      </c>
      <c r="E630">
        <f t="shared" si="28"/>
        <v>-1.4461315979754086E-2</v>
      </c>
      <c r="G630">
        <f t="shared" si="29"/>
        <v>-9.896180892833787E-3</v>
      </c>
    </row>
    <row r="631" spans="2:7">
      <c r="B631">
        <v>411.85</v>
      </c>
      <c r="C631">
        <f t="shared" si="27"/>
        <v>-8.1825907490591376E-3</v>
      </c>
      <c r="D631">
        <v>122.67</v>
      </c>
      <c r="E631">
        <f t="shared" si="28"/>
        <v>9.6193038232657013E-3</v>
      </c>
      <c r="G631">
        <f t="shared" si="29"/>
        <v>1.1367010595529164E-3</v>
      </c>
    </row>
    <row r="632" spans="2:7">
      <c r="B632">
        <v>408.48</v>
      </c>
      <c r="C632">
        <f t="shared" si="27"/>
        <v>-8.2745789267528735E-3</v>
      </c>
      <c r="D632">
        <v>123.85</v>
      </c>
      <c r="E632">
        <f t="shared" si="28"/>
        <v>8.1550262414211705E-3</v>
      </c>
      <c r="G632">
        <f t="shared" si="29"/>
        <v>3.2631937878623962E-4</v>
      </c>
    </row>
    <row r="633" spans="2:7">
      <c r="B633">
        <v>405.1</v>
      </c>
      <c r="C633">
        <f t="shared" si="27"/>
        <v>1.9748210318439874E-3</v>
      </c>
      <c r="D633">
        <v>124.86</v>
      </c>
      <c r="E633">
        <f t="shared" si="28"/>
        <v>1.065193016178112E-2</v>
      </c>
      <c r="G633">
        <f t="shared" si="29"/>
        <v>6.5172876613660774E-3</v>
      </c>
    </row>
    <row r="634" spans="2:7">
      <c r="B634">
        <v>405.9</v>
      </c>
      <c r="C634">
        <f t="shared" si="27"/>
        <v>9.238728750923908E-3</v>
      </c>
      <c r="D634">
        <v>126.19</v>
      </c>
      <c r="E634">
        <f t="shared" si="28"/>
        <v>-2.646802440763929E-2</v>
      </c>
      <c r="G634">
        <f t="shared" si="29"/>
        <v>-9.4537565275839286E-3</v>
      </c>
    </row>
    <row r="635" spans="2:7">
      <c r="B635">
        <v>409.65</v>
      </c>
      <c r="C635">
        <f t="shared" si="27"/>
        <v>1.7063346759428777E-2</v>
      </c>
      <c r="D635">
        <v>122.85</v>
      </c>
      <c r="E635">
        <f t="shared" si="28"/>
        <v>-1.1558811558811444E-2</v>
      </c>
      <c r="G635">
        <f t="shared" si="29"/>
        <v>2.0796468798300197E-3</v>
      </c>
    </row>
    <row r="636" spans="2:7">
      <c r="B636">
        <v>416.64</v>
      </c>
      <c r="C636">
        <f t="shared" si="27"/>
        <v>-8.736559139784883E-3</v>
      </c>
      <c r="D636">
        <v>121.43</v>
      </c>
      <c r="E636">
        <f t="shared" si="28"/>
        <v>-8.3999011776333399E-3</v>
      </c>
      <c r="G636">
        <f t="shared" si="29"/>
        <v>-8.5603186965985505E-3</v>
      </c>
    </row>
    <row r="637" spans="2:7">
      <c r="B637">
        <v>413</v>
      </c>
      <c r="C637">
        <f t="shared" si="27"/>
        <v>-2.6634382566592674E-4</v>
      </c>
      <c r="D637">
        <v>120.41</v>
      </c>
      <c r="E637">
        <f t="shared" si="28"/>
        <v>8.8863051241592217E-3</v>
      </c>
      <c r="G637">
        <f t="shared" si="29"/>
        <v>4.5250678995675392E-3</v>
      </c>
    </row>
    <row r="638" spans="2:7">
      <c r="B638">
        <v>412.89</v>
      </c>
      <c r="C638">
        <f t="shared" si="27"/>
        <v>-2.5527380173896108E-2</v>
      </c>
      <c r="D638">
        <v>121.48</v>
      </c>
      <c r="E638">
        <f t="shared" si="28"/>
        <v>-3.0457688508396474E-2</v>
      </c>
      <c r="G638">
        <f t="shared" si="29"/>
        <v>-2.8108396587007051E-2</v>
      </c>
    </row>
    <row r="639" spans="2:7">
      <c r="B639">
        <v>402.35</v>
      </c>
      <c r="C639">
        <f t="shared" si="27"/>
        <v>2.7339381135826901E-3</v>
      </c>
      <c r="D639">
        <v>117.78</v>
      </c>
      <c r="E639">
        <f t="shared" si="28"/>
        <v>2.6320258108338823E-3</v>
      </c>
      <c r="G639">
        <f t="shared" si="29"/>
        <v>2.6805870230936892E-3</v>
      </c>
    </row>
    <row r="640" spans="2:7">
      <c r="B640">
        <v>403.45</v>
      </c>
      <c r="C640">
        <f t="shared" si="27"/>
        <v>2.4910149956624217E-2</v>
      </c>
      <c r="D640">
        <v>118.09</v>
      </c>
      <c r="E640">
        <f t="shared" si="28"/>
        <v>7.5366246083494737E-3</v>
      </c>
      <c r="G640">
        <f t="shared" si="29"/>
        <v>1.581510943680239E-2</v>
      </c>
    </row>
    <row r="641" spans="2:7">
      <c r="B641">
        <v>413.5</v>
      </c>
      <c r="C641">
        <f t="shared" si="27"/>
        <v>8.9480048367593934E-3</v>
      </c>
      <c r="D641">
        <v>118.98</v>
      </c>
      <c r="E641">
        <f t="shared" si="28"/>
        <v>-1.0505967389477178E-2</v>
      </c>
      <c r="G641">
        <f t="shared" si="29"/>
        <v>-1.2361496236754531E-3</v>
      </c>
    </row>
    <row r="642" spans="2:7">
      <c r="B642">
        <v>417.2</v>
      </c>
      <c r="C642">
        <f t="shared" si="27"/>
        <v>-1.0306807286673103E-2</v>
      </c>
      <c r="D642">
        <v>117.73</v>
      </c>
      <c r="E642">
        <f t="shared" si="28"/>
        <v>2.7180837509555023E-3</v>
      </c>
      <c r="G642">
        <f t="shared" si="29"/>
        <v>-3.4882768284745279E-3</v>
      </c>
    </row>
    <row r="643" spans="2:7">
      <c r="B643">
        <v>412.9</v>
      </c>
      <c r="C643">
        <f t="shared" ref="C643:C706" si="30">(B644/B643)-1</f>
        <v>-1.2593848389440554E-2</v>
      </c>
      <c r="D643">
        <v>118.05</v>
      </c>
      <c r="E643">
        <f t="shared" ref="E643:E706" si="31">(D644/D643)-1</f>
        <v>-6.4379500211774188E-3</v>
      </c>
      <c r="G643">
        <f t="shared" si="29"/>
        <v>-9.3712355936548027E-3</v>
      </c>
    </row>
    <row r="644" spans="2:7">
      <c r="B644">
        <v>407.7</v>
      </c>
      <c r="C644">
        <f t="shared" si="30"/>
        <v>-1.116016678930587E-2</v>
      </c>
      <c r="D644">
        <v>117.29</v>
      </c>
      <c r="E644">
        <f t="shared" si="31"/>
        <v>-1.7051752067531734E-4</v>
      </c>
      <c r="G644">
        <f t="shared" ref="G644:G707" si="32">C644*$J$5+E644*$J$6</f>
        <v>-5.4070853971777749E-3</v>
      </c>
    </row>
    <row r="645" spans="2:7">
      <c r="B645">
        <v>403.15</v>
      </c>
      <c r="C645">
        <f t="shared" si="30"/>
        <v>1.8603497457521989E-2</v>
      </c>
      <c r="D645">
        <v>117.27</v>
      </c>
      <c r="E645">
        <f t="shared" si="31"/>
        <v>-1.1085529120832271E-3</v>
      </c>
      <c r="G645">
        <f t="shared" si="32"/>
        <v>8.2842390890336577E-3</v>
      </c>
    </row>
    <row r="646" spans="2:7">
      <c r="B646">
        <v>410.65</v>
      </c>
      <c r="C646">
        <f t="shared" si="30"/>
        <v>-6.1609643248508039E-3</v>
      </c>
      <c r="D646">
        <v>117.14</v>
      </c>
      <c r="E646">
        <f t="shared" si="31"/>
        <v>-1.3232030049513344E-2</v>
      </c>
      <c r="G646">
        <f t="shared" si="32"/>
        <v>-9.862667231711645E-3</v>
      </c>
    </row>
    <row r="647" spans="2:7">
      <c r="B647">
        <v>408.12</v>
      </c>
      <c r="C647">
        <f t="shared" si="30"/>
        <v>-1.2006272664902395E-2</v>
      </c>
      <c r="D647">
        <v>115.59</v>
      </c>
      <c r="E647">
        <f t="shared" si="31"/>
        <v>1.2544337745479694E-2</v>
      </c>
      <c r="G647">
        <f t="shared" si="32"/>
        <v>8.4597188493262983E-4</v>
      </c>
    </row>
    <row r="648" spans="2:7">
      <c r="B648">
        <v>403.22</v>
      </c>
      <c r="C648">
        <f t="shared" si="30"/>
        <v>1.4136203561330163E-3</v>
      </c>
      <c r="D648">
        <v>117.04</v>
      </c>
      <c r="E648">
        <f t="shared" si="31"/>
        <v>9.1421736158576739E-3</v>
      </c>
      <c r="G648">
        <f t="shared" si="32"/>
        <v>5.4595179875988756E-3</v>
      </c>
    </row>
    <row r="649" spans="2:7">
      <c r="B649">
        <v>403.79</v>
      </c>
      <c r="C649">
        <f t="shared" si="30"/>
        <v>-8.9650560935139456E-3</v>
      </c>
      <c r="D649">
        <v>118.11</v>
      </c>
      <c r="E649">
        <f t="shared" si="31"/>
        <v>-1.202269071204809E-2</v>
      </c>
      <c r="G649">
        <f t="shared" si="32"/>
        <v>-1.056572781631657E-2</v>
      </c>
    </row>
    <row r="650" spans="2:7">
      <c r="B650">
        <v>400.17</v>
      </c>
      <c r="C650">
        <f t="shared" si="30"/>
        <v>-5.297748456905782E-3</v>
      </c>
      <c r="D650">
        <v>116.69</v>
      </c>
      <c r="E650">
        <f t="shared" si="31"/>
        <v>8.569714628503533E-4</v>
      </c>
      <c r="G650">
        <f t="shared" si="32"/>
        <v>-2.0757525789134451E-3</v>
      </c>
    </row>
    <row r="651" spans="2:7">
      <c r="B651">
        <v>398.05</v>
      </c>
      <c r="C651">
        <f t="shared" si="30"/>
        <v>-3.768370807688548E-4</v>
      </c>
      <c r="D651">
        <v>116.79</v>
      </c>
      <c r="E651">
        <f t="shared" si="31"/>
        <v>-7.4492679167736942E-3</v>
      </c>
      <c r="G651">
        <f t="shared" si="32"/>
        <v>-4.0792546234173889E-3</v>
      </c>
    </row>
    <row r="652" spans="2:7">
      <c r="B652">
        <v>397.9</v>
      </c>
      <c r="C652">
        <f t="shared" si="30"/>
        <v>-5.7552148781100376E-3</v>
      </c>
      <c r="D652">
        <v>115.92</v>
      </c>
      <c r="E652">
        <f t="shared" si="31"/>
        <v>9.4893029675646723E-4</v>
      </c>
      <c r="G652">
        <f t="shared" si="32"/>
        <v>-2.2455948790674222E-3</v>
      </c>
    </row>
    <row r="653" spans="2:7">
      <c r="B653">
        <v>395.61</v>
      </c>
      <c r="C653">
        <f t="shared" si="30"/>
        <v>1.0768180784105574E-2</v>
      </c>
      <c r="D653">
        <v>116.03</v>
      </c>
      <c r="E653">
        <f t="shared" si="31"/>
        <v>2.4131690080151369E-3</v>
      </c>
      <c r="G653">
        <f t="shared" si="32"/>
        <v>6.3943321193222309E-3</v>
      </c>
    </row>
    <row r="654" spans="2:7">
      <c r="B654">
        <v>399.87</v>
      </c>
      <c r="C654">
        <f t="shared" si="30"/>
        <v>5.6518368469753444E-3</v>
      </c>
      <c r="D654">
        <v>116.31</v>
      </c>
      <c r="E654">
        <f t="shared" si="31"/>
        <v>2.7426704496603893E-2</v>
      </c>
      <c r="G654">
        <f t="shared" si="32"/>
        <v>1.7050980061555893E-2</v>
      </c>
    </row>
    <row r="655" spans="2:7">
      <c r="B655">
        <v>402.13</v>
      </c>
      <c r="C655">
        <f t="shared" si="30"/>
        <v>1.2110511526123302E-2</v>
      </c>
      <c r="D655">
        <v>119.5</v>
      </c>
      <c r="E655">
        <f t="shared" si="31"/>
        <v>-1.0460251046025104E-2</v>
      </c>
      <c r="G655">
        <f t="shared" si="32"/>
        <v>2.9471731960361083E-4</v>
      </c>
    </row>
    <row r="656" spans="2:7">
      <c r="B656">
        <v>407</v>
      </c>
      <c r="C656">
        <f t="shared" si="30"/>
        <v>-1.6461916461917303E-3</v>
      </c>
      <c r="D656">
        <v>118.25</v>
      </c>
      <c r="E656">
        <f t="shared" si="31"/>
        <v>8.6257928118393945E-3</v>
      </c>
      <c r="G656">
        <f t="shared" si="32"/>
        <v>3.7311922175875646E-3</v>
      </c>
    </row>
    <row r="657" spans="2:7">
      <c r="B657">
        <v>406.33</v>
      </c>
      <c r="C657">
        <f t="shared" si="30"/>
        <v>3.5931385819407691E-3</v>
      </c>
      <c r="D657">
        <v>119.27</v>
      </c>
      <c r="E657">
        <f t="shared" si="31"/>
        <v>4.2760124088203622E-3</v>
      </c>
      <c r="G657">
        <f t="shared" si="32"/>
        <v>3.9506230303122366E-3</v>
      </c>
    </row>
    <row r="658" spans="2:7">
      <c r="B658">
        <v>407.79</v>
      </c>
      <c r="C658">
        <f t="shared" si="30"/>
        <v>-8.8525956987665078E-3</v>
      </c>
      <c r="D658">
        <v>119.78</v>
      </c>
      <c r="E658">
        <f t="shared" si="31"/>
        <v>4.0073468024712788E-3</v>
      </c>
      <c r="G658">
        <f t="shared" si="32"/>
        <v>-2.1204157993685259E-3</v>
      </c>
    </row>
    <row r="659" spans="2:7">
      <c r="B659">
        <v>404.18</v>
      </c>
      <c r="C659">
        <f t="shared" si="30"/>
        <v>2.4246622791825878E-3</v>
      </c>
      <c r="D659">
        <v>120.26</v>
      </c>
      <c r="E659">
        <f t="shared" si="31"/>
        <v>-2.8272077166140441E-3</v>
      </c>
      <c r="G659">
        <f t="shared" si="32"/>
        <v>-3.2469166361694937E-4</v>
      </c>
    </row>
    <row r="660" spans="2:7">
      <c r="B660">
        <v>405.16</v>
      </c>
      <c r="C660">
        <f t="shared" si="30"/>
        <v>-4.3192812715964202E-3</v>
      </c>
      <c r="D660">
        <v>119.92</v>
      </c>
      <c r="E660">
        <f t="shared" si="31"/>
        <v>-3.9192795196797414E-3</v>
      </c>
      <c r="G660">
        <f t="shared" si="32"/>
        <v>-4.1098803544680389E-3</v>
      </c>
    </row>
    <row r="661" spans="2:7">
      <c r="B661">
        <v>403.41</v>
      </c>
      <c r="C661">
        <f t="shared" si="30"/>
        <v>-1.650925857068497E-2</v>
      </c>
      <c r="D661">
        <v>119.45</v>
      </c>
      <c r="E661">
        <f t="shared" si="31"/>
        <v>-3.3486814566774381E-4</v>
      </c>
      <c r="G661">
        <f t="shared" si="32"/>
        <v>-8.0419651831884521E-3</v>
      </c>
    </row>
    <row r="662" spans="2:7">
      <c r="B662">
        <v>396.75</v>
      </c>
      <c r="C662">
        <f t="shared" si="30"/>
        <v>3.0245746691870412E-3</v>
      </c>
      <c r="D662">
        <v>119.41</v>
      </c>
      <c r="E662">
        <f t="shared" si="31"/>
        <v>1.9261368394606793E-2</v>
      </c>
      <c r="G662">
        <f t="shared" si="32"/>
        <v>1.1524536184444283E-2</v>
      </c>
    </row>
    <row r="663" spans="2:7">
      <c r="B663">
        <v>397.95</v>
      </c>
      <c r="C663">
        <f t="shared" si="30"/>
        <v>-9.6745822339489029E-3</v>
      </c>
      <c r="D663">
        <v>121.71</v>
      </c>
      <c r="E663">
        <f t="shared" si="31"/>
        <v>-5.8335387396268867E-3</v>
      </c>
      <c r="G663">
        <f t="shared" si="32"/>
        <v>-7.6637959646713274E-3</v>
      </c>
    </row>
    <row r="664" spans="2:7">
      <c r="B664">
        <v>394.1</v>
      </c>
      <c r="C664">
        <f t="shared" si="30"/>
        <v>1.0936310581070696E-2</v>
      </c>
      <c r="D664">
        <v>121</v>
      </c>
      <c r="E664">
        <f t="shared" si="31"/>
        <v>-5.1239669421487832E-3</v>
      </c>
      <c r="G664">
        <f t="shared" si="32"/>
        <v>2.5287552976652979E-3</v>
      </c>
    </row>
    <row r="665" spans="2:7">
      <c r="B665">
        <v>398.41</v>
      </c>
      <c r="C665">
        <f t="shared" si="30"/>
        <v>-1.0692502698225526E-2</v>
      </c>
      <c r="D665">
        <v>120.38</v>
      </c>
      <c r="E665">
        <f t="shared" si="31"/>
        <v>2.7579332114969324E-2</v>
      </c>
      <c r="G665">
        <f t="shared" si="32"/>
        <v>9.3428028264819808E-3</v>
      </c>
    </row>
    <row r="666" spans="2:7">
      <c r="B666">
        <v>394.15</v>
      </c>
      <c r="C666">
        <f t="shared" si="30"/>
        <v>-1.0833439046048388E-2</v>
      </c>
      <c r="D666">
        <v>123.7</v>
      </c>
      <c r="E666">
        <f t="shared" si="31"/>
        <v>-5.4971705739693677E-3</v>
      </c>
      <c r="G666">
        <f t="shared" si="32"/>
        <v>-8.0399025009150211E-3</v>
      </c>
    </row>
    <row r="667" spans="2:7">
      <c r="B667">
        <v>389.88</v>
      </c>
      <c r="C667">
        <f t="shared" si="30"/>
        <v>-4.7450497589002216E-3</v>
      </c>
      <c r="D667">
        <v>123.02</v>
      </c>
      <c r="E667">
        <f t="shared" si="31"/>
        <v>-1.3818891237197262E-3</v>
      </c>
      <c r="G667">
        <f t="shared" si="32"/>
        <v>-2.9844351663832324E-3</v>
      </c>
    </row>
    <row r="668" spans="2:7">
      <c r="B668">
        <v>388.03</v>
      </c>
      <c r="C668">
        <f t="shared" si="30"/>
        <v>1.2550575986392865E-2</v>
      </c>
      <c r="D668">
        <v>122.85</v>
      </c>
      <c r="E668">
        <f t="shared" si="31"/>
        <v>-6.4306064306063337E-3</v>
      </c>
      <c r="G668">
        <f t="shared" si="32"/>
        <v>2.6139269910937834E-3</v>
      </c>
    </row>
    <row r="669" spans="2:7">
      <c r="B669">
        <v>392.9</v>
      </c>
      <c r="C669">
        <f t="shared" si="30"/>
        <v>-1.6543649783659076E-3</v>
      </c>
      <c r="D669">
        <v>122.06</v>
      </c>
      <c r="E669">
        <f t="shared" si="31"/>
        <v>2.9493691627069385E-3</v>
      </c>
      <c r="G669">
        <f t="shared" si="32"/>
        <v>7.5568984448572758E-4</v>
      </c>
    </row>
    <row r="670" spans="2:7">
      <c r="B670">
        <v>392.25</v>
      </c>
      <c r="C670">
        <f t="shared" si="30"/>
        <v>-2.1669853409815865E-3</v>
      </c>
      <c r="D670">
        <v>122.42</v>
      </c>
      <c r="E670">
        <f t="shared" si="31"/>
        <v>5.4729619343245606E-3</v>
      </c>
      <c r="G670">
        <f t="shared" si="32"/>
        <v>1.832527057641182E-3</v>
      </c>
    </row>
    <row r="671" spans="2:7">
      <c r="B671">
        <v>391.4</v>
      </c>
      <c r="C671">
        <f t="shared" si="30"/>
        <v>2.1716913643332614E-3</v>
      </c>
      <c r="D671">
        <v>123.09</v>
      </c>
      <c r="E671">
        <f t="shared" si="31"/>
        <v>-1.2348687951905246E-2</v>
      </c>
      <c r="G671">
        <f t="shared" si="32"/>
        <v>-5.4297272077175988E-3</v>
      </c>
    </row>
    <row r="672" spans="2:7">
      <c r="B672">
        <v>392.25</v>
      </c>
      <c r="C672">
        <f t="shared" si="30"/>
        <v>-1.529636711281146E-3</v>
      </c>
      <c r="D672">
        <v>121.57</v>
      </c>
      <c r="E672">
        <f t="shared" si="31"/>
        <v>7.2386279509748519E-3</v>
      </c>
      <c r="G672">
        <f t="shared" si="32"/>
        <v>3.0605498394098694E-3</v>
      </c>
    </row>
    <row r="673" spans="2:7">
      <c r="B673">
        <v>391.65</v>
      </c>
      <c r="C673">
        <f t="shared" si="30"/>
        <v>-5.4895953019277188E-3</v>
      </c>
      <c r="D673">
        <v>122.45</v>
      </c>
      <c r="E673">
        <f t="shared" si="31"/>
        <v>7.5949367088608E-3</v>
      </c>
      <c r="G673">
        <f t="shared" si="32"/>
        <v>1.3601572057200719E-3</v>
      </c>
    </row>
    <row r="674" spans="2:7">
      <c r="B674">
        <v>389.5</v>
      </c>
      <c r="C674">
        <f t="shared" si="30"/>
        <v>1.1296534017971593E-2</v>
      </c>
      <c r="D674">
        <v>123.38</v>
      </c>
      <c r="E674">
        <f t="shared" si="31"/>
        <v>-1.6453233911493004E-2</v>
      </c>
      <c r="G674">
        <f t="shared" si="32"/>
        <v>-3.2304694931031249E-3</v>
      </c>
    </row>
    <row r="675" spans="2:7">
      <c r="B675">
        <v>393.9</v>
      </c>
      <c r="C675">
        <f t="shared" si="30"/>
        <v>-1.3404417364813348E-2</v>
      </c>
      <c r="D675">
        <v>121.35</v>
      </c>
      <c r="E675">
        <f t="shared" si="31"/>
        <v>3.3786567779152676E-3</v>
      </c>
      <c r="G675">
        <f t="shared" si="32"/>
        <v>-4.618478051094917E-3</v>
      </c>
    </row>
    <row r="676" spans="2:7">
      <c r="B676">
        <v>388.62</v>
      </c>
      <c r="C676">
        <f t="shared" si="30"/>
        <v>6.5102156348102458E-3</v>
      </c>
      <c r="D676">
        <v>121.76</v>
      </c>
      <c r="E676">
        <f t="shared" si="31"/>
        <v>2.6609724047306216E-2</v>
      </c>
      <c r="G676">
        <f t="shared" si="32"/>
        <v>1.7032308288751886E-2</v>
      </c>
    </row>
    <row r="677" spans="2:7">
      <c r="B677">
        <v>391.15</v>
      </c>
      <c r="C677">
        <f t="shared" si="30"/>
        <v>-4.4995526013038578E-3</v>
      </c>
      <c r="D677">
        <v>125</v>
      </c>
      <c r="E677">
        <f t="shared" si="31"/>
        <v>3.0399999999999316E-3</v>
      </c>
      <c r="G677">
        <f t="shared" si="32"/>
        <v>-5.525968145213239E-4</v>
      </c>
    </row>
    <row r="678" spans="2:7">
      <c r="B678">
        <v>389.39</v>
      </c>
      <c r="C678">
        <f t="shared" si="30"/>
        <v>8.5004751020827385E-3</v>
      </c>
      <c r="D678">
        <v>125.38</v>
      </c>
      <c r="E678">
        <f t="shared" si="31"/>
        <v>-7.9757537087221664E-5</v>
      </c>
      <c r="G678">
        <f t="shared" si="32"/>
        <v>4.0087233154772637E-3</v>
      </c>
    </row>
    <row r="679" spans="2:7">
      <c r="B679">
        <v>392.7</v>
      </c>
      <c r="C679">
        <f t="shared" si="30"/>
        <v>-5.8314234784822006E-3</v>
      </c>
      <c r="D679">
        <v>125.37</v>
      </c>
      <c r="E679">
        <f t="shared" si="31"/>
        <v>-9.2526122676876987E-3</v>
      </c>
      <c r="G679">
        <f t="shared" si="32"/>
        <v>-7.6224158096312791E-3</v>
      </c>
    </row>
    <row r="680" spans="2:7">
      <c r="B680">
        <v>390.41</v>
      </c>
      <c r="C680">
        <f t="shared" si="30"/>
        <v>-1.2960733587766726E-2</v>
      </c>
      <c r="D680">
        <v>124.21</v>
      </c>
      <c r="E680">
        <f t="shared" si="31"/>
        <v>2.0932292085984461E-3</v>
      </c>
      <c r="G680">
        <f t="shared" si="32"/>
        <v>-5.0799840638695581E-3</v>
      </c>
    </row>
    <row r="681" spans="2:7">
      <c r="B681">
        <v>385.35</v>
      </c>
      <c r="C681">
        <f t="shared" si="30"/>
        <v>4.9305825872583142E-3</v>
      </c>
      <c r="D681">
        <v>124.47</v>
      </c>
      <c r="E681">
        <f t="shared" si="31"/>
        <v>-3.6153289949385492E-3</v>
      </c>
      <c r="G681">
        <f t="shared" si="32"/>
        <v>4.5679787397825554E-4</v>
      </c>
    </row>
    <row r="682" spans="2:7">
      <c r="B682">
        <v>387.25</v>
      </c>
      <c r="C682">
        <f t="shared" si="30"/>
        <v>-1.0974822466107148E-2</v>
      </c>
      <c r="D682">
        <v>124.02</v>
      </c>
      <c r="E682">
        <f t="shared" si="31"/>
        <v>-1.3384937913239803E-2</v>
      </c>
      <c r="G682">
        <f t="shared" si="32"/>
        <v>-1.2236517902681094E-2</v>
      </c>
    </row>
    <row r="683" spans="2:7">
      <c r="B683">
        <v>383</v>
      </c>
      <c r="C683">
        <f t="shared" si="30"/>
        <v>1.0130548302871967E-2</v>
      </c>
      <c r="D683">
        <v>122.36</v>
      </c>
      <c r="E683">
        <f t="shared" si="31"/>
        <v>4.2497548218372039E-3</v>
      </c>
      <c r="G683">
        <f t="shared" si="32"/>
        <v>7.0519529155502686E-3</v>
      </c>
    </row>
    <row r="684" spans="2:7">
      <c r="B684">
        <v>386.88</v>
      </c>
      <c r="C684">
        <f t="shared" si="30"/>
        <v>-8.736559139784883E-3</v>
      </c>
      <c r="D684">
        <v>122.88</v>
      </c>
      <c r="E684">
        <f t="shared" si="31"/>
        <v>-9.27734375E-3</v>
      </c>
      <c r="G684">
        <f t="shared" si="32"/>
        <v>-9.0196598832324969E-3</v>
      </c>
    </row>
    <row r="685" spans="2:7">
      <c r="B685">
        <v>383.5</v>
      </c>
      <c r="C685">
        <f t="shared" si="30"/>
        <v>2.3989569752281614E-2</v>
      </c>
      <c r="D685">
        <v>121.74</v>
      </c>
      <c r="E685">
        <f t="shared" si="31"/>
        <v>0</v>
      </c>
      <c r="G685">
        <f t="shared" si="32"/>
        <v>1.1431029986962188E-2</v>
      </c>
    </row>
    <row r="686" spans="2:7">
      <c r="B686">
        <v>392.7</v>
      </c>
      <c r="C686">
        <f t="shared" si="30"/>
        <v>-4.0870893812070319E-2</v>
      </c>
      <c r="D686">
        <v>121.74</v>
      </c>
      <c r="E686">
        <f t="shared" si="31"/>
        <v>-1.5689173648759658E-2</v>
      </c>
      <c r="G686">
        <f t="shared" si="32"/>
        <v>-2.7688263306577188E-2</v>
      </c>
    </row>
    <row r="687" spans="2:7">
      <c r="B687">
        <v>376.65</v>
      </c>
      <c r="C687">
        <f t="shared" si="30"/>
        <v>-1.5797159166334729E-2</v>
      </c>
      <c r="D687">
        <v>119.83</v>
      </c>
      <c r="E687">
        <f t="shared" si="31"/>
        <v>1.6690311274305536E-3</v>
      </c>
      <c r="G687">
        <f t="shared" si="32"/>
        <v>-6.6536085475486029E-3</v>
      </c>
    </row>
    <row r="688" spans="2:7">
      <c r="B688">
        <v>370.7</v>
      </c>
      <c r="C688">
        <f t="shared" si="30"/>
        <v>8.63231723765856E-3</v>
      </c>
      <c r="D688">
        <v>120.03</v>
      </c>
      <c r="E688">
        <f t="shared" si="31"/>
        <v>2.4993751562110145E-3</v>
      </c>
      <c r="G688">
        <f t="shared" si="32"/>
        <v>5.42172205802077E-3</v>
      </c>
    </row>
    <row r="689" spans="2:7">
      <c r="B689">
        <v>373.9</v>
      </c>
      <c r="C689">
        <f t="shared" si="30"/>
        <v>-1.5913345814388857E-2</v>
      </c>
      <c r="D689">
        <v>120.33</v>
      </c>
      <c r="E689">
        <f t="shared" si="31"/>
        <v>1.3379872018615568E-2</v>
      </c>
      <c r="G689">
        <f t="shared" si="32"/>
        <v>-5.7834627881103891E-4</v>
      </c>
    </row>
    <row r="690" spans="2:7">
      <c r="B690">
        <v>367.95</v>
      </c>
      <c r="C690">
        <f t="shared" si="30"/>
        <v>-1.3452914798206206E-2</v>
      </c>
      <c r="D690">
        <v>121.94</v>
      </c>
      <c r="E690">
        <f t="shared" si="31"/>
        <v>-3.6903395112350967E-3</v>
      </c>
      <c r="G690">
        <f t="shared" si="32"/>
        <v>-8.3422066354768305E-3</v>
      </c>
    </row>
    <row r="691" spans="2:7">
      <c r="B691">
        <v>363</v>
      </c>
      <c r="C691">
        <f t="shared" si="30"/>
        <v>2.7823691460053812E-3</v>
      </c>
      <c r="D691">
        <v>121.49</v>
      </c>
      <c r="E691">
        <f t="shared" si="31"/>
        <v>-8.1488188328256994E-3</v>
      </c>
      <c r="G691">
        <f t="shared" si="32"/>
        <v>-2.94010776091269E-3</v>
      </c>
    </row>
    <row r="692" spans="2:7">
      <c r="B692">
        <v>364.01</v>
      </c>
      <c r="C692">
        <f t="shared" si="30"/>
        <v>-1.4312793604571272E-2</v>
      </c>
      <c r="D692">
        <v>120.5</v>
      </c>
      <c r="E692">
        <f t="shared" si="31"/>
        <v>2.9045643153526868E-3</v>
      </c>
      <c r="G692">
        <f t="shared" si="32"/>
        <v>-5.2995067334910793E-3</v>
      </c>
    </row>
    <row r="693" spans="2:7">
      <c r="B693">
        <v>358.8</v>
      </c>
      <c r="C693">
        <f t="shared" si="30"/>
        <v>8.9186176142697082E-3</v>
      </c>
      <c r="D693">
        <v>120.85</v>
      </c>
      <c r="E693">
        <f t="shared" si="31"/>
        <v>1.4067025237898267E-2</v>
      </c>
      <c r="G693">
        <f t="shared" si="32"/>
        <v>1.161380900523926E-2</v>
      </c>
    </row>
    <row r="694" spans="2:7">
      <c r="B694">
        <v>362</v>
      </c>
      <c r="C694">
        <f t="shared" si="30"/>
        <v>-2.4861878453038555E-3</v>
      </c>
      <c r="D694">
        <v>122.55</v>
      </c>
      <c r="E694">
        <f t="shared" si="31"/>
        <v>2.6274989800081583E-2</v>
      </c>
      <c r="G694">
        <f t="shared" si="32"/>
        <v>1.2570288652055424E-2</v>
      </c>
    </row>
    <row r="695" spans="2:7">
      <c r="B695">
        <v>361.1</v>
      </c>
      <c r="C695">
        <f t="shared" si="30"/>
        <v>-1.1492661312655916E-2</v>
      </c>
      <c r="D695">
        <v>125.77</v>
      </c>
      <c r="E695">
        <f t="shared" si="31"/>
        <v>1.4152818637194864E-2</v>
      </c>
      <c r="G695">
        <f t="shared" si="32"/>
        <v>1.9327474410909687E-3</v>
      </c>
    </row>
    <row r="696" spans="2:7">
      <c r="B696">
        <v>356.95</v>
      </c>
      <c r="C696">
        <f t="shared" si="30"/>
        <v>5.4629499929961245E-3</v>
      </c>
      <c r="D696">
        <v>127.55</v>
      </c>
      <c r="E696">
        <f t="shared" si="31"/>
        <v>5.723245785966391E-3</v>
      </c>
      <c r="G696">
        <f t="shared" si="32"/>
        <v>5.5992148406160593E-3</v>
      </c>
    </row>
    <row r="697" spans="2:7">
      <c r="B697">
        <v>358.9</v>
      </c>
      <c r="C697">
        <f t="shared" si="30"/>
        <v>8.3588743382567721E-4</v>
      </c>
      <c r="D697">
        <v>128.28</v>
      </c>
      <c r="E697">
        <f t="shared" si="31"/>
        <v>7.8734019332709071E-3</v>
      </c>
      <c r="G697">
        <f t="shared" si="32"/>
        <v>4.5200262742852559E-3</v>
      </c>
    </row>
    <row r="698" spans="2:7">
      <c r="B698">
        <v>359.2</v>
      </c>
      <c r="C698">
        <f t="shared" si="30"/>
        <v>9.6046770601336817E-3</v>
      </c>
      <c r="D698">
        <v>129.29</v>
      </c>
      <c r="E698">
        <f t="shared" si="31"/>
        <v>-3.5578931085156196E-3</v>
      </c>
      <c r="G698">
        <f t="shared" si="32"/>
        <v>2.7140715768457719E-3</v>
      </c>
    </row>
    <row r="699" spans="2:7">
      <c r="B699">
        <v>362.65</v>
      </c>
      <c r="C699">
        <f t="shared" si="30"/>
        <v>2.3024955190955598E-2</v>
      </c>
      <c r="D699">
        <v>128.83000000000001</v>
      </c>
      <c r="E699">
        <f t="shared" si="31"/>
        <v>2.0957851432117369E-3</v>
      </c>
      <c r="G699">
        <f t="shared" si="32"/>
        <v>1.2068534670961686E-2</v>
      </c>
    </row>
    <row r="700" spans="2:7">
      <c r="B700">
        <v>371</v>
      </c>
      <c r="C700">
        <f t="shared" si="30"/>
        <v>-6.3342318059299574E-3</v>
      </c>
      <c r="D700">
        <v>129.1</v>
      </c>
      <c r="E700">
        <f t="shared" si="31"/>
        <v>-7.2037180480248875E-3</v>
      </c>
      <c r="G700">
        <f t="shared" si="32"/>
        <v>-6.7894078536666538E-3</v>
      </c>
    </row>
    <row r="701" spans="2:7">
      <c r="B701">
        <v>368.65</v>
      </c>
      <c r="C701">
        <f t="shared" si="30"/>
        <v>-5.9677200596771618E-3</v>
      </c>
      <c r="D701">
        <v>128.16999999999999</v>
      </c>
      <c r="E701">
        <f t="shared" si="31"/>
        <v>5.5395178278849766E-3</v>
      </c>
      <c r="G701">
        <f t="shared" si="32"/>
        <v>5.6318974461618248E-5</v>
      </c>
    </row>
    <row r="702" spans="2:7">
      <c r="B702">
        <v>366.45</v>
      </c>
      <c r="C702">
        <f t="shared" si="30"/>
        <v>-8.1866557511256488E-4</v>
      </c>
      <c r="D702">
        <v>128.88</v>
      </c>
      <c r="E702">
        <f t="shared" si="31"/>
        <v>3.4916201117318746E-3</v>
      </c>
      <c r="G702">
        <f t="shared" si="32"/>
        <v>1.4377689819504995E-3</v>
      </c>
    </row>
    <row r="703" spans="2:7">
      <c r="B703">
        <v>366.15</v>
      </c>
      <c r="C703">
        <f t="shared" si="30"/>
        <v>-1.7206063088897827E-2</v>
      </c>
      <c r="D703">
        <v>129.33000000000001</v>
      </c>
      <c r="E703">
        <f t="shared" si="31"/>
        <v>4.7939379880923561E-3</v>
      </c>
      <c r="G703">
        <f t="shared" si="32"/>
        <v>-5.6890625250934652E-3</v>
      </c>
    </row>
    <row r="704" spans="2:7">
      <c r="B704">
        <v>359.85</v>
      </c>
      <c r="C704">
        <f t="shared" si="30"/>
        <v>-3.1957760177853123E-3</v>
      </c>
      <c r="D704">
        <v>129.94999999999999</v>
      </c>
      <c r="E704">
        <f t="shared" si="31"/>
        <v>-9.1573682185456251E-3</v>
      </c>
      <c r="G704">
        <f t="shared" si="32"/>
        <v>-6.3166695348833369E-3</v>
      </c>
    </row>
    <row r="705" spans="2:7">
      <c r="B705">
        <v>358.7</v>
      </c>
      <c r="C705">
        <f t="shared" si="30"/>
        <v>-5.5756899916359348E-4</v>
      </c>
      <c r="D705">
        <v>128.76</v>
      </c>
      <c r="E705">
        <f t="shared" si="31"/>
        <v>-1.2426219322770993E-2</v>
      </c>
      <c r="G705">
        <f t="shared" si="32"/>
        <v>-6.7708074435720682E-3</v>
      </c>
    </row>
    <row r="706" spans="2:7">
      <c r="B706">
        <v>358.5</v>
      </c>
      <c r="C706">
        <f t="shared" si="30"/>
        <v>1.3138075313807507E-2</v>
      </c>
      <c r="D706">
        <v>127.16</v>
      </c>
      <c r="E706">
        <f t="shared" si="31"/>
        <v>6.7631330607109685E-3</v>
      </c>
      <c r="G706">
        <f t="shared" si="32"/>
        <v>9.8007930443114698E-3</v>
      </c>
    </row>
    <row r="707" spans="2:7">
      <c r="B707">
        <v>363.21</v>
      </c>
      <c r="C707">
        <f t="shared" ref="C707:C770" si="33">(B708/B707)-1</f>
        <v>-6.4342942099611777E-2</v>
      </c>
      <c r="D707">
        <v>128.02000000000001</v>
      </c>
      <c r="E707">
        <f t="shared" ref="E707:E770" si="34">(D708/D707)-1</f>
        <v>3.9056397437886581E-4</v>
      </c>
      <c r="G707">
        <f t="shared" si="32"/>
        <v>-3.0454951669877675E-2</v>
      </c>
    </row>
    <row r="708" spans="2:7">
      <c r="B708">
        <v>339.84</v>
      </c>
      <c r="C708">
        <f t="shared" si="33"/>
        <v>-2.3717043314500974E-2</v>
      </c>
      <c r="D708">
        <v>128.07</v>
      </c>
      <c r="E708">
        <f t="shared" si="34"/>
        <v>-3.1232919497148348E-4</v>
      </c>
      <c r="G708">
        <f t="shared" ref="G708:G771" si="35">C708*$J$5+E708*$J$6</f>
        <v>-1.1464675472927285E-2</v>
      </c>
    </row>
    <row r="709" spans="2:7">
      <c r="B709">
        <v>331.78</v>
      </c>
      <c r="C709">
        <f t="shared" si="33"/>
        <v>7.7460968111400241E-3</v>
      </c>
      <c r="D709">
        <v>128.03</v>
      </c>
      <c r="E709">
        <f t="shared" si="34"/>
        <v>-2.9290010153870227E-2</v>
      </c>
      <c r="G709">
        <f t="shared" si="35"/>
        <v>-1.1642305185042844E-2</v>
      </c>
    </row>
    <row r="710" spans="2:7">
      <c r="B710">
        <v>334.35</v>
      </c>
      <c r="C710">
        <f t="shared" si="33"/>
        <v>1.4954389113186473E-4</v>
      </c>
      <c r="D710">
        <v>124.28</v>
      </c>
      <c r="E710">
        <f t="shared" si="34"/>
        <v>-1.327647248149344E-2</v>
      </c>
      <c r="G710">
        <f t="shared" si="35"/>
        <v>-6.8789756799374829E-3</v>
      </c>
    </row>
    <row r="711" spans="2:7">
      <c r="B711">
        <v>334.4</v>
      </c>
      <c r="C711">
        <f t="shared" si="33"/>
        <v>6.4892344497607723E-2</v>
      </c>
      <c r="D711">
        <v>122.63</v>
      </c>
      <c r="E711">
        <f t="shared" si="34"/>
        <v>-1.3128924406752063E-2</v>
      </c>
      <c r="G711">
        <f t="shared" si="35"/>
        <v>2.4048210226175371E-2</v>
      </c>
    </row>
    <row r="712" spans="2:7">
      <c r="B712">
        <v>356.1</v>
      </c>
      <c r="C712">
        <f t="shared" si="33"/>
        <v>-2.4150519516989655E-2</v>
      </c>
      <c r="D712">
        <v>121.02</v>
      </c>
      <c r="E712">
        <f t="shared" si="34"/>
        <v>3.0656089902495465E-2</v>
      </c>
      <c r="G712">
        <f t="shared" si="35"/>
        <v>4.5407405141108075E-3</v>
      </c>
    </row>
    <row r="713" spans="2:7">
      <c r="B713">
        <v>347.5</v>
      </c>
      <c r="C713">
        <f t="shared" si="33"/>
        <v>1.1510791366906581E-2</v>
      </c>
      <c r="D713">
        <v>124.73</v>
      </c>
      <c r="E713">
        <f t="shared" si="34"/>
        <v>-1.082337849755477E-2</v>
      </c>
      <c r="G713">
        <f t="shared" si="35"/>
        <v>-1.811465571389375E-4</v>
      </c>
    </row>
    <row r="714" spans="2:7">
      <c r="B714">
        <v>351.5</v>
      </c>
      <c r="C714">
        <f t="shared" si="33"/>
        <v>8.3926031294452308E-3</v>
      </c>
      <c r="D714">
        <v>123.38</v>
      </c>
      <c r="E714">
        <f t="shared" si="34"/>
        <v>1.0293402496352799E-2</v>
      </c>
      <c r="G714">
        <f t="shared" si="35"/>
        <v>9.3876715980213445E-3</v>
      </c>
    </row>
    <row r="715" spans="2:7">
      <c r="B715">
        <v>354.45</v>
      </c>
      <c r="C715">
        <f t="shared" si="33"/>
        <v>3.667654112004648E-3</v>
      </c>
      <c r="D715">
        <v>124.65</v>
      </c>
      <c r="E715">
        <f t="shared" si="34"/>
        <v>1.3798636181307611E-2</v>
      </c>
      <c r="G715">
        <f t="shared" si="35"/>
        <v>8.9712232252847496E-3</v>
      </c>
    </row>
    <row r="716" spans="2:7">
      <c r="B716">
        <v>355.75</v>
      </c>
      <c r="C716">
        <f t="shared" si="33"/>
        <v>-2.6282501756851762E-2</v>
      </c>
      <c r="D716">
        <v>126.37</v>
      </c>
      <c r="E716">
        <f t="shared" si="34"/>
        <v>-1.4243886998497324E-3</v>
      </c>
      <c r="G716">
        <f t="shared" si="35"/>
        <v>-1.32692795715112E-2</v>
      </c>
    </row>
    <row r="717" spans="2:7">
      <c r="B717">
        <v>346.4</v>
      </c>
      <c r="C717">
        <f t="shared" si="33"/>
        <v>-7.650115473441077E-3</v>
      </c>
      <c r="D717">
        <v>126.19</v>
      </c>
      <c r="E717">
        <f t="shared" si="34"/>
        <v>-7.0528568032331984E-3</v>
      </c>
      <c r="G717">
        <f t="shared" si="35"/>
        <v>-7.337450559587253E-3</v>
      </c>
    </row>
    <row r="718" spans="2:7">
      <c r="B718">
        <v>343.75</v>
      </c>
      <c r="C718">
        <f t="shared" si="33"/>
        <v>-1.3090909090909042E-2</v>
      </c>
      <c r="D718">
        <v>125.3</v>
      </c>
      <c r="E718">
        <f t="shared" si="34"/>
        <v>1.0055865921787754E-2</v>
      </c>
      <c r="G718">
        <f t="shared" si="35"/>
        <v>-9.7357237176226834E-4</v>
      </c>
    </row>
    <row r="719" spans="2:7">
      <c r="B719">
        <v>339.25</v>
      </c>
      <c r="C719">
        <f t="shared" si="33"/>
        <v>1.3706705969049215E-2</v>
      </c>
      <c r="D719">
        <v>126.56</v>
      </c>
      <c r="E719">
        <f t="shared" si="34"/>
        <v>6.4791403286978966E-3</v>
      </c>
      <c r="G719">
        <f t="shared" si="35"/>
        <v>9.9230753563253008E-3</v>
      </c>
    </row>
    <row r="720" spans="2:7">
      <c r="B720">
        <v>343.9</v>
      </c>
      <c r="C720">
        <f t="shared" si="33"/>
        <v>1.5120674614713669E-2</v>
      </c>
      <c r="D720">
        <v>127.38</v>
      </c>
      <c r="E720">
        <f t="shared" si="34"/>
        <v>1.3345894174909834E-2</v>
      </c>
      <c r="G720">
        <f t="shared" si="35"/>
        <v>1.4191577054476361E-2</v>
      </c>
    </row>
    <row r="721" spans="2:7">
      <c r="B721">
        <v>349.1</v>
      </c>
      <c r="C721">
        <f t="shared" si="33"/>
        <v>6.5883700945286172E-3</v>
      </c>
      <c r="D721">
        <v>129.08000000000001</v>
      </c>
      <c r="E721">
        <f t="shared" si="34"/>
        <v>1.7818407189339913E-2</v>
      </c>
      <c r="G721">
        <f t="shared" si="35"/>
        <v>1.2467294513662332E-2</v>
      </c>
    </row>
    <row r="722" spans="2:7">
      <c r="B722">
        <v>351.4</v>
      </c>
      <c r="C722">
        <f t="shared" si="33"/>
        <v>-6.1183836084234278E-3</v>
      </c>
      <c r="D722">
        <v>131.38</v>
      </c>
      <c r="E722">
        <f t="shared" si="34"/>
        <v>1.4461866341908269E-3</v>
      </c>
      <c r="G722">
        <f t="shared" si="35"/>
        <v>-2.1583310864148652E-3</v>
      </c>
    </row>
    <row r="723" spans="2:7">
      <c r="B723">
        <v>349.25</v>
      </c>
      <c r="C723">
        <f t="shared" si="33"/>
        <v>3.8654259126700286E-3</v>
      </c>
      <c r="D723">
        <v>131.57</v>
      </c>
      <c r="E723">
        <f t="shared" si="34"/>
        <v>2.0521395454891067E-3</v>
      </c>
      <c r="G723">
        <f t="shared" si="35"/>
        <v>2.9161704994508158E-3</v>
      </c>
    </row>
    <row r="724" spans="2:7">
      <c r="B724">
        <v>350.6</v>
      </c>
      <c r="C724">
        <f t="shared" si="33"/>
        <v>1.0695949800342275E-2</v>
      </c>
      <c r="D724">
        <v>131.84</v>
      </c>
      <c r="E724">
        <f t="shared" si="34"/>
        <v>6.0679611650482634E-4</v>
      </c>
      <c r="G724">
        <f t="shared" si="35"/>
        <v>5.4142778468533707E-3</v>
      </c>
    </row>
    <row r="725" spans="2:7">
      <c r="B725">
        <v>354.35</v>
      </c>
      <c r="C725">
        <f t="shared" si="33"/>
        <v>1.5944687455905049E-2</v>
      </c>
      <c r="D725">
        <v>131.91999999999999</v>
      </c>
      <c r="E725">
        <f t="shared" si="34"/>
        <v>-9.8544572468162173E-4</v>
      </c>
      <c r="G725">
        <f t="shared" si="35"/>
        <v>7.0817627358679257E-3</v>
      </c>
    </row>
    <row r="726" spans="2:7">
      <c r="B726">
        <v>360</v>
      </c>
      <c r="C726">
        <f t="shared" si="33"/>
        <v>1.388888888889106E-4</v>
      </c>
      <c r="D726">
        <v>131.79</v>
      </c>
      <c r="E726">
        <f t="shared" si="34"/>
        <v>1.5934441156386647E-3</v>
      </c>
      <c r="G726">
        <f t="shared" si="35"/>
        <v>9.0034855009240699E-4</v>
      </c>
    </row>
    <row r="727" spans="2:7">
      <c r="B727">
        <v>360.05</v>
      </c>
      <c r="C727">
        <f t="shared" si="33"/>
        <v>-4.1660880433272984E-3</v>
      </c>
      <c r="D727">
        <v>132</v>
      </c>
      <c r="E727">
        <f t="shared" si="34"/>
        <v>-1.2121212121212088E-2</v>
      </c>
      <c r="G727">
        <f t="shared" si="35"/>
        <v>-8.3305954980999863E-3</v>
      </c>
    </row>
    <row r="728" spans="2:7">
      <c r="B728">
        <v>358.55</v>
      </c>
      <c r="C728">
        <f t="shared" si="33"/>
        <v>1.0570352809928796E-2</v>
      </c>
      <c r="D728">
        <v>130.4</v>
      </c>
      <c r="E728">
        <f t="shared" si="34"/>
        <v>7.6687116564277957E-5</v>
      </c>
      <c r="G728">
        <f t="shared" si="35"/>
        <v>5.07691881945247E-3</v>
      </c>
    </row>
    <row r="729" spans="2:7">
      <c r="B729">
        <v>362.34</v>
      </c>
      <c r="C729">
        <f t="shared" si="33"/>
        <v>-7.6999503229010502E-3</v>
      </c>
      <c r="D729">
        <v>130.41</v>
      </c>
      <c r="E729">
        <f t="shared" si="34"/>
        <v>-9.2017483321837901E-4</v>
      </c>
      <c r="G729">
        <f t="shared" si="35"/>
        <v>-4.1507378540521717E-3</v>
      </c>
    </row>
    <row r="730" spans="2:7">
      <c r="B730">
        <v>359.55</v>
      </c>
      <c r="C730">
        <f t="shared" si="33"/>
        <v>-4.0328188012793698E-3</v>
      </c>
      <c r="D730">
        <v>130.29</v>
      </c>
      <c r="E730">
        <f t="shared" si="34"/>
        <v>2.0953258116509499E-2</v>
      </c>
      <c r="G730">
        <f t="shared" si="35"/>
        <v>9.0473924651831052E-3</v>
      </c>
    </row>
    <row r="731" spans="2:7">
      <c r="B731">
        <v>358.1</v>
      </c>
      <c r="C731">
        <f t="shared" si="33"/>
        <v>3.9374476403239322E-2</v>
      </c>
      <c r="D731">
        <v>133.02000000000001</v>
      </c>
      <c r="E731">
        <f t="shared" si="34"/>
        <v>2.3304766200571425E-3</v>
      </c>
      <c r="G731">
        <f t="shared" si="35"/>
        <v>1.9981942516743449E-2</v>
      </c>
    </row>
    <row r="732" spans="2:7">
      <c r="B732">
        <v>372.2</v>
      </c>
      <c r="C732">
        <f t="shared" si="33"/>
        <v>-6.0451370231058288E-3</v>
      </c>
      <c r="D732">
        <v>133.33000000000001</v>
      </c>
      <c r="E732">
        <f t="shared" si="34"/>
        <v>3.7500937523415878E-4</v>
      </c>
      <c r="G732">
        <f t="shared" si="35"/>
        <v>-2.684190383574845E-3</v>
      </c>
    </row>
    <row r="733" spans="2:7">
      <c r="B733">
        <v>369.95</v>
      </c>
      <c r="C733">
        <f t="shared" si="33"/>
        <v>5.4061359643196027E-3</v>
      </c>
      <c r="D733">
        <v>133.38</v>
      </c>
      <c r="E733">
        <f t="shared" si="34"/>
        <v>1.7243964612385643E-2</v>
      </c>
      <c r="G733">
        <f t="shared" si="35"/>
        <v>1.1603239261582177E-2</v>
      </c>
    </row>
    <row r="734" spans="2:7">
      <c r="B734">
        <v>371.95</v>
      </c>
      <c r="C734">
        <f t="shared" si="33"/>
        <v>1.2904960344132244E-2</v>
      </c>
      <c r="D734">
        <v>135.68</v>
      </c>
      <c r="E734">
        <f t="shared" si="34"/>
        <v>-3.4640330188678847E-3</v>
      </c>
      <c r="G734">
        <f t="shared" si="35"/>
        <v>4.3357923186016761E-3</v>
      </c>
    </row>
    <row r="735" spans="2:7">
      <c r="B735">
        <v>376.75</v>
      </c>
      <c r="C735">
        <f t="shared" si="33"/>
        <v>4.2468480424684429E-3</v>
      </c>
      <c r="D735">
        <v>135.21</v>
      </c>
      <c r="E735">
        <f t="shared" si="34"/>
        <v>6.3604762961317896E-3</v>
      </c>
      <c r="G735">
        <f t="shared" si="35"/>
        <v>5.3533324332612053E-3</v>
      </c>
    </row>
    <row r="736" spans="2:7">
      <c r="B736">
        <v>378.35</v>
      </c>
      <c r="C736">
        <f t="shared" si="33"/>
        <v>-2.1408748513281894E-3</v>
      </c>
      <c r="D736">
        <v>136.07</v>
      </c>
      <c r="E736">
        <f t="shared" si="34"/>
        <v>-8.8189902256197161E-4</v>
      </c>
      <c r="G736">
        <f t="shared" si="35"/>
        <v>-1.4818010049690745E-3</v>
      </c>
    </row>
    <row r="737" spans="2:7">
      <c r="B737">
        <v>377.54</v>
      </c>
      <c r="C737">
        <f t="shared" si="33"/>
        <v>2.6487259628060755E-5</v>
      </c>
      <c r="D737">
        <v>135.94999999999999</v>
      </c>
      <c r="E737">
        <f t="shared" si="34"/>
        <v>3.1629275468922913E-3</v>
      </c>
      <c r="G737">
        <f t="shared" si="35"/>
        <v>1.6684137500108855E-3</v>
      </c>
    </row>
    <row r="738" spans="2:7">
      <c r="B738">
        <v>377.55</v>
      </c>
      <c r="C738">
        <f t="shared" si="33"/>
        <v>-2.0527082505628402E-2</v>
      </c>
      <c r="D738">
        <v>136.38</v>
      </c>
      <c r="E738">
        <f t="shared" si="34"/>
        <v>3.3729285819035226E-3</v>
      </c>
      <c r="G738">
        <f t="shared" si="35"/>
        <v>-8.0154267013054382E-3</v>
      </c>
    </row>
    <row r="739" spans="2:7">
      <c r="B739">
        <v>369.8</v>
      </c>
      <c r="C739">
        <f t="shared" si="33"/>
        <v>2.7041644131964304E-3</v>
      </c>
      <c r="D739">
        <v>136.84</v>
      </c>
      <c r="E739">
        <f t="shared" si="34"/>
        <v>-1.549254603916983E-2</v>
      </c>
      <c r="G739">
        <f t="shared" si="35"/>
        <v>-6.8218135086173075E-3</v>
      </c>
    </row>
    <row r="740" spans="2:7">
      <c r="B740">
        <v>370.8</v>
      </c>
      <c r="C740">
        <f t="shared" si="33"/>
        <v>-9.1693635382956717E-3</v>
      </c>
      <c r="D740">
        <v>134.72</v>
      </c>
      <c r="E740">
        <f t="shared" si="34"/>
        <v>-4.6021377672209596E-3</v>
      </c>
      <c r="G740">
        <f t="shared" si="35"/>
        <v>-6.7784208471380596E-3</v>
      </c>
    </row>
    <row r="741" spans="2:7">
      <c r="B741">
        <v>367.4</v>
      </c>
      <c r="C741">
        <f t="shared" si="33"/>
        <v>1.1948829613500411E-2</v>
      </c>
      <c r="D741">
        <v>134.1</v>
      </c>
      <c r="E741">
        <f t="shared" si="34"/>
        <v>3.8777032065624439E-3</v>
      </c>
      <c r="G741">
        <f t="shared" si="35"/>
        <v>7.7235949394683853E-3</v>
      </c>
    </row>
    <row r="742" spans="2:7">
      <c r="B742">
        <v>371.79</v>
      </c>
      <c r="C742">
        <f t="shared" si="33"/>
        <v>8.6339062373921305E-3</v>
      </c>
      <c r="D742">
        <v>134.62</v>
      </c>
      <c r="E742">
        <f t="shared" si="34"/>
        <v>2.3027781904620959E-3</v>
      </c>
      <c r="G742">
        <f t="shared" si="35"/>
        <v>5.3195607048242572E-3</v>
      </c>
    </row>
    <row r="743" spans="2:7">
      <c r="B743">
        <v>375</v>
      </c>
      <c r="C743">
        <f t="shared" si="33"/>
        <v>4.9333333333334561E-3</v>
      </c>
      <c r="D743">
        <v>134.93</v>
      </c>
      <c r="E743">
        <f t="shared" si="34"/>
        <v>1.0079300377973555E-2</v>
      </c>
      <c r="G743">
        <f t="shared" si="35"/>
        <v>7.6272470812025484E-3</v>
      </c>
    </row>
    <row r="744" spans="2:7">
      <c r="B744">
        <v>376.85</v>
      </c>
      <c r="C744">
        <f t="shared" si="33"/>
        <v>-3.1842908318960861E-3</v>
      </c>
      <c r="D744">
        <v>136.29</v>
      </c>
      <c r="E744">
        <f t="shared" si="34"/>
        <v>-4.4757502384620285E-3</v>
      </c>
      <c r="G744">
        <f t="shared" si="35"/>
        <v>-3.8603698312333571E-3</v>
      </c>
    </row>
    <row r="745" spans="2:7">
      <c r="B745">
        <v>375.65</v>
      </c>
      <c r="C745">
        <f t="shared" si="33"/>
        <v>8.3854651936643432E-3</v>
      </c>
      <c r="D745">
        <v>135.68</v>
      </c>
      <c r="E745">
        <f t="shared" si="34"/>
        <v>-2.5795990566037652E-3</v>
      </c>
      <c r="G745">
        <f t="shared" si="35"/>
        <v>2.6452540586489885E-3</v>
      </c>
    </row>
    <row r="746" spans="2:7">
      <c r="B746">
        <v>378.8</v>
      </c>
      <c r="C746">
        <f t="shared" si="33"/>
        <v>-2.2439281942978617E-3</v>
      </c>
      <c r="D746">
        <v>135.33000000000001</v>
      </c>
      <c r="E746">
        <f t="shared" si="34"/>
        <v>-1.0788443065100184E-2</v>
      </c>
      <c r="G746">
        <f t="shared" si="35"/>
        <v>-6.716981729162878E-3</v>
      </c>
    </row>
    <row r="747" spans="2:7">
      <c r="B747">
        <v>377.95</v>
      </c>
      <c r="C747">
        <f t="shared" si="33"/>
        <v>-2.2225162058472359E-3</v>
      </c>
      <c r="D747">
        <v>133.87</v>
      </c>
      <c r="E747">
        <f t="shared" si="34"/>
        <v>-1.7927840442221177E-3</v>
      </c>
      <c r="G747">
        <f t="shared" si="35"/>
        <v>-1.9975514192364864E-3</v>
      </c>
    </row>
    <row r="748" spans="2:7">
      <c r="B748">
        <v>377.11</v>
      </c>
      <c r="C748">
        <f t="shared" si="33"/>
        <v>1.2993556256795102E-3</v>
      </c>
      <c r="D748">
        <v>133.63</v>
      </c>
      <c r="E748">
        <f t="shared" si="34"/>
        <v>5.7621791513882137E-3</v>
      </c>
      <c r="G748">
        <f t="shared" si="35"/>
        <v>3.635643741388017E-3</v>
      </c>
    </row>
    <row r="749" spans="2:7">
      <c r="B749">
        <v>377.6</v>
      </c>
      <c r="C749">
        <f t="shared" si="33"/>
        <v>-1.5227754237288171E-2</v>
      </c>
      <c r="D749">
        <v>134.4</v>
      </c>
      <c r="E749">
        <f t="shared" si="34"/>
        <v>-3.794642857143038E-3</v>
      </c>
      <c r="G749">
        <f t="shared" si="35"/>
        <v>-9.2425204297821948E-3</v>
      </c>
    </row>
    <row r="750" spans="2:7">
      <c r="B750">
        <v>371.85</v>
      </c>
      <c r="C750">
        <f t="shared" si="33"/>
        <v>7.664380798709125E-3</v>
      </c>
      <c r="D750">
        <v>133.88999999999999</v>
      </c>
      <c r="E750">
        <f t="shared" si="34"/>
        <v>-5.6763014414817903E-3</v>
      </c>
      <c r="G750">
        <f t="shared" si="35"/>
        <v>6.8053364596918058E-4</v>
      </c>
    </row>
    <row r="751" spans="2:7">
      <c r="B751">
        <v>374.7</v>
      </c>
      <c r="C751">
        <f t="shared" si="33"/>
        <v>-6.6720042700829651E-4</v>
      </c>
      <c r="D751">
        <v>133.13</v>
      </c>
      <c r="E751">
        <f t="shared" si="34"/>
        <v>-1.3520618943889673E-3</v>
      </c>
      <c r="G751">
        <f t="shared" si="35"/>
        <v>-1.0257254051820777E-3</v>
      </c>
    </row>
    <row r="752" spans="2:7">
      <c r="B752">
        <v>374.45</v>
      </c>
      <c r="C752">
        <f t="shared" si="33"/>
        <v>7.3441046868740756E-3</v>
      </c>
      <c r="D752">
        <v>132.94999999999999</v>
      </c>
      <c r="E752">
        <f t="shared" si="34"/>
        <v>-2.4821361414064658E-3</v>
      </c>
      <c r="G752">
        <f t="shared" si="35"/>
        <v>2.2000676132692119E-3</v>
      </c>
    </row>
    <row r="753" spans="2:7">
      <c r="B753">
        <v>377.2</v>
      </c>
      <c r="C753">
        <f t="shared" si="33"/>
        <v>-7.9533404029692445E-3</v>
      </c>
      <c r="D753">
        <v>132.62</v>
      </c>
      <c r="E753">
        <f t="shared" si="34"/>
        <v>5.3536419846178518E-3</v>
      </c>
      <c r="G753">
        <f t="shared" si="35"/>
        <v>-9.8713512306739882E-4</v>
      </c>
    </row>
    <row r="754" spans="2:7">
      <c r="B754">
        <v>374.2</v>
      </c>
      <c r="C754">
        <f t="shared" si="33"/>
        <v>3.3404596472474957E-3</v>
      </c>
      <c r="D754">
        <v>133.33000000000001</v>
      </c>
      <c r="E754">
        <f t="shared" si="34"/>
        <v>5.0251256281406143E-3</v>
      </c>
      <c r="G754">
        <f t="shared" si="35"/>
        <v>4.2223822882450435E-3</v>
      </c>
    </row>
    <row r="755" spans="2:7">
      <c r="B755">
        <v>375.45</v>
      </c>
      <c r="C755">
        <f t="shared" si="33"/>
        <v>-1.0041283792781908E-2</v>
      </c>
      <c r="D755">
        <v>134</v>
      </c>
      <c r="E755">
        <f t="shared" si="34"/>
        <v>4.9253731343283924E-3</v>
      </c>
      <c r="G755">
        <f t="shared" si="35"/>
        <v>-2.2062388914396653E-3</v>
      </c>
    </row>
    <row r="756" spans="2:7">
      <c r="B756">
        <v>371.68</v>
      </c>
      <c r="C756">
        <f t="shared" si="33"/>
        <v>-1.0223848471803132E-3</v>
      </c>
      <c r="D756">
        <v>134.66</v>
      </c>
      <c r="E756">
        <f t="shared" si="34"/>
        <v>-4.0843606119113085E-3</v>
      </c>
      <c r="G756">
        <f t="shared" si="35"/>
        <v>-2.6253291600169897E-3</v>
      </c>
    </row>
    <row r="757" spans="2:7">
      <c r="B757">
        <v>371.3</v>
      </c>
      <c r="C757">
        <f t="shared" si="33"/>
        <v>-5.6558039321303877E-3</v>
      </c>
      <c r="D757">
        <v>134.11000000000001</v>
      </c>
      <c r="E757">
        <f t="shared" si="34"/>
        <v>1.4540302736559374E-2</v>
      </c>
      <c r="G757">
        <f t="shared" si="35"/>
        <v>4.9168579089287033E-3</v>
      </c>
    </row>
    <row r="758" spans="2:7">
      <c r="B758">
        <v>369.2</v>
      </c>
      <c r="C758">
        <f t="shared" si="33"/>
        <v>1.4897074756230477E-3</v>
      </c>
      <c r="D758">
        <v>136.06</v>
      </c>
      <c r="E758">
        <f t="shared" si="34"/>
        <v>-3.5278553579302097E-3</v>
      </c>
      <c r="G758">
        <f t="shared" si="35"/>
        <v>-1.1369866677420828E-3</v>
      </c>
    </row>
    <row r="759" spans="2:7">
      <c r="B759">
        <v>369.75</v>
      </c>
      <c r="C759">
        <f t="shared" si="33"/>
        <v>5.4090601757945667E-3</v>
      </c>
      <c r="D759">
        <v>135.58000000000001</v>
      </c>
      <c r="E759">
        <f t="shared" si="34"/>
        <v>-1.1358607464227899E-2</v>
      </c>
      <c r="G759">
        <f t="shared" si="35"/>
        <v>-3.3688138337571957E-3</v>
      </c>
    </row>
    <row r="760" spans="2:7">
      <c r="B760">
        <v>371.75</v>
      </c>
      <c r="C760">
        <f t="shared" si="33"/>
        <v>1.4391392064559527E-2</v>
      </c>
      <c r="D760">
        <v>134.04</v>
      </c>
      <c r="E760">
        <f t="shared" si="34"/>
        <v>-4.2524619516561835E-3</v>
      </c>
      <c r="G760">
        <f t="shared" si="35"/>
        <v>4.6313344870706017E-3</v>
      </c>
    </row>
    <row r="761" spans="2:7">
      <c r="B761">
        <v>377.1</v>
      </c>
      <c r="C761">
        <f t="shared" si="33"/>
        <v>6.364359586316537E-3</v>
      </c>
      <c r="D761">
        <v>133.47</v>
      </c>
      <c r="E761">
        <f t="shared" si="34"/>
        <v>4.4953922229713505E-3</v>
      </c>
      <c r="G761">
        <f t="shared" si="35"/>
        <v>5.3859551716053319E-3</v>
      </c>
    </row>
    <row r="762" spans="2:7">
      <c r="B762">
        <v>379.5</v>
      </c>
      <c r="C762">
        <f t="shared" si="33"/>
        <v>-2.6350461133070047E-3</v>
      </c>
      <c r="D762">
        <v>134.07</v>
      </c>
      <c r="E762">
        <f t="shared" si="34"/>
        <v>-9.9201909450286063E-3</v>
      </c>
      <c r="G762">
        <f t="shared" si="35"/>
        <v>-6.4488194327132634E-3</v>
      </c>
    </row>
    <row r="763" spans="2:7">
      <c r="B763">
        <v>378.5</v>
      </c>
      <c r="C763">
        <f t="shared" si="33"/>
        <v>3.9630118890356947E-3</v>
      </c>
      <c r="D763">
        <v>132.74</v>
      </c>
      <c r="E763">
        <f t="shared" si="34"/>
        <v>9.5675757119177973E-3</v>
      </c>
      <c r="G763">
        <f t="shared" si="35"/>
        <v>6.8970010503144755E-3</v>
      </c>
    </row>
    <row r="764" spans="2:7">
      <c r="B764">
        <v>380</v>
      </c>
      <c r="C764">
        <f t="shared" si="33"/>
        <v>-5.657894736842084E-3</v>
      </c>
      <c r="D764">
        <v>134.01</v>
      </c>
      <c r="E764">
        <f t="shared" si="34"/>
        <v>-1.6416685321990476E-3</v>
      </c>
      <c r="G764">
        <f t="shared" si="35"/>
        <v>-3.5554003187114542E-3</v>
      </c>
    </row>
    <row r="765" spans="2:7">
      <c r="B765">
        <v>377.85</v>
      </c>
      <c r="C765">
        <f t="shared" si="33"/>
        <v>5.2931057297869177E-3</v>
      </c>
      <c r="D765">
        <v>133.79</v>
      </c>
      <c r="E765">
        <f t="shared" si="34"/>
        <v>1.4350848344420575E-2</v>
      </c>
      <c r="G765">
        <f t="shared" si="35"/>
        <v>1.0034833988547638E-2</v>
      </c>
    </row>
    <row r="766" spans="2:7">
      <c r="B766">
        <v>379.85</v>
      </c>
      <c r="C766">
        <f t="shared" si="33"/>
        <v>-2.8958799526129786E-3</v>
      </c>
      <c r="D766">
        <v>135.71</v>
      </c>
      <c r="E766">
        <f t="shared" si="34"/>
        <v>5.3054306978115306E-3</v>
      </c>
      <c r="G766">
        <f t="shared" si="35"/>
        <v>1.3975061728842522E-3</v>
      </c>
    </row>
    <row r="767" spans="2:7">
      <c r="B767">
        <v>378.75</v>
      </c>
      <c r="C767">
        <f t="shared" si="33"/>
        <v>3.9603960396039639E-3</v>
      </c>
      <c r="D767">
        <v>136.43</v>
      </c>
      <c r="E767">
        <f t="shared" si="34"/>
        <v>-7.4030638422635242E-3</v>
      </c>
      <c r="G767">
        <f t="shared" si="35"/>
        <v>-1.9883752085536671E-3</v>
      </c>
    </row>
    <row r="768" spans="2:7">
      <c r="B768">
        <v>380.25</v>
      </c>
      <c r="C768">
        <f t="shared" si="33"/>
        <v>-2.2353714661407231E-3</v>
      </c>
      <c r="D768">
        <v>135.41999999999999</v>
      </c>
      <c r="E768">
        <f t="shared" si="34"/>
        <v>1.7205730320484447E-2</v>
      </c>
      <c r="G768">
        <f t="shared" si="35"/>
        <v>7.9420453191575563E-3</v>
      </c>
    </row>
    <row r="769" spans="2:7">
      <c r="B769">
        <v>379.4</v>
      </c>
      <c r="C769">
        <f t="shared" si="33"/>
        <v>8.8297311544545121E-3</v>
      </c>
      <c r="D769">
        <v>137.75</v>
      </c>
      <c r="E769">
        <f t="shared" si="34"/>
        <v>2.6134301270417382E-3</v>
      </c>
      <c r="G769">
        <f t="shared" si="35"/>
        <v>5.5754975666039248E-3</v>
      </c>
    </row>
    <row r="770" spans="2:7">
      <c r="B770">
        <v>382.75</v>
      </c>
      <c r="C770">
        <f t="shared" si="33"/>
        <v>-6.9235793598954043E-3</v>
      </c>
      <c r="D770">
        <v>138.11000000000001</v>
      </c>
      <c r="E770">
        <f t="shared" si="34"/>
        <v>-1.2309029034827446E-2</v>
      </c>
      <c r="G770">
        <f t="shared" si="35"/>
        <v>-9.7428622647223288E-3</v>
      </c>
    </row>
    <row r="771" spans="2:7">
      <c r="B771">
        <v>380.1</v>
      </c>
      <c r="C771">
        <f t="shared" ref="C771:C834" si="36">(B772/B771)-1</f>
        <v>1.7232307287555759E-2</v>
      </c>
      <c r="D771">
        <v>136.41</v>
      </c>
      <c r="E771">
        <f t="shared" ref="E771:E834" si="37">(D772/D771)-1</f>
        <v>-1.5394765779636055E-3</v>
      </c>
      <c r="G771">
        <f t="shared" si="35"/>
        <v>7.4052784339563712E-3</v>
      </c>
    </row>
    <row r="772" spans="2:7">
      <c r="B772">
        <v>386.65</v>
      </c>
      <c r="C772">
        <f t="shared" si="36"/>
        <v>9.957325746799528E-3</v>
      </c>
      <c r="D772">
        <v>136.19999999999999</v>
      </c>
      <c r="E772">
        <f t="shared" si="37"/>
        <v>-1.2848751835536021E-2</v>
      </c>
      <c r="G772">
        <f t="shared" ref="G772:G835" si="38">C772*$J$5+E772*$J$6</f>
        <v>-1.9816558675531332E-3</v>
      </c>
    </row>
    <row r="773" spans="2:7">
      <c r="B773">
        <v>390.5</v>
      </c>
      <c r="C773">
        <f t="shared" si="36"/>
        <v>-4.3533930857874159E-3</v>
      </c>
      <c r="D773">
        <v>134.44999999999999</v>
      </c>
      <c r="E773">
        <f t="shared" si="37"/>
        <v>-5.5039047973223232E-3</v>
      </c>
      <c r="G773">
        <f t="shared" si="38"/>
        <v>-4.9556859667759402E-3</v>
      </c>
    </row>
    <row r="774" spans="2:7">
      <c r="B774">
        <v>388.8</v>
      </c>
      <c r="C774">
        <f t="shared" si="36"/>
        <v>8.2304526748970819E-3</v>
      </c>
      <c r="D774">
        <v>133.71</v>
      </c>
      <c r="E774">
        <f t="shared" si="37"/>
        <v>-4.0385909804803166E-3</v>
      </c>
      <c r="G774">
        <f t="shared" si="38"/>
        <v>1.8076083213070136E-3</v>
      </c>
    </row>
    <row r="775" spans="2:7">
      <c r="B775">
        <v>392</v>
      </c>
      <c r="C775">
        <f t="shared" si="36"/>
        <v>-7.9336734693877808E-3</v>
      </c>
      <c r="D775">
        <v>133.16999999999999</v>
      </c>
      <c r="E775">
        <f t="shared" si="37"/>
        <v>-6.4579109409025337E-3</v>
      </c>
      <c r="G775">
        <f t="shared" si="38"/>
        <v>-7.1611117857257539E-3</v>
      </c>
    </row>
    <row r="776" spans="2:7">
      <c r="B776">
        <v>388.89</v>
      </c>
      <c r="C776">
        <f t="shared" si="36"/>
        <v>4.6542724163645133E-3</v>
      </c>
      <c r="D776">
        <v>132.31</v>
      </c>
      <c r="E776">
        <f t="shared" si="37"/>
        <v>-5.2906053964174582E-4</v>
      </c>
      <c r="G776">
        <f t="shared" si="38"/>
        <v>1.9407976138952365E-3</v>
      </c>
    </row>
    <row r="777" spans="2:7">
      <c r="B777">
        <v>390.7</v>
      </c>
      <c r="C777">
        <f t="shared" si="36"/>
        <v>3.276170975172743E-3</v>
      </c>
      <c r="D777">
        <v>132.24</v>
      </c>
      <c r="E777">
        <f t="shared" si="37"/>
        <v>1.9661222020568303E-3</v>
      </c>
      <c r="G777">
        <f t="shared" si="38"/>
        <v>2.5903604424465628E-3</v>
      </c>
    </row>
    <row r="778" spans="2:7">
      <c r="B778">
        <v>391.98</v>
      </c>
      <c r="C778">
        <f t="shared" si="36"/>
        <v>5.8676463084850194E-3</v>
      </c>
      <c r="D778">
        <v>132.5</v>
      </c>
      <c r="E778">
        <f t="shared" si="37"/>
        <v>3.7735849056619308E-4</v>
      </c>
      <c r="G778">
        <f t="shared" si="38"/>
        <v>2.9934806358045138E-3</v>
      </c>
    </row>
    <row r="779" spans="2:7">
      <c r="B779">
        <v>394.28</v>
      </c>
      <c r="C779">
        <f t="shared" si="36"/>
        <v>-1.6232119306076598E-3</v>
      </c>
      <c r="D779">
        <v>132.55000000000001</v>
      </c>
      <c r="E779">
        <f t="shared" si="37"/>
        <v>-1.5767634854771839E-2</v>
      </c>
      <c r="G779">
        <f t="shared" si="38"/>
        <v>-9.0278173314076084E-3</v>
      </c>
    </row>
    <row r="780" spans="2:7">
      <c r="B780">
        <v>393.64</v>
      </c>
      <c r="C780">
        <f t="shared" si="36"/>
        <v>-4.0646275784972374E-4</v>
      </c>
      <c r="D780">
        <v>130.46</v>
      </c>
      <c r="E780">
        <f t="shared" si="37"/>
        <v>5.5189330062854758E-3</v>
      </c>
      <c r="G780">
        <f t="shared" si="38"/>
        <v>2.6954819246750535E-3</v>
      </c>
    </row>
    <row r="781" spans="2:7">
      <c r="B781">
        <v>393.48</v>
      </c>
      <c r="C781">
        <f t="shared" si="36"/>
        <v>7.6242756938071921E-4</v>
      </c>
      <c r="D781">
        <v>131.18</v>
      </c>
      <c r="E781">
        <f t="shared" si="37"/>
        <v>-8.3854246074110961E-4</v>
      </c>
      <c r="G781">
        <f t="shared" si="38"/>
        <v>-7.5680241388058258E-5</v>
      </c>
    </row>
    <row r="782" spans="2:7">
      <c r="B782">
        <v>393.78</v>
      </c>
      <c r="C782">
        <f t="shared" si="36"/>
        <v>5.0789781096050035E-4</v>
      </c>
      <c r="D782">
        <v>131.07</v>
      </c>
      <c r="E782">
        <f t="shared" si="37"/>
        <v>9.7657740138856752E-3</v>
      </c>
      <c r="G782">
        <f t="shared" si="38"/>
        <v>5.3543960031918305E-3</v>
      </c>
    </row>
    <row r="783" spans="2:7">
      <c r="B783">
        <v>393.98</v>
      </c>
      <c r="C783">
        <f t="shared" si="36"/>
        <v>1.0965023605259194E-2</v>
      </c>
      <c r="D783">
        <v>132.35</v>
      </c>
      <c r="E783">
        <f t="shared" si="37"/>
        <v>-1.1182470721571525E-2</v>
      </c>
      <c r="G783">
        <f t="shared" si="38"/>
        <v>-6.2918967483668788E-4</v>
      </c>
    </row>
    <row r="784" spans="2:7">
      <c r="B784">
        <v>398.3</v>
      </c>
      <c r="C784">
        <f t="shared" si="36"/>
        <v>5.2975144363545112E-3</v>
      </c>
      <c r="D784">
        <v>130.87</v>
      </c>
      <c r="E784">
        <f t="shared" si="37"/>
        <v>-2.2923511882021463E-3</v>
      </c>
      <c r="G784">
        <f t="shared" si="38"/>
        <v>1.3242197818991008E-3</v>
      </c>
    </row>
    <row r="785" spans="2:7">
      <c r="B785">
        <v>400.41</v>
      </c>
      <c r="C785">
        <f t="shared" si="36"/>
        <v>-6.8429859394121273E-3</v>
      </c>
      <c r="D785">
        <v>130.57</v>
      </c>
      <c r="E785">
        <f t="shared" si="37"/>
        <v>-1.0262694340200662E-2</v>
      </c>
      <c r="G785">
        <f t="shared" si="38"/>
        <v>-8.6332032872249252E-3</v>
      </c>
    </row>
    <row r="786" spans="2:7">
      <c r="B786">
        <v>397.67</v>
      </c>
      <c r="C786">
        <f t="shared" si="36"/>
        <v>2.0620112153293402E-3</v>
      </c>
      <c r="D786">
        <v>129.22999999999999</v>
      </c>
      <c r="E786">
        <f t="shared" si="37"/>
        <v>4.3333591271377259E-3</v>
      </c>
      <c r="G786">
        <f t="shared" si="38"/>
        <v>3.2510618471610301E-3</v>
      </c>
    </row>
    <row r="787" spans="2:7">
      <c r="B787">
        <v>398.49</v>
      </c>
      <c r="C787">
        <f t="shared" si="36"/>
        <v>-1.2045471655499629E-3</v>
      </c>
      <c r="D787">
        <v>129.79</v>
      </c>
      <c r="E787">
        <f t="shared" si="37"/>
        <v>9.3997996764003666E-3</v>
      </c>
      <c r="G787">
        <f t="shared" si="38"/>
        <v>4.3468284062110358E-3</v>
      </c>
    </row>
    <row r="788" spans="2:7">
      <c r="B788">
        <v>398.01</v>
      </c>
      <c r="C788">
        <f t="shared" si="36"/>
        <v>-2.5652621793422203E-2</v>
      </c>
      <c r="D788">
        <v>131.01</v>
      </c>
      <c r="E788">
        <f t="shared" si="37"/>
        <v>-2.5188916876572875E-3</v>
      </c>
      <c r="G788">
        <f t="shared" si="38"/>
        <v>-1.3542114083054269E-2</v>
      </c>
    </row>
    <row r="789" spans="2:7">
      <c r="B789">
        <v>387.8</v>
      </c>
      <c r="C789">
        <f t="shared" si="36"/>
        <v>9.0252707581226499E-3</v>
      </c>
      <c r="D789">
        <v>130.68</v>
      </c>
      <c r="E789">
        <f t="shared" si="37"/>
        <v>-4.2087542087543284E-3</v>
      </c>
      <c r="G789">
        <f t="shared" si="38"/>
        <v>2.0972586879625518E-3</v>
      </c>
    </row>
    <row r="790" spans="2:7">
      <c r="B790">
        <v>391.3</v>
      </c>
      <c r="C790">
        <f t="shared" si="36"/>
        <v>-5.1111679018656098E-3</v>
      </c>
      <c r="D790">
        <v>130.13</v>
      </c>
      <c r="E790">
        <f t="shared" si="37"/>
        <v>-3.0738492276949358E-4</v>
      </c>
      <c r="G790">
        <f t="shared" si="38"/>
        <v>-2.596387512308793E-3</v>
      </c>
    </row>
    <row r="791" spans="2:7">
      <c r="B791">
        <v>389.3</v>
      </c>
      <c r="C791">
        <f t="shared" si="36"/>
        <v>-1.2843565373747978E-3</v>
      </c>
      <c r="D791">
        <v>130.09</v>
      </c>
      <c r="E791">
        <f t="shared" si="37"/>
        <v>9.9930817126603344E-4</v>
      </c>
      <c r="G791">
        <f t="shared" si="38"/>
        <v>-8.8858062401322535E-5</v>
      </c>
    </row>
    <row r="792" spans="2:7">
      <c r="B792">
        <v>388.8</v>
      </c>
      <c r="C792">
        <f t="shared" si="36"/>
        <v>-7.45884773662564E-3</v>
      </c>
      <c r="D792">
        <v>130.22</v>
      </c>
      <c r="E792">
        <f t="shared" si="37"/>
        <v>1.0213484871755663E-2</v>
      </c>
      <c r="G792">
        <f t="shared" si="38"/>
        <v>1.7926183838619723E-3</v>
      </c>
    </row>
    <row r="793" spans="2:7">
      <c r="B793">
        <v>385.9</v>
      </c>
      <c r="C793">
        <f t="shared" si="36"/>
        <v>1.1531484840632489E-2</v>
      </c>
      <c r="D793">
        <v>131.55000000000001</v>
      </c>
      <c r="E793">
        <f t="shared" si="37"/>
        <v>1.4747244393766623E-2</v>
      </c>
      <c r="G793">
        <f t="shared" si="38"/>
        <v>1.3214934966698209E-2</v>
      </c>
    </row>
    <row r="794" spans="2:7">
      <c r="B794">
        <v>390.35</v>
      </c>
      <c r="C794">
        <f t="shared" si="36"/>
        <v>-2.0750608428333761E-3</v>
      </c>
      <c r="D794">
        <v>133.49</v>
      </c>
      <c r="E794">
        <f t="shared" si="37"/>
        <v>-4.1201588133943368E-3</v>
      </c>
      <c r="G794">
        <f t="shared" si="38"/>
        <v>-3.145669630422039E-3</v>
      </c>
    </row>
    <row r="795" spans="2:7">
      <c r="B795">
        <v>389.54</v>
      </c>
      <c r="C795">
        <f t="shared" si="36"/>
        <v>8.7282435693381011E-4</v>
      </c>
      <c r="D795">
        <v>132.94</v>
      </c>
      <c r="E795">
        <f t="shared" si="37"/>
        <v>-2.1062133293214824E-3</v>
      </c>
      <c r="G795">
        <f t="shared" si="38"/>
        <v>-6.8670187182083575E-4</v>
      </c>
    </row>
    <row r="796" spans="2:7">
      <c r="B796">
        <v>389.88</v>
      </c>
      <c r="C796">
        <f t="shared" si="36"/>
        <v>5.3093259464449538E-3</v>
      </c>
      <c r="D796">
        <v>132.66</v>
      </c>
      <c r="E796">
        <f t="shared" si="37"/>
        <v>1.643298658224035E-2</v>
      </c>
      <c r="G796">
        <f t="shared" si="38"/>
        <v>1.1132562289283846E-2</v>
      </c>
    </row>
    <row r="797" spans="2:7">
      <c r="B797">
        <v>391.95</v>
      </c>
      <c r="C797">
        <f t="shared" si="36"/>
        <v>2.6789131266744537E-3</v>
      </c>
      <c r="D797">
        <v>134.84</v>
      </c>
      <c r="E797">
        <f t="shared" si="37"/>
        <v>-7.7870068229013434E-3</v>
      </c>
      <c r="G797">
        <f t="shared" si="38"/>
        <v>-2.799995966928477E-3</v>
      </c>
    </row>
    <row r="798" spans="2:7">
      <c r="B798">
        <v>393</v>
      </c>
      <c r="C798">
        <f t="shared" si="36"/>
        <v>-5.3435114503816994E-3</v>
      </c>
      <c r="D798">
        <v>133.79</v>
      </c>
      <c r="E798">
        <f t="shared" si="37"/>
        <v>-2.5412960609911828E-3</v>
      </c>
      <c r="G798">
        <f t="shared" si="38"/>
        <v>-3.8765516940357635E-3</v>
      </c>
    </row>
    <row r="799" spans="2:7">
      <c r="B799">
        <v>390.9</v>
      </c>
      <c r="C799">
        <f t="shared" si="36"/>
        <v>6.7792274238935857E-3</v>
      </c>
      <c r="D799">
        <v>133.44999999999999</v>
      </c>
      <c r="E799">
        <f t="shared" si="37"/>
        <v>-1.4986886474321892E-4</v>
      </c>
      <c r="G799">
        <f t="shared" si="38"/>
        <v>3.1518455167922183E-3</v>
      </c>
    </row>
    <row r="800" spans="2:7">
      <c r="B800">
        <v>393.55</v>
      </c>
      <c r="C800">
        <f t="shared" si="36"/>
        <v>6.2253843221953264E-3</v>
      </c>
      <c r="D800">
        <v>133.43</v>
      </c>
      <c r="E800">
        <f t="shared" si="37"/>
        <v>7.044892452971574E-3</v>
      </c>
      <c r="G800">
        <f t="shared" si="38"/>
        <v>6.6543968286566918E-3</v>
      </c>
    </row>
    <row r="801" spans="2:7">
      <c r="B801">
        <v>396</v>
      </c>
      <c r="C801">
        <f t="shared" si="36"/>
        <v>-8.787878787878789E-3</v>
      </c>
      <c r="D801">
        <v>134.37</v>
      </c>
      <c r="E801">
        <f t="shared" si="37"/>
        <v>-2.0093770931011501E-2</v>
      </c>
      <c r="G801">
        <f t="shared" si="38"/>
        <v>-1.4706513324808764E-2</v>
      </c>
    </row>
    <row r="802" spans="2:7">
      <c r="B802">
        <v>392.52</v>
      </c>
      <c r="C802">
        <f t="shared" si="36"/>
        <v>-1.1209619891979772E-3</v>
      </c>
      <c r="D802">
        <v>131.66999999999999</v>
      </c>
      <c r="E802">
        <f t="shared" si="37"/>
        <v>9.8731677679064767E-4</v>
      </c>
      <c r="G802">
        <f t="shared" si="38"/>
        <v>-1.7278055202931981E-5</v>
      </c>
    </row>
    <row r="803" spans="2:7">
      <c r="B803">
        <v>392.08</v>
      </c>
      <c r="C803">
        <f t="shared" si="36"/>
        <v>5.1520097939197207E-3</v>
      </c>
      <c r="D803">
        <v>131.80000000000001</v>
      </c>
      <c r="E803">
        <f t="shared" si="37"/>
        <v>-1.0622154779971194E-3</v>
      </c>
      <c r="G803">
        <f t="shared" si="38"/>
        <v>1.8988628640712545E-3</v>
      </c>
    </row>
    <row r="804" spans="2:7">
      <c r="B804">
        <v>394.1</v>
      </c>
      <c r="C804">
        <f t="shared" si="36"/>
        <v>-6.7241816797768417E-3</v>
      </c>
      <c r="D804">
        <v>131.66</v>
      </c>
      <c r="E804">
        <f t="shared" si="37"/>
        <v>2.5292419869360483E-2</v>
      </c>
      <c r="G804">
        <f t="shared" si="38"/>
        <v>1.0036509231196551E-2</v>
      </c>
    </row>
    <row r="805" spans="2:7">
      <c r="B805">
        <v>391.45</v>
      </c>
      <c r="C805">
        <f t="shared" si="36"/>
        <v>6.8463405288032853E-3</v>
      </c>
      <c r="D805">
        <v>134.99</v>
      </c>
      <c r="E805">
        <f t="shared" si="37"/>
        <v>9.6303429883692893E-4</v>
      </c>
      <c r="G805">
        <f t="shared" si="38"/>
        <v>3.7664297174158975E-3</v>
      </c>
    </row>
    <row r="806" spans="2:7">
      <c r="B806">
        <v>394.13</v>
      </c>
      <c r="C806">
        <f t="shared" si="36"/>
        <v>3.0446806891126776E-4</v>
      </c>
      <c r="D806">
        <v>135.12</v>
      </c>
      <c r="E806">
        <f t="shared" si="37"/>
        <v>-1.776198934280715E-3</v>
      </c>
      <c r="G806">
        <f t="shared" si="38"/>
        <v>-7.847611072597353E-4</v>
      </c>
    </row>
    <row r="807" spans="2:7">
      <c r="B807">
        <v>394.25</v>
      </c>
      <c r="C807">
        <f t="shared" si="36"/>
        <v>1.2682308180089752E-3</v>
      </c>
      <c r="D807">
        <v>134.88</v>
      </c>
      <c r="E807">
        <f t="shared" si="37"/>
        <v>1.0083036773428367E-2</v>
      </c>
      <c r="G807">
        <f t="shared" si="38"/>
        <v>5.8827817356710277E-3</v>
      </c>
    </row>
    <row r="808" spans="2:7">
      <c r="B808">
        <v>394.75</v>
      </c>
      <c r="C808">
        <f t="shared" si="36"/>
        <v>-2.2799240025331846E-3</v>
      </c>
      <c r="D808">
        <v>136.24</v>
      </c>
      <c r="E808">
        <f t="shared" si="37"/>
        <v>1.3211978860833806E-2</v>
      </c>
      <c r="G808">
        <f t="shared" si="38"/>
        <v>5.8300871464394364E-3</v>
      </c>
    </row>
    <row r="809" spans="2:7">
      <c r="B809">
        <v>393.85</v>
      </c>
      <c r="C809">
        <f t="shared" si="36"/>
        <v>2.665989589945239E-3</v>
      </c>
      <c r="D809">
        <v>138.04</v>
      </c>
      <c r="E809">
        <f t="shared" si="37"/>
        <v>2.680382497826761E-3</v>
      </c>
      <c r="G809">
        <f t="shared" si="38"/>
        <v>2.6735242772212156E-3</v>
      </c>
    </row>
    <row r="810" spans="2:7">
      <c r="B810">
        <v>394.9</v>
      </c>
      <c r="C810">
        <f t="shared" si="36"/>
        <v>-5.0645733096987833E-4</v>
      </c>
      <c r="D810">
        <v>138.41</v>
      </c>
      <c r="E810">
        <f t="shared" si="37"/>
        <v>-6.5024203453512008E-4</v>
      </c>
      <c r="G810">
        <f t="shared" si="38"/>
        <v>-5.817286232862825E-4</v>
      </c>
    </row>
    <row r="811" spans="2:7">
      <c r="B811">
        <v>394.7</v>
      </c>
      <c r="C811">
        <f t="shared" si="36"/>
        <v>1.1401064099316738E-3</v>
      </c>
      <c r="D811">
        <v>138.32</v>
      </c>
      <c r="E811">
        <f t="shared" si="37"/>
        <v>-6.5789473684210176E-3</v>
      </c>
      <c r="G811">
        <f t="shared" si="38"/>
        <v>-2.9008182430359606E-3</v>
      </c>
    </row>
    <row r="812" spans="2:7">
      <c r="B812">
        <v>395.15</v>
      </c>
      <c r="C812">
        <f t="shared" si="36"/>
        <v>7.0859167404784262E-3</v>
      </c>
      <c r="D812">
        <v>137.41</v>
      </c>
      <c r="E812">
        <f t="shared" si="37"/>
        <v>-3.4931955461755537E-3</v>
      </c>
      <c r="G812">
        <f t="shared" si="38"/>
        <v>1.5477514584150674E-3</v>
      </c>
    </row>
    <row r="813" spans="2:7">
      <c r="B813">
        <v>397.95</v>
      </c>
      <c r="C813">
        <f t="shared" si="36"/>
        <v>-9.423294383716585E-3</v>
      </c>
      <c r="D813">
        <v>136.93</v>
      </c>
      <c r="E813">
        <f t="shared" si="37"/>
        <v>7.8872416563207093E-3</v>
      </c>
      <c r="G813">
        <f t="shared" si="38"/>
        <v>-3.6122876675706052E-4</v>
      </c>
    </row>
    <row r="814" spans="2:7">
      <c r="B814">
        <v>394.2</v>
      </c>
      <c r="C814">
        <f t="shared" si="36"/>
        <v>3.678335870116678E-3</v>
      </c>
      <c r="D814">
        <v>138.01</v>
      </c>
      <c r="E814">
        <f t="shared" si="37"/>
        <v>1.1665821317295988E-2</v>
      </c>
      <c r="G814">
        <f t="shared" si="38"/>
        <v>7.8597845017150478E-3</v>
      </c>
    </row>
    <row r="815" spans="2:7">
      <c r="B815">
        <v>395.65</v>
      </c>
      <c r="C815">
        <f t="shared" si="36"/>
        <v>5.5604701124731815E-3</v>
      </c>
      <c r="D815">
        <v>139.62</v>
      </c>
      <c r="E815">
        <f t="shared" si="37"/>
        <v>-5.7298381320728398E-3</v>
      </c>
      <c r="G815">
        <f t="shared" si="38"/>
        <v>-3.5000625354666146E-4</v>
      </c>
    </row>
    <row r="816" spans="2:7">
      <c r="B816">
        <v>397.85</v>
      </c>
      <c r="C816">
        <f t="shared" si="36"/>
        <v>-2.3626995098655623E-3</v>
      </c>
      <c r="D816">
        <v>138.82</v>
      </c>
      <c r="E816">
        <f t="shared" si="37"/>
        <v>-1.2966431349950014E-3</v>
      </c>
      <c r="G816">
        <f t="shared" si="38"/>
        <v>-1.8046189976208236E-3</v>
      </c>
    </row>
    <row r="817" spans="2:7">
      <c r="B817">
        <v>396.91</v>
      </c>
      <c r="C817">
        <f t="shared" si="36"/>
        <v>5.5176236426393022E-3</v>
      </c>
      <c r="D817">
        <v>138.63999999999999</v>
      </c>
      <c r="E817">
        <f t="shared" si="37"/>
        <v>5.0490478938258754E-3</v>
      </c>
      <c r="G817">
        <f t="shared" si="38"/>
        <v>5.2723242381354733E-3</v>
      </c>
    </row>
    <row r="818" spans="2:7">
      <c r="B818">
        <v>399.1</v>
      </c>
      <c r="C818">
        <f t="shared" si="36"/>
        <v>-7.5169130543722984E-3</v>
      </c>
      <c r="D818">
        <v>139.34</v>
      </c>
      <c r="E818">
        <f t="shared" si="37"/>
        <v>5.6695851873116432E-3</v>
      </c>
      <c r="G818">
        <f t="shared" si="38"/>
        <v>-6.1378122485075421E-4</v>
      </c>
    </row>
    <row r="819" spans="2:7">
      <c r="B819">
        <v>396.1</v>
      </c>
      <c r="C819">
        <f t="shared" si="36"/>
        <v>-1.5147689977279555E-3</v>
      </c>
      <c r="D819">
        <v>140.13</v>
      </c>
      <c r="E819">
        <f t="shared" si="37"/>
        <v>-5.9944337400985592E-3</v>
      </c>
      <c r="G819">
        <f t="shared" si="38"/>
        <v>-3.8598734903589672E-3</v>
      </c>
    </row>
    <row r="820" spans="2:7">
      <c r="B820">
        <v>395.5</v>
      </c>
      <c r="C820">
        <f t="shared" si="36"/>
        <v>-5.9924146649810162E-3</v>
      </c>
      <c r="D820">
        <v>139.29</v>
      </c>
      <c r="E820">
        <f t="shared" si="37"/>
        <v>8.7587048603632311E-3</v>
      </c>
      <c r="G820">
        <f t="shared" si="38"/>
        <v>1.7297964065366984E-3</v>
      </c>
    </row>
    <row r="821" spans="2:7">
      <c r="B821">
        <v>393.13</v>
      </c>
      <c r="C821">
        <f t="shared" si="36"/>
        <v>-5.0873756772562562E-4</v>
      </c>
      <c r="D821">
        <v>140.51</v>
      </c>
      <c r="E821">
        <f t="shared" si="37"/>
        <v>3.629634901430645E-3</v>
      </c>
      <c r="G821">
        <f t="shared" si="38"/>
        <v>1.6577004198776823E-3</v>
      </c>
    </row>
    <row r="822" spans="2:7">
      <c r="B822">
        <v>392.93</v>
      </c>
      <c r="C822">
        <f t="shared" si="36"/>
        <v>8.1948438653194344E-3</v>
      </c>
      <c r="D822">
        <v>141.02000000000001</v>
      </c>
      <c r="E822">
        <f t="shared" si="37"/>
        <v>1.0565877180541694E-2</v>
      </c>
      <c r="G822">
        <f t="shared" si="38"/>
        <v>9.4360798058382885E-3</v>
      </c>
    </row>
    <row r="823" spans="2:7">
      <c r="B823">
        <v>396.15</v>
      </c>
      <c r="C823">
        <f t="shared" si="36"/>
        <v>4.7961630695445567E-3</v>
      </c>
      <c r="D823">
        <v>142.51</v>
      </c>
      <c r="E823">
        <f t="shared" si="37"/>
        <v>-4.9119360044902471E-4</v>
      </c>
      <c r="G823">
        <f t="shared" si="38"/>
        <v>2.028231852802917E-3</v>
      </c>
    </row>
    <row r="824" spans="2:7">
      <c r="B824">
        <v>398.05</v>
      </c>
      <c r="C824">
        <f t="shared" si="36"/>
        <v>8.4662730812712361E-3</v>
      </c>
      <c r="D824">
        <v>142.44</v>
      </c>
      <c r="E824">
        <f t="shared" si="37"/>
        <v>2.4571749508564E-3</v>
      </c>
      <c r="G824">
        <f t="shared" si="38"/>
        <v>5.320510209999069E-3</v>
      </c>
    </row>
    <row r="825" spans="2:7">
      <c r="B825">
        <v>401.42</v>
      </c>
      <c r="C825">
        <f t="shared" si="36"/>
        <v>-1.6217428130137934E-2</v>
      </c>
      <c r="D825">
        <v>142.79</v>
      </c>
      <c r="E825">
        <f t="shared" si="37"/>
        <v>-5.1124028293296764E-3</v>
      </c>
      <c r="G825">
        <f t="shared" si="38"/>
        <v>-1.0403947385164812E-2</v>
      </c>
    </row>
    <row r="826" spans="2:7">
      <c r="B826">
        <v>394.91</v>
      </c>
      <c r="C826">
        <f t="shared" si="36"/>
        <v>4.026233825428438E-3</v>
      </c>
      <c r="D826">
        <v>142.06</v>
      </c>
      <c r="E826">
        <f t="shared" si="37"/>
        <v>9.2918485147119867E-3</v>
      </c>
      <c r="G826">
        <f t="shared" si="38"/>
        <v>6.782783115268377E-3</v>
      </c>
    </row>
    <row r="827" spans="2:7">
      <c r="B827">
        <v>396.5</v>
      </c>
      <c r="C827">
        <f t="shared" si="36"/>
        <v>3.2534678436317854E-3</v>
      </c>
      <c r="D827">
        <v>143.38</v>
      </c>
      <c r="E827">
        <f t="shared" si="37"/>
        <v>-1.6041288882688853E-3</v>
      </c>
      <c r="G827">
        <f t="shared" si="38"/>
        <v>7.1051595448178408E-4</v>
      </c>
    </row>
    <row r="828" spans="2:7">
      <c r="B828">
        <v>397.79</v>
      </c>
      <c r="C828">
        <f t="shared" si="36"/>
        <v>1.1563890494983298E-3</v>
      </c>
      <c r="D828">
        <v>143.15</v>
      </c>
      <c r="E828">
        <f t="shared" si="37"/>
        <v>0</v>
      </c>
      <c r="G828">
        <f t="shared" si="38"/>
        <v>5.5101938208595416E-4</v>
      </c>
    </row>
    <row r="829" spans="2:7">
      <c r="B829">
        <v>398.25</v>
      </c>
      <c r="C829">
        <f t="shared" si="36"/>
        <v>-6.2774639045826142E-4</v>
      </c>
      <c r="D829">
        <v>143.15</v>
      </c>
      <c r="E829">
        <f t="shared" si="37"/>
        <v>-5.239259517988093E-3</v>
      </c>
      <c r="G829">
        <f t="shared" si="38"/>
        <v>-3.0418735127201286E-3</v>
      </c>
    </row>
    <row r="830" spans="2:7">
      <c r="B830">
        <v>398</v>
      </c>
      <c r="C830">
        <f t="shared" si="36"/>
        <v>4.5226130653266416E-3</v>
      </c>
      <c r="D830">
        <v>142.4</v>
      </c>
      <c r="E830">
        <f t="shared" si="37"/>
        <v>6.1095505617978496E-3</v>
      </c>
      <c r="G830">
        <f t="shared" si="38"/>
        <v>5.3533748447293196E-3</v>
      </c>
    </row>
    <row r="831" spans="2:7">
      <c r="B831">
        <v>399.8</v>
      </c>
      <c r="C831">
        <f t="shared" si="36"/>
        <v>4.12706353176584E-3</v>
      </c>
      <c r="D831">
        <v>143.27000000000001</v>
      </c>
      <c r="E831">
        <f t="shared" si="37"/>
        <v>-4.1878969777342512E-4</v>
      </c>
      <c r="G831">
        <f t="shared" si="38"/>
        <v>1.7473093661020344E-3</v>
      </c>
    </row>
    <row r="832" spans="2:7">
      <c r="B832">
        <v>401.45</v>
      </c>
      <c r="C832">
        <f t="shared" si="36"/>
        <v>3.3628098144227181E-3</v>
      </c>
      <c r="D832">
        <v>143.21</v>
      </c>
      <c r="E832">
        <f t="shared" si="37"/>
        <v>-4.8180992947419732E-3</v>
      </c>
      <c r="G832">
        <f t="shared" si="38"/>
        <v>-9.1989610422499833E-4</v>
      </c>
    </row>
    <row r="833" spans="2:7">
      <c r="B833">
        <v>402.8</v>
      </c>
      <c r="C833">
        <f t="shared" si="36"/>
        <v>-9.9304865938443232E-4</v>
      </c>
      <c r="D833">
        <v>142.52000000000001</v>
      </c>
      <c r="E833">
        <f t="shared" si="37"/>
        <v>-1.0735335391524048E-2</v>
      </c>
      <c r="G833">
        <f t="shared" si="38"/>
        <v>-6.0931357636595214E-3</v>
      </c>
    </row>
    <row r="834" spans="2:7">
      <c r="B834">
        <v>402.4</v>
      </c>
      <c r="C834">
        <f t="shared" si="36"/>
        <v>-9.9403578528822756E-4</v>
      </c>
      <c r="D834">
        <v>140.99</v>
      </c>
      <c r="E834">
        <f t="shared" si="37"/>
        <v>1.6313213703098572E-3</v>
      </c>
      <c r="G834">
        <f t="shared" si="38"/>
        <v>3.8033868566737003E-4</v>
      </c>
    </row>
    <row r="835" spans="2:7">
      <c r="B835">
        <v>402</v>
      </c>
      <c r="C835">
        <f t="shared" ref="C835:C887" si="39">(B836/B835)-1</f>
        <v>4.3034825870646998E-3</v>
      </c>
      <c r="D835">
        <v>141.22</v>
      </c>
      <c r="E835">
        <f t="shared" ref="E835:E887" si="40">(D836/D835)-1</f>
        <v>-4.036255487891216E-3</v>
      </c>
      <c r="G835">
        <f t="shared" si="38"/>
        <v>-6.2370295174722298E-5</v>
      </c>
    </row>
    <row r="836" spans="2:7">
      <c r="B836">
        <v>403.73</v>
      </c>
      <c r="C836">
        <f t="shared" si="39"/>
        <v>4.3593490699229687E-3</v>
      </c>
      <c r="D836">
        <v>140.65</v>
      </c>
      <c r="E836">
        <f t="shared" si="40"/>
        <v>-1.5499466761464631E-2</v>
      </c>
      <c r="G836">
        <f t="shared" ref="G836:G887" si="41">C836*$J$5+E836*$J$6</f>
        <v>-6.0367410178084405E-3</v>
      </c>
    </row>
    <row r="837" spans="2:7">
      <c r="B837">
        <v>405.49</v>
      </c>
      <c r="C837">
        <f t="shared" si="39"/>
        <v>3.1073515992996459E-3</v>
      </c>
      <c r="D837">
        <v>138.47</v>
      </c>
      <c r="E837">
        <f t="shared" si="40"/>
        <v>2.3109698851735416E-3</v>
      </c>
      <c r="G837">
        <f t="shared" si="41"/>
        <v>2.6904457719546305E-3</v>
      </c>
    </row>
    <row r="838" spans="2:7">
      <c r="B838">
        <v>406.75</v>
      </c>
      <c r="C838">
        <f t="shared" si="39"/>
        <v>-3.6877688998155911E-3</v>
      </c>
      <c r="D838">
        <v>138.79</v>
      </c>
      <c r="E838">
        <f t="shared" si="40"/>
        <v>-7.205130052597486E-3</v>
      </c>
      <c r="G838">
        <f t="shared" si="41"/>
        <v>-5.5291074632969131E-3</v>
      </c>
    </row>
    <row r="839" spans="2:7">
      <c r="B839">
        <v>405.25</v>
      </c>
      <c r="C839">
        <f t="shared" si="39"/>
        <v>7.279457125231259E-3</v>
      </c>
      <c r="D839">
        <v>137.79</v>
      </c>
      <c r="E839">
        <f t="shared" si="40"/>
        <v>7.6202917483128019E-3</v>
      </c>
      <c r="G839">
        <f t="shared" si="41"/>
        <v>7.4578840504144466E-3</v>
      </c>
    </row>
    <row r="840" spans="2:7">
      <c r="B840">
        <v>408.2</v>
      </c>
      <c r="C840">
        <f t="shared" si="39"/>
        <v>4.1646251837335058E-4</v>
      </c>
      <c r="D840">
        <v>138.84</v>
      </c>
      <c r="E840">
        <f t="shared" si="40"/>
        <v>-5.7620282339387874E-4</v>
      </c>
      <c r="G840">
        <f t="shared" si="41"/>
        <v>-1.0319778804179403E-4</v>
      </c>
    </row>
    <row r="841" spans="2:7">
      <c r="B841">
        <v>408.37</v>
      </c>
      <c r="C841">
        <f t="shared" si="39"/>
        <v>2.5467100913387775E-3</v>
      </c>
      <c r="D841">
        <v>138.76</v>
      </c>
      <c r="E841">
        <f t="shared" si="40"/>
        <v>6.4139521475929939E-3</v>
      </c>
      <c r="G841">
        <f t="shared" si="41"/>
        <v>4.5712113077878598E-3</v>
      </c>
    </row>
    <row r="842" spans="2:7">
      <c r="B842">
        <v>409.41</v>
      </c>
      <c r="C842">
        <f t="shared" si="39"/>
        <v>-1.077159815344042E-2</v>
      </c>
      <c r="D842">
        <v>139.65</v>
      </c>
      <c r="E842">
        <f t="shared" si="40"/>
        <v>-2.7210884353741083E-3</v>
      </c>
      <c r="G842">
        <f t="shared" si="41"/>
        <v>-6.5571563160327058E-3</v>
      </c>
    </row>
    <row r="843" spans="2:7">
      <c r="B843">
        <v>405</v>
      </c>
      <c r="C843">
        <f t="shared" si="39"/>
        <v>-9.8765432098857353E-5</v>
      </c>
      <c r="D843">
        <v>139.27000000000001</v>
      </c>
      <c r="E843">
        <f t="shared" si="40"/>
        <v>8.25734185395266E-3</v>
      </c>
      <c r="G843">
        <f t="shared" si="41"/>
        <v>4.2756567321491122E-3</v>
      </c>
    </row>
    <row r="844" spans="2:7">
      <c r="B844">
        <v>404.96</v>
      </c>
      <c r="C844">
        <f t="shared" si="39"/>
        <v>7.1118135124457194E-3</v>
      </c>
      <c r="D844">
        <v>140.41999999999999</v>
      </c>
      <c r="E844">
        <f t="shared" si="40"/>
        <v>4.9138299387554429E-3</v>
      </c>
      <c r="G844">
        <f t="shared" si="41"/>
        <v>5.9611691116188597E-3</v>
      </c>
    </row>
    <row r="845" spans="2:7">
      <c r="B845">
        <v>407.84</v>
      </c>
      <c r="C845">
        <f t="shared" si="39"/>
        <v>-3.6533934876420426E-3</v>
      </c>
      <c r="D845">
        <v>141.11000000000001</v>
      </c>
      <c r="E845">
        <f t="shared" si="40"/>
        <v>5.3858691800721115E-3</v>
      </c>
      <c r="G845">
        <f t="shared" si="41"/>
        <v>1.0786605189063176E-3</v>
      </c>
    </row>
    <row r="846" spans="2:7">
      <c r="B846">
        <v>406.35</v>
      </c>
      <c r="C846">
        <f t="shared" si="39"/>
        <v>3.5683524055616367E-3</v>
      </c>
      <c r="D846">
        <v>141.87</v>
      </c>
      <c r="E846">
        <f t="shared" si="40"/>
        <v>5.8504264467469369E-3</v>
      </c>
      <c r="G846">
        <f t="shared" si="41"/>
        <v>4.763018166122142E-3</v>
      </c>
    </row>
    <row r="847" spans="2:7">
      <c r="B847">
        <v>407.8</v>
      </c>
      <c r="C847">
        <f t="shared" si="39"/>
        <v>9.5144678764100821E-3</v>
      </c>
      <c r="D847">
        <v>142.69999999999999</v>
      </c>
      <c r="E847">
        <f t="shared" si="40"/>
        <v>3.1534688156973356E-3</v>
      </c>
      <c r="G847">
        <f t="shared" si="41"/>
        <v>6.1844848681269597E-3</v>
      </c>
    </row>
    <row r="848" spans="2:7">
      <c r="B848">
        <v>411.68</v>
      </c>
      <c r="C848">
        <f t="shared" si="39"/>
        <v>7.6029926156238048E-3</v>
      </c>
      <c r="D848">
        <v>143.15</v>
      </c>
      <c r="E848">
        <f t="shared" si="40"/>
        <v>5.4488298987076522E-3</v>
      </c>
      <c r="G848">
        <f t="shared" si="41"/>
        <v>6.4752884333181999E-3</v>
      </c>
    </row>
    <row r="849" spans="2:7">
      <c r="B849">
        <v>414.81</v>
      </c>
      <c r="C849">
        <f t="shared" si="39"/>
        <v>5.785781442106952E-4</v>
      </c>
      <c r="D849">
        <v>143.93</v>
      </c>
      <c r="E849">
        <f t="shared" si="40"/>
        <v>3.126519836031294E-3</v>
      </c>
      <c r="G849">
        <f t="shared" si="41"/>
        <v>1.9124256198787789E-3</v>
      </c>
    </row>
    <row r="850" spans="2:7">
      <c r="B850">
        <v>415.05</v>
      </c>
      <c r="C850">
        <f t="shared" si="39"/>
        <v>-3.6140224069391991E-4</v>
      </c>
      <c r="D850">
        <v>144.38</v>
      </c>
      <c r="E850">
        <f t="shared" si="40"/>
        <v>8.1036154592049048E-3</v>
      </c>
      <c r="G850">
        <f t="shared" si="41"/>
        <v>4.0700345252031155E-3</v>
      </c>
    </row>
    <row r="851" spans="2:7">
      <c r="B851">
        <v>414.9</v>
      </c>
      <c r="C851">
        <f t="shared" si="39"/>
        <v>-5.7845263919016343E-3</v>
      </c>
      <c r="D851">
        <v>145.55000000000001</v>
      </c>
      <c r="E851">
        <f t="shared" si="40"/>
        <v>1.0992785984198505E-3</v>
      </c>
      <c r="G851">
        <f t="shared" si="41"/>
        <v>-2.1808544794683369E-3</v>
      </c>
    </row>
    <row r="852" spans="2:7">
      <c r="B852">
        <v>412.5</v>
      </c>
      <c r="C852">
        <f t="shared" si="39"/>
        <v>2.0121212121211318E-3</v>
      </c>
      <c r="D852">
        <v>145.71</v>
      </c>
      <c r="E852">
        <f t="shared" si="40"/>
        <v>5.0099512730765738E-3</v>
      </c>
      <c r="G852">
        <f t="shared" si="41"/>
        <v>3.5814852490313061E-3</v>
      </c>
    </row>
    <row r="853" spans="2:7">
      <c r="B853">
        <v>413.33</v>
      </c>
      <c r="C853">
        <f t="shared" si="39"/>
        <v>-2.3709868627972419E-3</v>
      </c>
      <c r="D853">
        <v>146.44</v>
      </c>
      <c r="E853">
        <f t="shared" si="40"/>
        <v>6.0775744332151049E-3</v>
      </c>
      <c r="G853">
        <f t="shared" si="41"/>
        <v>2.051834975665222E-3</v>
      </c>
    </row>
    <row r="854" spans="2:7">
      <c r="B854">
        <v>412.35</v>
      </c>
      <c r="C854">
        <f t="shared" si="39"/>
        <v>-3.3951740026677557E-3</v>
      </c>
      <c r="D854">
        <v>147.33000000000001</v>
      </c>
      <c r="E854">
        <f t="shared" si="40"/>
        <v>2.7828683906876428E-3</v>
      </c>
      <c r="G854">
        <f t="shared" si="41"/>
        <v>-1.6096880974620417E-4</v>
      </c>
    </row>
    <row r="855" spans="2:7">
      <c r="B855">
        <v>410.95</v>
      </c>
      <c r="C855">
        <f t="shared" si="39"/>
        <v>-4.7451028105608417E-3</v>
      </c>
      <c r="D855">
        <v>147.74</v>
      </c>
      <c r="E855">
        <f t="shared" si="40"/>
        <v>1.5974008393123018E-2</v>
      </c>
      <c r="G855">
        <f t="shared" si="41"/>
        <v>6.10135190456766E-3</v>
      </c>
    </row>
    <row r="856" spans="2:7">
      <c r="B856">
        <v>409</v>
      </c>
      <c r="C856">
        <f t="shared" si="39"/>
        <v>-1.1246943765281237E-2</v>
      </c>
      <c r="D856">
        <v>150.1</v>
      </c>
      <c r="E856">
        <f t="shared" si="40"/>
        <v>5.9960026648897546E-4</v>
      </c>
      <c r="G856">
        <f t="shared" si="41"/>
        <v>-5.0452779646495303E-3</v>
      </c>
    </row>
    <row r="857" spans="2:7">
      <c r="B857">
        <v>404.4</v>
      </c>
      <c r="C857">
        <f t="shared" si="39"/>
        <v>-2.4727992087042461E-3</v>
      </c>
      <c r="D857">
        <v>150.19</v>
      </c>
      <c r="E857">
        <f t="shared" si="40"/>
        <v>4.6607630334909445E-3</v>
      </c>
      <c r="G857">
        <f t="shared" si="41"/>
        <v>1.2616206250849365E-3</v>
      </c>
    </row>
    <row r="858" spans="2:7">
      <c r="B858">
        <v>403.4</v>
      </c>
      <c r="C858">
        <f t="shared" si="39"/>
        <v>9.1720376797224112E-3</v>
      </c>
      <c r="D858">
        <v>150.88999999999999</v>
      </c>
      <c r="E858">
        <f t="shared" si="40"/>
        <v>6.826164755782349E-3</v>
      </c>
      <c r="G858">
        <f t="shared" si="41"/>
        <v>7.9439732040397885E-3</v>
      </c>
    </row>
    <row r="859" spans="2:7">
      <c r="B859">
        <v>407.1</v>
      </c>
      <c r="C859">
        <f t="shared" si="39"/>
        <v>-3.3161385408990718E-3</v>
      </c>
      <c r="D859">
        <v>151.91999999999999</v>
      </c>
      <c r="E859">
        <f t="shared" si="40"/>
        <v>1.5534491837809528E-2</v>
      </c>
      <c r="G859">
        <f t="shared" si="41"/>
        <v>6.5521664623548817E-3</v>
      </c>
    </row>
    <row r="860" spans="2:7">
      <c r="B860">
        <v>405.75</v>
      </c>
      <c r="C860">
        <f t="shared" si="39"/>
        <v>4.4362292051756125E-3</v>
      </c>
      <c r="D860">
        <v>154.28</v>
      </c>
      <c r="E860">
        <f t="shared" si="40"/>
        <v>7.7780658542914161E-4</v>
      </c>
      <c r="G860">
        <f t="shared" si="41"/>
        <v>2.5210449637383349E-3</v>
      </c>
    </row>
    <row r="861" spans="2:7">
      <c r="B861">
        <v>407.55</v>
      </c>
      <c r="C861">
        <f t="shared" si="39"/>
        <v>-1.4844804318488558E-2</v>
      </c>
      <c r="D861">
        <v>154.4</v>
      </c>
      <c r="E861">
        <f t="shared" si="40"/>
        <v>-2.9792746113990187E-3</v>
      </c>
      <c r="G861">
        <f t="shared" si="41"/>
        <v>-8.6331995168271846E-3</v>
      </c>
    </row>
    <row r="862" spans="2:7">
      <c r="B862">
        <v>401.5</v>
      </c>
      <c r="C862">
        <f t="shared" si="39"/>
        <v>-9.9626400996255526E-4</v>
      </c>
      <c r="D862">
        <v>153.94</v>
      </c>
      <c r="E862">
        <f t="shared" si="40"/>
        <v>3.5728205794465229E-3</v>
      </c>
      <c r="G862">
        <f t="shared" si="41"/>
        <v>1.3956517725930975E-3</v>
      </c>
    </row>
    <row r="863" spans="2:7">
      <c r="B863">
        <v>401.1</v>
      </c>
      <c r="C863">
        <f t="shared" si="39"/>
        <v>-3.4904013961606362E-3</v>
      </c>
      <c r="D863">
        <v>154.49</v>
      </c>
      <c r="E863">
        <f t="shared" si="40"/>
        <v>-4.5957667162923599E-3</v>
      </c>
      <c r="G863">
        <f t="shared" si="41"/>
        <v>-4.0690601412495938E-3</v>
      </c>
    </row>
    <row r="864" spans="2:7">
      <c r="B864">
        <v>399.7</v>
      </c>
      <c r="C864">
        <f t="shared" si="39"/>
        <v>-8.8816612459344801E-3</v>
      </c>
      <c r="D864">
        <v>153.78</v>
      </c>
      <c r="E864">
        <f t="shared" si="40"/>
        <v>-2.9912862530888651E-3</v>
      </c>
      <c r="G864">
        <f t="shared" si="41"/>
        <v>-5.7980499371798003E-3</v>
      </c>
    </row>
    <row r="865" spans="2:7">
      <c r="B865">
        <v>396.15</v>
      </c>
      <c r="C865">
        <f t="shared" si="39"/>
        <v>5.1748075224031798E-3</v>
      </c>
      <c r="D865">
        <v>153.32</v>
      </c>
      <c r="E865">
        <f t="shared" si="40"/>
        <v>-7.2397599791285128E-3</v>
      </c>
      <c r="G865">
        <f t="shared" si="41"/>
        <v>-1.3242185646486619E-3</v>
      </c>
    </row>
    <row r="866" spans="2:7">
      <c r="B866">
        <v>398.2</v>
      </c>
      <c r="C866">
        <f t="shared" si="39"/>
        <v>8.7644399799096107E-3</v>
      </c>
      <c r="D866">
        <v>152.21</v>
      </c>
      <c r="E866">
        <f t="shared" si="40"/>
        <v>-3.9419223441298223E-3</v>
      </c>
      <c r="G866">
        <f t="shared" si="41"/>
        <v>2.1126593032749674E-3</v>
      </c>
    </row>
    <row r="867" spans="2:7">
      <c r="B867">
        <v>401.69</v>
      </c>
      <c r="C867">
        <f t="shared" si="39"/>
        <v>1.1227563544026431E-2</v>
      </c>
      <c r="D867">
        <v>151.61000000000001</v>
      </c>
      <c r="E867">
        <f t="shared" si="40"/>
        <v>3.1660180726864606E-3</v>
      </c>
      <c r="G867">
        <f t="shared" si="41"/>
        <v>7.0073444897799566E-3</v>
      </c>
    </row>
    <row r="868" spans="2:7">
      <c r="B868">
        <v>406.2</v>
      </c>
      <c r="C868">
        <f t="shared" si="39"/>
        <v>8.493353028064865E-3</v>
      </c>
      <c r="D868">
        <v>152.09</v>
      </c>
      <c r="E868">
        <f t="shared" si="40"/>
        <v>4.0765336314025902E-3</v>
      </c>
      <c r="G868">
        <f t="shared" si="41"/>
        <v>6.1811480739121646E-3</v>
      </c>
    </row>
    <row r="869" spans="2:7">
      <c r="B869">
        <v>409.65</v>
      </c>
      <c r="C869">
        <f t="shared" si="39"/>
        <v>-2.4411082631514702E-3</v>
      </c>
      <c r="D869">
        <v>152.71</v>
      </c>
      <c r="E869">
        <f t="shared" si="40"/>
        <v>1.6829284264291644E-2</v>
      </c>
      <c r="G869">
        <f t="shared" si="41"/>
        <v>7.6469422249650009E-3</v>
      </c>
    </row>
    <row r="870" spans="2:7">
      <c r="B870">
        <v>408.65</v>
      </c>
      <c r="C870">
        <f t="shared" si="39"/>
        <v>4.2823932460540615E-3</v>
      </c>
      <c r="D870">
        <v>155.28</v>
      </c>
      <c r="E870">
        <f t="shared" si="40"/>
        <v>-9.6599690880994071E-4</v>
      </c>
      <c r="G870">
        <f t="shared" si="41"/>
        <v>1.5348609999827562E-3</v>
      </c>
    </row>
    <row r="871" spans="2:7">
      <c r="B871">
        <v>410.4</v>
      </c>
      <c r="C871">
        <f t="shared" si="39"/>
        <v>1.6812865497075613E-3</v>
      </c>
      <c r="D871">
        <v>155.13</v>
      </c>
      <c r="E871">
        <f t="shared" si="40"/>
        <v>4.3834203571198049E-3</v>
      </c>
      <c r="G871">
        <f t="shared" si="41"/>
        <v>3.0958535978878711E-3</v>
      </c>
    </row>
    <row r="872" spans="2:7">
      <c r="B872">
        <v>411.09</v>
      </c>
      <c r="C872">
        <f t="shared" si="39"/>
        <v>-8.2706949816335751E-4</v>
      </c>
      <c r="D872">
        <v>155.81</v>
      </c>
      <c r="E872">
        <f t="shared" si="40"/>
        <v>-2.7597715165907921E-3</v>
      </c>
      <c r="G872">
        <f t="shared" si="41"/>
        <v>-1.8388390048101198E-3</v>
      </c>
    </row>
    <row r="873" spans="2:7">
      <c r="B873">
        <v>410.75</v>
      </c>
      <c r="C873">
        <f t="shared" si="39"/>
        <v>-3.4083992696286591E-3</v>
      </c>
      <c r="D873">
        <v>155.38</v>
      </c>
      <c r="E873">
        <f t="shared" si="40"/>
        <v>1.5381644999356459E-2</v>
      </c>
      <c r="G873">
        <f t="shared" si="41"/>
        <v>6.4281889051850507E-3</v>
      </c>
    </row>
    <row r="874" spans="2:7">
      <c r="B874">
        <v>409.35</v>
      </c>
      <c r="C874">
        <f t="shared" si="39"/>
        <v>-9.7715891046790126E-5</v>
      </c>
      <c r="D874">
        <v>157.77000000000001</v>
      </c>
      <c r="E874">
        <f t="shared" si="40"/>
        <v>4.2466882170246745E-3</v>
      </c>
      <c r="G874">
        <f t="shared" si="41"/>
        <v>2.1765796595286219E-3</v>
      </c>
    </row>
    <row r="875" spans="2:7">
      <c r="B875">
        <v>409.31</v>
      </c>
      <c r="C875">
        <f t="shared" si="39"/>
        <v>1.3192934450660943E-3</v>
      </c>
      <c r="D875">
        <v>158.44</v>
      </c>
      <c r="E875">
        <f t="shared" si="40"/>
        <v>1.6536228225195737E-2</v>
      </c>
      <c r="G875">
        <f t="shared" si="41"/>
        <v>9.2853588024639638E-3</v>
      </c>
    </row>
    <row r="876" spans="2:7">
      <c r="B876">
        <v>409.85</v>
      </c>
      <c r="C876">
        <f t="shared" si="39"/>
        <v>2.8181041844577148E-2</v>
      </c>
      <c r="D876">
        <v>161.06</v>
      </c>
      <c r="E876">
        <f t="shared" si="40"/>
        <v>-4.2220290574941033E-2</v>
      </c>
      <c r="G876">
        <f t="shared" si="41"/>
        <v>-8.6740556770406249E-3</v>
      </c>
    </row>
    <row r="877" spans="2:7">
      <c r="B877">
        <v>421.4</v>
      </c>
      <c r="C877">
        <f t="shared" si="39"/>
        <v>-6.1224489795917991E-3</v>
      </c>
      <c r="D877">
        <v>154.26</v>
      </c>
      <c r="E877">
        <f t="shared" si="40"/>
        <v>4.4729677168415805E-3</v>
      </c>
      <c r="G877">
        <f t="shared" si="41"/>
        <v>-5.7574833900892429E-4</v>
      </c>
    </row>
    <row r="878" spans="2:7">
      <c r="B878">
        <v>418.82</v>
      </c>
      <c r="C878">
        <f t="shared" si="39"/>
        <v>-4.0590229692949453E-4</v>
      </c>
      <c r="D878">
        <v>154.94999999999999</v>
      </c>
      <c r="E878">
        <f t="shared" si="40"/>
        <v>-1.1616650532428885E-3</v>
      </c>
      <c r="G878">
        <f t="shared" si="41"/>
        <v>-8.0154409985955634E-4</v>
      </c>
    </row>
    <row r="879" spans="2:7">
      <c r="B879">
        <v>418.65</v>
      </c>
      <c r="C879">
        <f t="shared" si="39"/>
        <v>1.3137465663441983E-2</v>
      </c>
      <c r="D879">
        <v>154.77000000000001</v>
      </c>
      <c r="E879">
        <f t="shared" si="40"/>
        <v>6.8488725205142487E-3</v>
      </c>
      <c r="G879">
        <f t="shared" si="41"/>
        <v>9.8453871531193147E-3</v>
      </c>
    </row>
    <row r="880" spans="2:7">
      <c r="B880">
        <v>424.15</v>
      </c>
      <c r="C880">
        <f t="shared" si="39"/>
        <v>-1.7423081457031642E-2</v>
      </c>
      <c r="D880">
        <v>155.83000000000001</v>
      </c>
      <c r="E880">
        <f t="shared" si="40"/>
        <v>1.0973496759288937E-2</v>
      </c>
      <c r="G880">
        <f t="shared" si="41"/>
        <v>-2.557472760787818E-3</v>
      </c>
    </row>
    <row r="881" spans="2:7">
      <c r="B881">
        <v>416.76</v>
      </c>
      <c r="C881">
        <f t="shared" si="39"/>
        <v>-2.4234571455993281E-3</v>
      </c>
      <c r="D881">
        <v>157.54</v>
      </c>
      <c r="E881">
        <f t="shared" si="40"/>
        <v>1.0537006474546029E-2</v>
      </c>
      <c r="G881">
        <f t="shared" si="41"/>
        <v>4.3613455595467674E-3</v>
      </c>
    </row>
    <row r="882" spans="2:7">
      <c r="B882">
        <v>415.75</v>
      </c>
      <c r="C882">
        <f t="shared" si="39"/>
        <v>5.4119061936259705E-3</v>
      </c>
      <c r="D882">
        <v>159.19999999999999</v>
      </c>
      <c r="E882">
        <f t="shared" si="40"/>
        <v>-2.311557788944707E-2</v>
      </c>
      <c r="G882">
        <f t="shared" si="41"/>
        <v>-9.5222317238627674E-3</v>
      </c>
    </row>
    <row r="883" spans="2:7">
      <c r="B883">
        <v>418</v>
      </c>
      <c r="C883">
        <f t="shared" si="39"/>
        <v>-1.9856459330143128E-3</v>
      </c>
      <c r="D883">
        <v>155.52000000000001</v>
      </c>
      <c r="E883">
        <f t="shared" si="40"/>
        <v>-8.2947530864199148E-3</v>
      </c>
      <c r="G883">
        <f t="shared" si="41"/>
        <v>-5.2884635278221464E-3</v>
      </c>
    </row>
    <row r="884" spans="2:7">
      <c r="B884">
        <v>417.17</v>
      </c>
      <c r="C884">
        <f t="shared" si="39"/>
        <v>7.982357312366517E-3</v>
      </c>
      <c r="D884">
        <v>154.22999999999999</v>
      </c>
      <c r="E884">
        <f t="shared" si="40"/>
        <v>3.6309408026973244E-3</v>
      </c>
      <c r="G884">
        <f t="shared" si="41"/>
        <v>5.7043907695546944E-3</v>
      </c>
    </row>
    <row r="885" spans="2:7">
      <c r="B885">
        <v>420.5</v>
      </c>
      <c r="C885">
        <f t="shared" si="39"/>
        <v>1.284185493460166E-2</v>
      </c>
      <c r="D885">
        <v>154.79</v>
      </c>
      <c r="E885">
        <f t="shared" si="40"/>
        <v>3.6178047677499769E-3</v>
      </c>
      <c r="G885">
        <f t="shared" si="41"/>
        <v>8.0130646722548042E-3</v>
      </c>
    </row>
    <row r="886" spans="2:7">
      <c r="B886">
        <v>425.9</v>
      </c>
      <c r="C886">
        <f t="shared" si="39"/>
        <v>1.4674806292557019E-2</v>
      </c>
      <c r="D886">
        <v>155.35</v>
      </c>
      <c r="E886">
        <f t="shared" si="40"/>
        <v>-1.3067267460572962E-2</v>
      </c>
      <c r="G886">
        <f t="shared" si="41"/>
        <v>1.518306827934723E-4</v>
      </c>
    </row>
    <row r="887" spans="2:7">
      <c r="B887">
        <v>432.15</v>
      </c>
      <c r="C887">
        <f t="shared" si="39"/>
        <v>-6.1321300474371787E-3</v>
      </c>
      <c r="D887">
        <v>153.32</v>
      </c>
      <c r="E887">
        <f t="shared" si="40"/>
        <v>2.582833289851294E-2</v>
      </c>
      <c r="G887">
        <f t="shared" si="41"/>
        <v>1.0599172304767712E-2</v>
      </c>
    </row>
    <row r="888" spans="2:7">
      <c r="B888">
        <v>429.5</v>
      </c>
      <c r="D888">
        <v>157.28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Docentes CT</cp:lastModifiedBy>
  <dcterms:created xsi:type="dcterms:W3CDTF">2025-12-24T02:00:48Z</dcterms:created>
  <dcterms:modified xsi:type="dcterms:W3CDTF">2026-06-19T13:09:47Z</dcterms:modified>
</cp:coreProperties>
</file>