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ropbox\Getsão de Riscos\"/>
    </mc:Choice>
  </mc:AlternateContent>
  <xr:revisionPtr revIDLastSave="0" documentId="8_{494F3C17-C70D-4A65-B336-7D555232B11A}" xr6:coauthVersionLast="47" xr6:coauthVersionMax="47" xr10:uidLastSave="{00000000-0000-0000-0000-000000000000}"/>
  <bookViews>
    <workbookView xWindow="-120" yWindow="-120" windowWidth="20640" windowHeight="11760" xr2:uid="{DEE0796E-5188-4308-BA0F-83BA61757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" i="1" l="1"/>
  <c r="E24" i="1" s="1"/>
  <c r="G27" i="1" s="1"/>
  <c r="C24" i="1"/>
  <c r="C23" i="1"/>
  <c r="B23" i="1"/>
  <c r="D25" i="1" s="1"/>
  <c r="D17" i="1"/>
  <c r="B17" i="1"/>
  <c r="D15" i="1"/>
  <c r="D24" i="1" s="1"/>
  <c r="D14" i="1"/>
  <c r="D23" i="1" s="1"/>
  <c r="G8" i="1"/>
  <c r="B6" i="1"/>
  <c r="E6" i="1" s="1"/>
  <c r="E15" i="1" s="1"/>
  <c r="H5" i="1"/>
  <c r="B5" i="1"/>
  <c r="E5" i="1" s="1"/>
  <c r="E14" i="1" s="1"/>
  <c r="E7" i="1" l="1"/>
  <c r="E23" i="1"/>
</calcChain>
</file>

<file path=xl/sharedStrings.xml><?xml version="1.0" encoding="utf-8"?>
<sst xmlns="http://schemas.openxmlformats.org/spreadsheetml/2006/main" count="36" uniqueCount="21">
  <si>
    <t>Firm XYZ's Portfolio</t>
  </si>
  <si>
    <t>Item</t>
  </si>
  <si>
    <t>Assets</t>
  </si>
  <si>
    <t>Liabilities</t>
  </si>
  <si>
    <t>Equity    (Net asset)</t>
  </si>
  <si>
    <t>The duration of a portfolio is the average of the duration weighted by the value of its components.</t>
  </si>
  <si>
    <t>Value (million dollars)</t>
  </si>
  <si>
    <t>Duration Portfolio</t>
  </si>
  <si>
    <t>Duration (years)</t>
  </si>
  <si>
    <r>
      <rPr>
        <b/>
        <sz val="11"/>
        <color theme="1"/>
        <rFont val="Aptos Narrow"/>
        <family val="2"/>
        <scheme val="minor"/>
      </rPr>
      <t>Interpretation</t>
    </r>
    <r>
      <rPr>
        <sz val="11"/>
        <color theme="1"/>
        <rFont val="Aptos Narrow"/>
        <family val="2"/>
        <scheme val="minor"/>
      </rPr>
      <t>: If the YTM rises by 1%p, the value of XYZ's equity decreases by roughly:</t>
    </r>
  </si>
  <si>
    <t>%</t>
  </si>
  <si>
    <t>Suppose the assets of Firm XYZ consist of mortgages with the duration of 8 years (80.63 million dollars) and other assets.</t>
  </si>
  <si>
    <t>Equity       (Net asset)</t>
  </si>
  <si>
    <t>Mortgages</t>
  </si>
  <si>
    <t>Others</t>
  </si>
  <si>
    <t>Make sure that the duration of assets is indeed 5.</t>
  </si>
  <si>
    <t>Duration of assets:</t>
  </si>
  <si>
    <r>
      <rPr>
        <b/>
        <sz val="11"/>
        <color theme="1"/>
        <rFont val="Aptos Narrow"/>
        <family val="2"/>
        <scheme val="minor"/>
      </rPr>
      <t>Immunization</t>
    </r>
    <r>
      <rPr>
        <sz val="11"/>
        <color theme="1"/>
        <rFont val="Aptos Narrow"/>
        <family val="2"/>
        <scheme val="minor"/>
      </rPr>
      <t>: Suppose we sell all the mortgages. Cash has a duration of zero. (Why?)</t>
    </r>
  </si>
  <si>
    <t>Cash</t>
  </si>
  <si>
    <t>Is the portfolio immunized?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</si>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</sst>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EB8E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93A6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3" borderId="2" xfId="0" applyFont="1" applyFill="1" applyBorder="1" applyAlignment="1">
      <alignment horizontal="right" vertical="center"/>
    </xf>
    <xf numFmtId="2" fontId="1" fillId="3" borderId="3" xfId="0" applyNumberFormat="1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right" wrapText="1"/>
    </xf>
    <xf numFmtId="0" fontId="0" fillId="4" borderId="5" xfId="0" applyFill="1" applyBorder="1"/>
    <xf numFmtId="0" fontId="0" fillId="4" borderId="6" xfId="0" applyFill="1" applyBorder="1"/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5" borderId="10" xfId="0" applyFill="1" applyBorder="1"/>
    <xf numFmtId="0" fontId="0" fillId="5" borderId="11" xfId="0" applyFill="1" applyBorder="1" applyAlignment="1">
      <alignment horizontal="left"/>
    </xf>
    <xf numFmtId="0" fontId="0" fillId="6" borderId="12" xfId="0" applyFill="1" applyBorder="1" applyAlignment="1">
      <alignment horizontal="right"/>
    </xf>
    <xf numFmtId="164" fontId="0" fillId="6" borderId="12" xfId="0" applyNumberFormat="1" applyFill="1" applyBorder="1" applyAlignment="1">
      <alignment horizontal="right"/>
    </xf>
    <xf numFmtId="164" fontId="0" fillId="6" borderId="13" xfId="0" applyNumberFormat="1" applyFill="1" applyBorder="1" applyAlignment="1">
      <alignment horizontal="right"/>
    </xf>
    <xf numFmtId="1" fontId="0" fillId="6" borderId="12" xfId="0" applyNumberFormat="1" applyFill="1" applyBorder="1" applyAlignment="1">
      <alignment horizontal="right"/>
    </xf>
    <xf numFmtId="1" fontId="0" fillId="5" borderId="0" xfId="0" applyNumberFormat="1" applyFill="1"/>
    <xf numFmtId="1" fontId="0" fillId="7" borderId="14" xfId="0" applyNumberFormat="1" applyFill="1" applyBorder="1" applyAlignment="1">
      <alignment horizontal="right"/>
    </xf>
    <xf numFmtId="0" fontId="0" fillId="8" borderId="0" xfId="0" applyFill="1"/>
    <xf numFmtId="0" fontId="1" fillId="3" borderId="15" xfId="0" applyFont="1" applyFill="1" applyBorder="1" applyAlignment="1">
      <alignment horizontal="right" vertical="center"/>
    </xf>
    <xf numFmtId="2" fontId="1" fillId="3" borderId="16" xfId="0" applyNumberFormat="1" applyFont="1" applyFill="1" applyBorder="1" applyAlignment="1">
      <alignment horizontal="center"/>
    </xf>
    <xf numFmtId="0" fontId="1" fillId="3" borderId="17" xfId="0" applyFont="1" applyFill="1" applyBorder="1" applyAlignment="1">
      <alignment horizontal="right" vertical="center"/>
    </xf>
    <xf numFmtId="0" fontId="1" fillId="3" borderId="18" xfId="0" applyFont="1" applyFill="1" applyBorder="1" applyAlignment="1">
      <alignment horizontal="right" wrapText="1"/>
    </xf>
    <xf numFmtId="0" fontId="1" fillId="3" borderId="19" xfId="0" applyFont="1" applyFill="1" applyBorder="1" applyAlignment="1">
      <alignment horizontal="right" vertical="center"/>
    </xf>
    <xf numFmtId="0" fontId="1" fillId="3" borderId="20" xfId="0" applyFont="1" applyFill="1" applyBorder="1" applyAlignment="1">
      <alignment horizontal="right"/>
    </xf>
    <xf numFmtId="0" fontId="1" fillId="3" borderId="21" xfId="0" applyFont="1" applyFill="1" applyBorder="1" applyAlignment="1">
      <alignment horizontal="right"/>
    </xf>
    <xf numFmtId="0" fontId="1" fillId="3" borderId="22" xfId="0" applyFont="1" applyFill="1" applyBorder="1" applyAlignment="1">
      <alignment horizontal="right" vertical="center"/>
    </xf>
    <xf numFmtId="0" fontId="1" fillId="3" borderId="23" xfId="0" applyFont="1" applyFill="1" applyBorder="1" applyAlignment="1">
      <alignment horizontal="right" wrapText="1"/>
    </xf>
    <xf numFmtId="0" fontId="4" fillId="8" borderId="0" xfId="0" applyFont="1" applyFill="1"/>
    <xf numFmtId="2" fontId="0" fillId="0" borderId="8" xfId="0" applyNumberFormat="1" applyBorder="1" applyAlignment="1">
      <alignment horizontal="right"/>
    </xf>
    <xf numFmtId="2" fontId="0" fillId="0" borderId="24" xfId="0" applyNumberFormat="1" applyBorder="1" applyAlignment="1">
      <alignment horizontal="right"/>
    </xf>
    <xf numFmtId="164" fontId="0" fillId="6" borderId="25" xfId="0" applyNumberFormat="1" applyFill="1" applyBorder="1" applyAlignment="1">
      <alignment horizontal="right"/>
    </xf>
    <xf numFmtId="164" fontId="0" fillId="6" borderId="12" xfId="0" applyNumberFormat="1" applyFill="1" applyBorder="1" applyAlignment="1">
      <alignment horizontal="right"/>
    </xf>
    <xf numFmtId="0" fontId="0" fillId="8" borderId="0" xfId="0" applyFill="1" applyAlignment="1">
      <alignment horizontal="right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164" fontId="0" fillId="7" borderId="26" xfId="0" applyNumberFormat="1" applyFill="1" applyBorder="1" applyAlignment="1">
      <alignment horizontal="center"/>
    </xf>
    <xf numFmtId="0" fontId="0" fillId="7" borderId="27" xfId="0" applyFill="1" applyBorder="1"/>
    <xf numFmtId="164" fontId="0" fillId="0" borderId="0" xfId="0" applyNumberFormat="1"/>
    <xf numFmtId="0" fontId="2" fillId="8" borderId="0" xfId="0" applyFont="1" applyFill="1" applyAlignment="1">
      <alignment horizontal="left"/>
    </xf>
    <xf numFmtId="0" fontId="3" fillId="9" borderId="20" xfId="0" applyFont="1" applyFill="1" applyBorder="1" applyAlignment="1">
      <alignment horizontal="right"/>
    </xf>
    <xf numFmtId="164" fontId="3" fillId="9" borderId="8" xfId="0" applyNumberFormat="1" applyFont="1" applyFill="1" applyBorder="1" applyAlignment="1">
      <alignment horizontal="right"/>
    </xf>
    <xf numFmtId="164" fontId="0" fillId="6" borderId="24" xfId="0" applyNumberFormat="1" applyFill="1" applyBorder="1" applyAlignment="1">
      <alignment horizontal="right"/>
    </xf>
    <xf numFmtId="1" fontId="0" fillId="0" borderId="0" xfId="0" applyNumberFormat="1"/>
    <xf numFmtId="164" fontId="0" fillId="7" borderId="1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5193-2325-4E22-904C-6F84758FF52B}">
  <dimension ref="A2:J28"/>
  <sheetViews>
    <sheetView tabSelected="1" workbookViewId="0">
      <selection activeCell="E1" sqref="E1:E1048576"/>
    </sheetView>
  </sheetViews>
  <sheetFormatPr defaultRowHeight="15" x14ac:dyDescent="0.25"/>
  <cols>
    <col min="1" max="1" width="31.140625" customWidth="1"/>
    <col min="4" max="4" width="25.5703125" bestFit="1" customWidth="1"/>
    <col min="5" max="5" width="20" bestFit="1" customWidth="1"/>
  </cols>
  <sheetData>
    <row r="2" spans="1:10" ht="15.75" thickBot="1" x14ac:dyDescent="0.3">
      <c r="A2" s="1" t="s">
        <v>0</v>
      </c>
      <c r="B2" s="2"/>
      <c r="C2" s="2"/>
      <c r="D2" s="2"/>
      <c r="E2" s="2"/>
      <c r="F2" s="2"/>
      <c r="G2" s="2"/>
      <c r="H2" s="2"/>
    </row>
    <row r="3" spans="1:10" ht="15.75" thickBot="1" x14ac:dyDescent="0.3"/>
    <row r="4" spans="1:10" ht="45.75" thickBot="1" x14ac:dyDescent="0.3">
      <c r="A4" s="3" t="s">
        <v>1</v>
      </c>
      <c r="B4" s="4" t="s">
        <v>2</v>
      </c>
      <c r="C4" s="4"/>
      <c r="D4" s="5" t="s">
        <v>3</v>
      </c>
      <c r="E4" s="6" t="s">
        <v>4</v>
      </c>
      <c r="H4" s="7" t="s">
        <v>5</v>
      </c>
      <c r="I4" s="8"/>
      <c r="J4" s="8"/>
    </row>
    <row r="5" spans="1:10" x14ac:dyDescent="0.25">
      <c r="A5" s="9" t="s">
        <v>6</v>
      </c>
      <c r="B5" s="10">
        <f>B14+C14</f>
        <v>300</v>
      </c>
      <c r="C5" s="10"/>
      <c r="D5" s="11">
        <v>-285</v>
      </c>
      <c r="E5" s="12">
        <f>B5+D5</f>
        <v>15</v>
      </c>
      <c r="G5" s="13" t="s">
        <v>7</v>
      </c>
      <c r="H5" s="14">
        <f>5*300/(300-285)+3*-285/(300-285)</f>
        <v>43</v>
      </c>
    </row>
    <row r="6" spans="1:10" x14ac:dyDescent="0.25">
      <c r="A6" s="15" t="s">
        <v>8</v>
      </c>
      <c r="B6" s="16">
        <f>B15*B14/(B14+C14)+C15*C14/(B14+C14)</f>
        <v>5.000000075</v>
      </c>
      <c r="C6" s="16"/>
      <c r="D6" s="17">
        <v>3</v>
      </c>
      <c r="E6" s="18">
        <f>B6*B5/(B5+D5)+D6*D5/(B5+D5)</f>
        <v>43.000001499999996</v>
      </c>
    </row>
    <row r="7" spans="1:10" ht="15.75" thickBot="1" x14ac:dyDescent="0.3">
      <c r="E7" s="19">
        <f>B6*B5/(300+D5)+D6*D5/(B5+D5)</f>
        <v>43.000001499999996</v>
      </c>
    </row>
    <row r="8" spans="1:10" ht="15.75" thickBot="1" x14ac:dyDescent="0.3">
      <c r="A8" t="s">
        <v>9</v>
      </c>
      <c r="G8" s="20">
        <f>43*1</f>
        <v>43</v>
      </c>
      <c r="H8" t="s">
        <v>10</v>
      </c>
    </row>
    <row r="10" spans="1:10" x14ac:dyDescent="0.25">
      <c r="A10" t="s">
        <v>11</v>
      </c>
    </row>
    <row r="11" spans="1:10" ht="15.75" thickBot="1" x14ac:dyDescent="0.3">
      <c r="H11" s="21"/>
      <c r="I11" s="21"/>
      <c r="J11" s="21"/>
    </row>
    <row r="12" spans="1:10" x14ac:dyDescent="0.25">
      <c r="A12" s="22" t="s">
        <v>1</v>
      </c>
      <c r="B12" s="23" t="s">
        <v>2</v>
      </c>
      <c r="C12" s="23"/>
      <c r="D12" s="24" t="s">
        <v>3</v>
      </c>
      <c r="E12" s="25" t="s">
        <v>12</v>
      </c>
      <c r="H12" s="21"/>
      <c r="I12" s="21"/>
      <c r="J12" s="21"/>
    </row>
    <row r="13" spans="1:10" ht="15.75" thickBot="1" x14ac:dyDescent="0.3">
      <c r="A13" s="26"/>
      <c r="B13" s="27" t="s">
        <v>13</v>
      </c>
      <c r="C13" s="28" t="s">
        <v>14</v>
      </c>
      <c r="D13" s="29"/>
      <c r="E13" s="30"/>
      <c r="H13" s="31"/>
      <c r="I13" s="21"/>
      <c r="J13" s="21"/>
    </row>
    <row r="14" spans="1:10" x14ac:dyDescent="0.25">
      <c r="A14" s="9" t="s">
        <v>6</v>
      </c>
      <c r="B14" s="32">
        <v>80.625</v>
      </c>
      <c r="C14" s="33">
        <v>219.375</v>
      </c>
      <c r="D14" s="9">
        <f>D5</f>
        <v>-285</v>
      </c>
      <c r="E14" s="9">
        <f>E5</f>
        <v>15</v>
      </c>
      <c r="H14" s="21"/>
      <c r="I14" s="21"/>
      <c r="J14" s="21"/>
    </row>
    <row r="15" spans="1:10" x14ac:dyDescent="0.25">
      <c r="A15" s="15" t="s">
        <v>8</v>
      </c>
      <c r="B15" s="17">
        <v>8</v>
      </c>
      <c r="C15" s="34">
        <v>3.8974359999999999</v>
      </c>
      <c r="D15" s="35">
        <f>D6</f>
        <v>3</v>
      </c>
      <c r="E15" s="35">
        <f>E6</f>
        <v>43.000001499999996</v>
      </c>
      <c r="H15" s="36"/>
      <c r="I15" s="21"/>
      <c r="J15" s="37"/>
    </row>
    <row r="16" spans="1:10" ht="15.75" thickBot="1" x14ac:dyDescent="0.3">
      <c r="A16" s="38" t="s">
        <v>15</v>
      </c>
      <c r="B16" s="39"/>
      <c r="C16" s="39"/>
      <c r="E16" s="39"/>
      <c r="H16" s="21"/>
      <c r="I16" s="21"/>
      <c r="J16" s="37"/>
    </row>
    <row r="17" spans="1:10" ht="15.75" thickBot="1" x14ac:dyDescent="0.3">
      <c r="A17" s="40" t="s">
        <v>16</v>
      </c>
      <c r="B17" s="41">
        <f>8*80.63/(80.63+219.38)+3.9*219.38/(80.63+219.38)</f>
        <v>5.0019066031132295</v>
      </c>
      <c r="C17" s="42"/>
      <c r="D17" s="43">
        <f>8*B14/(B14+C14)+C15*C14/(B14+C14)</f>
        <v>5.000000075</v>
      </c>
      <c r="H17" s="21"/>
      <c r="I17" s="21"/>
      <c r="J17" s="21"/>
    </row>
    <row r="18" spans="1:10" x14ac:dyDescent="0.25">
      <c r="A18" s="40"/>
      <c r="H18" s="21"/>
      <c r="I18" s="21"/>
      <c r="J18" s="37"/>
    </row>
    <row r="19" spans="1:10" x14ac:dyDescent="0.25">
      <c r="A19" t="s">
        <v>17</v>
      </c>
      <c r="H19" s="21"/>
      <c r="I19" s="21"/>
      <c r="J19" s="44"/>
    </row>
    <row r="20" spans="1:10" ht="15.75" thickBot="1" x14ac:dyDescent="0.3">
      <c r="H20" s="21"/>
      <c r="I20" s="21"/>
      <c r="J20" s="21"/>
    </row>
    <row r="21" spans="1:10" x14ac:dyDescent="0.25">
      <c r="A21" s="22" t="s">
        <v>1</v>
      </c>
      <c r="B21" s="23" t="s">
        <v>2</v>
      </c>
      <c r="C21" s="23"/>
      <c r="D21" s="24" t="s">
        <v>3</v>
      </c>
      <c r="E21" s="25" t="s">
        <v>4</v>
      </c>
    </row>
    <row r="22" spans="1:10" ht="15.75" thickBot="1" x14ac:dyDescent="0.3">
      <c r="A22" s="26"/>
      <c r="B22" s="45" t="s">
        <v>18</v>
      </c>
      <c r="C22" s="28" t="s">
        <v>14</v>
      </c>
      <c r="D22" s="29"/>
      <c r="E22" s="30"/>
    </row>
    <row r="23" spans="1:10" ht="15.75" thickBot="1" x14ac:dyDescent="0.3">
      <c r="A23" s="9" t="s">
        <v>6</v>
      </c>
      <c r="B23" s="32">
        <f>B14</f>
        <v>80.625</v>
      </c>
      <c r="C23" s="33">
        <f>C14</f>
        <v>219.375</v>
      </c>
      <c r="D23" s="9">
        <f>D14</f>
        <v>-285</v>
      </c>
      <c r="E23" s="9">
        <f>B23+C23+D23</f>
        <v>15</v>
      </c>
    </row>
    <row r="24" spans="1:10" ht="15.75" thickBot="1" x14ac:dyDescent="0.3">
      <c r="A24" s="15" t="s">
        <v>8</v>
      </c>
      <c r="B24" s="46">
        <v>0</v>
      </c>
      <c r="C24" s="47">
        <f>C15</f>
        <v>3.8974359999999999</v>
      </c>
      <c r="D24" s="17">
        <f>D15</f>
        <v>3</v>
      </c>
      <c r="E24" s="20">
        <f>B25*B5/(B5+D5)+D6*D5/(B5+D5)</f>
        <v>3.6898770041005946E-2</v>
      </c>
      <c r="G24" s="48"/>
    </row>
    <row r="25" spans="1:10" ht="15.75" thickBot="1" x14ac:dyDescent="0.3">
      <c r="A25" s="40" t="s">
        <v>16</v>
      </c>
      <c r="B25" s="41">
        <f>0*80.63/(80.63+219.38)+3.9*219.38/(80.63+219.38)</f>
        <v>2.8518449385020501</v>
      </c>
      <c r="C25" s="42"/>
      <c r="D25" s="43">
        <f>0*B23/(B23+C23)+C24*C23/(B23+C23)</f>
        <v>2.8500000750000001</v>
      </c>
      <c r="E25" s="48"/>
    </row>
    <row r="26" spans="1:10" ht="15.75" thickBot="1" x14ac:dyDescent="0.3"/>
    <row r="27" spans="1:10" ht="15.75" thickBot="1" x14ac:dyDescent="0.3">
      <c r="A27" t="s">
        <v>9</v>
      </c>
      <c r="G27" s="49">
        <f>E24*1</f>
        <v>3.6898770041005946E-2</v>
      </c>
      <c r="H27" t="s">
        <v>10</v>
      </c>
    </row>
    <row r="28" spans="1:10" ht="15.75" thickBot="1" x14ac:dyDescent="0.3">
      <c r="D28" t="s">
        <v>19</v>
      </c>
      <c r="G28" s="49" t="s">
        <v>20</v>
      </c>
    </row>
  </sheetData>
  <mergeCells count="13">
    <mergeCell ref="B25:C25"/>
    <mergeCell ref="E12:E13"/>
    <mergeCell ref="B17:C17"/>
    <mergeCell ref="A21:A22"/>
    <mergeCell ref="B21:C21"/>
    <mergeCell ref="D21:D22"/>
    <mergeCell ref="E21:E22"/>
    <mergeCell ref="B4:C4"/>
    <mergeCell ref="B5:C5"/>
    <mergeCell ref="B6:C6"/>
    <mergeCell ref="A12:A13"/>
    <mergeCell ref="B12:C12"/>
    <mergeCell ref="D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Rodrigo de Oliveira Leite</cp:lastModifiedBy>
  <dcterms:created xsi:type="dcterms:W3CDTF">2026-06-17T22:51:44Z</dcterms:created>
  <dcterms:modified xsi:type="dcterms:W3CDTF">2026-06-17T22:52:19Z</dcterms:modified>
</cp:coreProperties>
</file>