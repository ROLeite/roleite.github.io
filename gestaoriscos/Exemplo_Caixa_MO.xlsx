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Getsão de Riscos\"/>
    </mc:Choice>
  </mc:AlternateContent>
  <xr:revisionPtr revIDLastSave="0" documentId="8_{5DA2728D-4900-40CE-971D-36AFCFDD9894}" xr6:coauthVersionLast="47" xr6:coauthVersionMax="47" xr10:uidLastSave="{00000000-0000-0000-0000-000000000000}"/>
  <bookViews>
    <workbookView xWindow="-120" yWindow="-120" windowWidth="20640" windowHeight="11760" xr2:uid="{63AD35FF-EB6A-48B7-BFCF-44233F214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17" i="1"/>
  <c r="C18" i="1"/>
  <c r="C19" i="1"/>
  <c r="C20" i="1"/>
  <c r="C21" i="1"/>
  <c r="C22" i="1"/>
  <c r="C23" i="1"/>
  <c r="C24" i="1"/>
  <c r="C25" i="1"/>
  <c r="C26" i="1"/>
  <c r="C27" i="1"/>
  <c r="C28" i="1"/>
  <c r="C17" i="1"/>
  <c r="F8" i="1"/>
  <c r="F7" i="1"/>
  <c r="F3" i="1"/>
  <c r="F2" i="1"/>
</calcChain>
</file>

<file path=xl/sharedStrings.xml><?xml version="1.0" encoding="utf-8"?>
<sst xmlns="http://schemas.openxmlformats.org/spreadsheetml/2006/main" count="35" uniqueCount="21">
  <si>
    <t>Mês</t>
  </si>
  <si>
    <t>Valor do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</si>
  <si>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</si>
  <si>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</si>
  <si>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</si>
  <si>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</si>
  <si>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</si>
  <si>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</si>
  <si>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</si>
  <si>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</si>
  <si>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</si>
  <si>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</si>
  <si>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</si>
  <si>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</si>
  <si>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Z</t>
  </si>
  <si>
    <t>hmin</t>
  </si>
  <si>
    <t>Variância</t>
  </si>
  <si>
    <t>h*</t>
  </si>
  <si>
    <t>hmax</t>
  </si>
  <si>
    <t>Caixa Mínimo</t>
  </si>
  <si>
    <t>Caixa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</si>
</sst>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Valor do caixa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Sheet1!$B$17:$B$28</c:f>
              <c:numCache>
                <c:formatCode>_("R$"* #,##0.00_);_("R$"* \(#,##0.00\);_("R$"* "-"??_);_(@_)</c:formatCode>
                <c:ptCount val="12"/>
                <c:pt idx="0">
                  <c:v>330105.33</c:v>
                </c:pt>
                <c:pt idx="1">
                  <c:v>361902.62</c:v>
                </c:pt>
                <c:pt idx="2">
                  <c:v>453865.2</c:v>
                </c:pt>
                <c:pt idx="3">
                  <c:v>543560.52</c:v>
                </c:pt>
                <c:pt idx="4">
                  <c:v>147716.45000000001</c:v>
                </c:pt>
                <c:pt idx="5">
                  <c:v>150806.97</c:v>
                </c:pt>
                <c:pt idx="6">
                  <c:v>518198.87</c:v>
                </c:pt>
                <c:pt idx="7">
                  <c:v>137612.75</c:v>
                </c:pt>
                <c:pt idx="8">
                  <c:v>131278.82999999999</c:v>
                </c:pt>
                <c:pt idx="9">
                  <c:v>139222.03</c:v>
                </c:pt>
                <c:pt idx="10">
                  <c:v>303724.92</c:v>
                </c:pt>
                <c:pt idx="11">
                  <c:v>119834.2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1F-4534-8E15-A9F706712173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Caixa 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Sheet1!$C$17:$C$28</c:f>
              <c:numCache>
                <c:formatCode>_("R$"* #,##0.00_);_("R$"* \(#,##0.00\);_("R$"* "-"??_);_(@_)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1F-4534-8E15-A9F706712173}"/>
            </c:ext>
          </c:extLst>
        </c:ser>
        <c:ser>
          <c:idx val="2"/>
          <c:order val="2"/>
          <c:tx>
            <c:strRef>
              <c:f>Sheet1!$D$16</c:f>
              <c:strCache>
                <c:ptCount val="1"/>
                <c:pt idx="0">
                  <c:v>Caixa Máximo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Sheet1!$D$17:$D$28</c:f>
              <c:numCache>
                <c:formatCode>_("R$"* #,##0.00_);_("R$"* \(#,##0.00\);_("R$"* "-"??_);_(@_)</c:formatCode>
                <c:ptCount val="12"/>
                <c:pt idx="0">
                  <c:v>240822.0175096356</c:v>
                </c:pt>
                <c:pt idx="1">
                  <c:v>240822.0175096356</c:v>
                </c:pt>
                <c:pt idx="2">
                  <c:v>240822.0175096356</c:v>
                </c:pt>
                <c:pt idx="3">
                  <c:v>240822.0175096356</c:v>
                </c:pt>
                <c:pt idx="4">
                  <c:v>240822.0175096356</c:v>
                </c:pt>
                <c:pt idx="5">
                  <c:v>240822.0175096356</c:v>
                </c:pt>
                <c:pt idx="6">
                  <c:v>240822.0175096356</c:v>
                </c:pt>
                <c:pt idx="7">
                  <c:v>240822.0175096356</c:v>
                </c:pt>
                <c:pt idx="8">
                  <c:v>240822.0175096356</c:v>
                </c:pt>
                <c:pt idx="9">
                  <c:v>240822.0175096356</c:v>
                </c:pt>
                <c:pt idx="10">
                  <c:v>240822.0175096356</c:v>
                </c:pt>
                <c:pt idx="11">
                  <c:v>240822.0175096356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F-4534-8E15-A9F70671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932207"/>
        <c:axId val="1339931247"/>
      </c:lineChart>
      <c:catAx>
        <c:axId val="13399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931247"/>
        <c:crosses val="autoZero"/>
        <c:auto val="1"/>
        <c:lblAlgn val="ctr"/>
        <c:lblOffset val="100"/>
        <c:noMultiLvlLbl val="0"/>
      </c:catAx>
      <c:valAx>
        <c:axId val="133993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99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10</xdr:row>
      <xdr:rowOff>123825</xdr:rowOff>
    </xdr:from>
    <xdr:to>
      <xdr:col>11</xdr:col>
      <xdr:colOff>361950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B14BC-AA52-9FBF-C3E7-8B205F541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9E9C-39DE-403A-B258-00E2E9D8983B}">
  <dimension ref="A1:G28"/>
  <sheetViews>
    <sheetView tabSelected="1" topLeftCell="A7" workbookViewId="0">
      <selection activeCell="G6" sqref="G6"/>
    </sheetView>
  </sheetViews>
  <sheetFormatPr defaultRowHeight="15" x14ac:dyDescent="0.25"/>
  <cols>
    <col min="1" max="1" width="10.140625" bestFit="1" customWidth="1"/>
    <col min="2" max="4" width="14.28515625" bestFit="1" customWidth="1"/>
    <col min="5" max="5" width="9.5703125" bestFit="1" customWidth="1"/>
    <col min="6" max="7" width="14.28515625" bestFit="1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2" t="s">
        <v>2</v>
      </c>
      <c r="B2" s="3">
        <v>330105.33</v>
      </c>
      <c r="E2" t="s">
        <v>16</v>
      </c>
      <c r="F2">
        <f>_xlfn.VAR.S(B2:B13)</f>
        <v>26202350964.595425</v>
      </c>
    </row>
    <row r="3" spans="1:7" x14ac:dyDescent="0.25">
      <c r="A3" s="2" t="s">
        <v>3</v>
      </c>
      <c r="B3" s="3">
        <v>361902.62</v>
      </c>
      <c r="E3" t="s">
        <v>14</v>
      </c>
      <c r="F3" s="4">
        <f>((3*1000*F2)/(4*0.19))^(1/3)</f>
        <v>46940.67250321187</v>
      </c>
    </row>
    <row r="4" spans="1:7" x14ac:dyDescent="0.25">
      <c r="A4" s="2" t="s">
        <v>4</v>
      </c>
      <c r="B4" s="3">
        <v>453865.2</v>
      </c>
    </row>
    <row r="5" spans="1:7" x14ac:dyDescent="0.25">
      <c r="A5" s="2" t="s">
        <v>5</v>
      </c>
      <c r="B5" s="3">
        <v>543560.52</v>
      </c>
    </row>
    <row r="6" spans="1:7" x14ac:dyDescent="0.25">
      <c r="A6" s="2" t="s">
        <v>6</v>
      </c>
      <c r="B6" s="3">
        <v>147716.45000000001</v>
      </c>
      <c r="E6" t="s">
        <v>15</v>
      </c>
      <c r="F6" s="4">
        <v>100000</v>
      </c>
      <c r="G6" s="5"/>
    </row>
    <row r="7" spans="1:7" x14ac:dyDescent="0.25">
      <c r="A7" s="2" t="s">
        <v>7</v>
      </c>
      <c r="B7" s="3">
        <v>150806.97</v>
      </c>
      <c r="E7" t="s">
        <v>17</v>
      </c>
      <c r="F7" s="5">
        <f>F6+F3</f>
        <v>146940.67250321188</v>
      </c>
    </row>
    <row r="8" spans="1:7" x14ac:dyDescent="0.25">
      <c r="A8" s="2" t="s">
        <v>8</v>
      </c>
      <c r="B8" s="3">
        <v>518198.87</v>
      </c>
      <c r="E8" t="s">
        <v>18</v>
      </c>
      <c r="F8" s="5">
        <f>F6+3*F3</f>
        <v>240822.0175096356</v>
      </c>
    </row>
    <row r="9" spans="1:7" x14ac:dyDescent="0.25">
      <c r="A9" s="2" t="s">
        <v>9</v>
      </c>
      <c r="B9" s="3">
        <v>137612.75</v>
      </c>
    </row>
    <row r="10" spans="1:7" x14ac:dyDescent="0.25">
      <c r="A10" s="2" t="s">
        <v>10</v>
      </c>
      <c r="B10" s="3">
        <v>131278.82999999999</v>
      </c>
    </row>
    <row r="11" spans="1:7" x14ac:dyDescent="0.25">
      <c r="A11" s="2" t="s">
        <v>11</v>
      </c>
      <c r="B11" s="3">
        <v>139222.03</v>
      </c>
    </row>
    <row r="12" spans="1:7" x14ac:dyDescent="0.25">
      <c r="A12" s="2" t="s">
        <v>12</v>
      </c>
      <c r="B12" s="3">
        <v>303724.92</v>
      </c>
    </row>
    <row r="13" spans="1:7" x14ac:dyDescent="0.25">
      <c r="A13" s="2" t="s">
        <v>13</v>
      </c>
      <c r="B13" s="3">
        <v>119834.2</v>
      </c>
    </row>
    <row r="16" spans="1:7" x14ac:dyDescent="0.25">
      <c r="A16" s="1" t="s">
        <v>0</v>
      </c>
      <c r="B16" s="1" t="s">
        <v>1</v>
      </c>
      <c r="C16" s="1" t="s">
        <v>19</v>
      </c>
      <c r="D16" s="1" t="s">
        <v>20</v>
      </c>
    </row>
    <row r="17" spans="1:4" x14ac:dyDescent="0.25">
      <c r="A17" s="2" t="s">
        <v>2</v>
      </c>
      <c r="B17" s="3">
        <v>330105.33</v>
      </c>
      <c r="C17" s="3">
        <f>$F$6</f>
        <v>100000</v>
      </c>
      <c r="D17" s="3">
        <f>$F$8</f>
        <v>240822.0175096356</v>
      </c>
    </row>
    <row r="18" spans="1:4" x14ac:dyDescent="0.25">
      <c r="A18" s="2" t="s">
        <v>3</v>
      </c>
      <c r="B18" s="3">
        <v>361902.62</v>
      </c>
      <c r="C18" s="3">
        <f t="shared" ref="C18:C28" si="0">$F$6</f>
        <v>100000</v>
      </c>
      <c r="D18" s="3">
        <f t="shared" ref="D18:D28" si="1">$F$8</f>
        <v>240822.0175096356</v>
      </c>
    </row>
    <row r="19" spans="1:4" x14ac:dyDescent="0.25">
      <c r="A19" s="2" t="s">
        <v>4</v>
      </c>
      <c r="B19" s="3">
        <v>453865.2</v>
      </c>
      <c r="C19" s="3">
        <f t="shared" si="0"/>
        <v>100000</v>
      </c>
      <c r="D19" s="3">
        <f t="shared" si="1"/>
        <v>240822.0175096356</v>
      </c>
    </row>
    <row r="20" spans="1:4" x14ac:dyDescent="0.25">
      <c r="A20" s="2" t="s">
        <v>5</v>
      </c>
      <c r="B20" s="3">
        <v>543560.52</v>
      </c>
      <c r="C20" s="3">
        <f t="shared" si="0"/>
        <v>100000</v>
      </c>
      <c r="D20" s="3">
        <f t="shared" si="1"/>
        <v>240822.0175096356</v>
      </c>
    </row>
    <row r="21" spans="1:4" x14ac:dyDescent="0.25">
      <c r="A21" s="2" t="s">
        <v>6</v>
      </c>
      <c r="B21" s="3">
        <v>147716.45000000001</v>
      </c>
      <c r="C21" s="3">
        <f t="shared" si="0"/>
        <v>100000</v>
      </c>
      <c r="D21" s="3">
        <f t="shared" si="1"/>
        <v>240822.0175096356</v>
      </c>
    </row>
    <row r="22" spans="1:4" x14ac:dyDescent="0.25">
      <c r="A22" s="2" t="s">
        <v>7</v>
      </c>
      <c r="B22" s="3">
        <v>150806.97</v>
      </c>
      <c r="C22" s="3">
        <f t="shared" si="0"/>
        <v>100000</v>
      </c>
      <c r="D22" s="3">
        <f t="shared" si="1"/>
        <v>240822.0175096356</v>
      </c>
    </row>
    <row r="23" spans="1:4" x14ac:dyDescent="0.25">
      <c r="A23" s="2" t="s">
        <v>8</v>
      </c>
      <c r="B23" s="3">
        <v>518198.87</v>
      </c>
      <c r="C23" s="3">
        <f t="shared" si="0"/>
        <v>100000</v>
      </c>
      <c r="D23" s="3">
        <f t="shared" si="1"/>
        <v>240822.0175096356</v>
      </c>
    </row>
    <row r="24" spans="1:4" x14ac:dyDescent="0.25">
      <c r="A24" s="2" t="s">
        <v>9</v>
      </c>
      <c r="B24" s="3">
        <v>137612.75</v>
      </c>
      <c r="C24" s="3">
        <f t="shared" si="0"/>
        <v>100000</v>
      </c>
      <c r="D24" s="3">
        <f t="shared" si="1"/>
        <v>240822.0175096356</v>
      </c>
    </row>
    <row r="25" spans="1:4" x14ac:dyDescent="0.25">
      <c r="A25" s="2" t="s">
        <v>10</v>
      </c>
      <c r="B25" s="3">
        <v>131278.82999999999</v>
      </c>
      <c r="C25" s="3">
        <f t="shared" si="0"/>
        <v>100000</v>
      </c>
      <c r="D25" s="3">
        <f t="shared" si="1"/>
        <v>240822.0175096356</v>
      </c>
    </row>
    <row r="26" spans="1:4" x14ac:dyDescent="0.25">
      <c r="A26" s="2" t="s">
        <v>11</v>
      </c>
      <c r="B26" s="3">
        <v>139222.03</v>
      </c>
      <c r="C26" s="3">
        <f t="shared" si="0"/>
        <v>100000</v>
      </c>
      <c r="D26" s="3">
        <f t="shared" si="1"/>
        <v>240822.0175096356</v>
      </c>
    </row>
    <row r="27" spans="1:4" x14ac:dyDescent="0.25">
      <c r="A27" s="2" t="s">
        <v>12</v>
      </c>
      <c r="B27" s="3">
        <v>303724.92</v>
      </c>
      <c r="C27" s="3">
        <f t="shared" si="0"/>
        <v>100000</v>
      </c>
      <c r="D27" s="3">
        <f t="shared" si="1"/>
        <v>240822.0175096356</v>
      </c>
    </row>
    <row r="28" spans="1:4" x14ac:dyDescent="0.25">
      <c r="A28" s="2" t="s">
        <v>13</v>
      </c>
      <c r="B28" s="3">
        <v>119834.2</v>
      </c>
      <c r="C28" s="3">
        <f t="shared" si="0"/>
        <v>100000</v>
      </c>
      <c r="D28" s="3">
        <f t="shared" si="1"/>
        <v>240822.0175096356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2026-06-15T23:24:41Z</dcterms:created>
  <dcterms:modified xsi:type="dcterms:W3CDTF">2026-06-15T23:39:00Z</dcterms:modified>
</cp:coreProperties>
</file>