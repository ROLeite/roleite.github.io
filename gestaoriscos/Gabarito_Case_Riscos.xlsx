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Getsão de Riscos\Case 2\"/>
    </mc:Choice>
  </mc:AlternateContent>
  <xr:revisionPtr revIDLastSave="0" documentId="13_ncr:1_{2CC202AC-9C89-43FE-9D9F-CFC0266F841C}" xr6:coauthVersionLast="47" xr6:coauthVersionMax="47" xr10:uidLastSave="{00000000-0000-0000-0000-000000000000}"/>
  <bookViews>
    <workbookView xWindow="-120" yWindow="-120" windowWidth="20640" windowHeight="11760" xr2:uid="{1B4A6761-FEEA-4CA0-8C22-83078BB49031}"/>
  </bookViews>
  <sheets>
    <sheet name="Sem Alisamento" sheetId="1" r:id="rId1"/>
    <sheet name="Com Alisa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2" l="1"/>
  <c r="N11" i="1"/>
  <c r="N12" i="1"/>
  <c r="M12" i="1"/>
  <c r="M11" i="1"/>
  <c r="M7" i="1"/>
  <c r="L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3" i="2"/>
  <c r="H498" i="2" l="1"/>
  <c r="G498" i="2"/>
  <c r="F498" i="2"/>
  <c r="H497" i="2"/>
  <c r="G497" i="2"/>
  <c r="F497" i="2"/>
  <c r="H496" i="2"/>
  <c r="G496" i="2"/>
  <c r="F496" i="2"/>
  <c r="H495" i="2"/>
  <c r="G495" i="2"/>
  <c r="F495" i="2"/>
  <c r="H494" i="2"/>
  <c r="G494" i="2"/>
  <c r="F494" i="2"/>
  <c r="H493" i="2"/>
  <c r="G493" i="2"/>
  <c r="F493" i="2"/>
  <c r="H492" i="2"/>
  <c r="G492" i="2"/>
  <c r="F492" i="2"/>
  <c r="H491" i="2"/>
  <c r="G491" i="2"/>
  <c r="F491" i="2"/>
  <c r="H490" i="2"/>
  <c r="G490" i="2"/>
  <c r="F490" i="2"/>
  <c r="H489" i="2"/>
  <c r="G489" i="2"/>
  <c r="F489" i="2"/>
  <c r="H488" i="2"/>
  <c r="G488" i="2"/>
  <c r="F488" i="2"/>
  <c r="H487" i="2"/>
  <c r="G487" i="2"/>
  <c r="F487" i="2"/>
  <c r="H486" i="2"/>
  <c r="G486" i="2"/>
  <c r="F486" i="2"/>
  <c r="H485" i="2"/>
  <c r="G485" i="2"/>
  <c r="F485" i="2"/>
  <c r="H484" i="2"/>
  <c r="G484" i="2"/>
  <c r="F484" i="2"/>
  <c r="H483" i="2"/>
  <c r="G483" i="2"/>
  <c r="F483" i="2"/>
  <c r="H482" i="2"/>
  <c r="G482" i="2"/>
  <c r="F482" i="2"/>
  <c r="H481" i="2"/>
  <c r="G481" i="2"/>
  <c r="F481" i="2"/>
  <c r="H480" i="2"/>
  <c r="G480" i="2"/>
  <c r="F480" i="2"/>
  <c r="H479" i="2"/>
  <c r="G479" i="2"/>
  <c r="F479" i="2"/>
  <c r="H478" i="2"/>
  <c r="G478" i="2"/>
  <c r="F478" i="2"/>
  <c r="H477" i="2"/>
  <c r="G477" i="2"/>
  <c r="F477" i="2"/>
  <c r="H476" i="2"/>
  <c r="G476" i="2"/>
  <c r="F476" i="2"/>
  <c r="H475" i="2"/>
  <c r="G475" i="2"/>
  <c r="F475" i="2"/>
  <c r="H474" i="2"/>
  <c r="G474" i="2"/>
  <c r="F474" i="2"/>
  <c r="H473" i="2"/>
  <c r="G473" i="2"/>
  <c r="F473" i="2"/>
  <c r="H472" i="2"/>
  <c r="G472" i="2"/>
  <c r="F472" i="2"/>
  <c r="H471" i="2"/>
  <c r="G471" i="2"/>
  <c r="F471" i="2"/>
  <c r="H470" i="2"/>
  <c r="G470" i="2"/>
  <c r="F470" i="2"/>
  <c r="H469" i="2"/>
  <c r="G469" i="2"/>
  <c r="F469" i="2"/>
  <c r="H468" i="2"/>
  <c r="G468" i="2"/>
  <c r="F468" i="2"/>
  <c r="H467" i="2"/>
  <c r="G467" i="2"/>
  <c r="F467" i="2"/>
  <c r="H466" i="2"/>
  <c r="G466" i="2"/>
  <c r="F466" i="2"/>
  <c r="H465" i="2"/>
  <c r="G465" i="2"/>
  <c r="F465" i="2"/>
  <c r="H464" i="2"/>
  <c r="G464" i="2"/>
  <c r="F464" i="2"/>
  <c r="H463" i="2"/>
  <c r="G463" i="2"/>
  <c r="F463" i="2"/>
  <c r="H462" i="2"/>
  <c r="G462" i="2"/>
  <c r="F462" i="2"/>
  <c r="H461" i="2"/>
  <c r="G461" i="2"/>
  <c r="F461" i="2"/>
  <c r="H460" i="2"/>
  <c r="G460" i="2"/>
  <c r="F460" i="2"/>
  <c r="H459" i="2"/>
  <c r="G459" i="2"/>
  <c r="F459" i="2"/>
  <c r="H458" i="2"/>
  <c r="G458" i="2"/>
  <c r="F458" i="2"/>
  <c r="H457" i="2"/>
  <c r="G457" i="2"/>
  <c r="F457" i="2"/>
  <c r="H456" i="2"/>
  <c r="G456" i="2"/>
  <c r="F456" i="2"/>
  <c r="H455" i="2"/>
  <c r="G455" i="2"/>
  <c r="F455" i="2"/>
  <c r="H454" i="2"/>
  <c r="G454" i="2"/>
  <c r="F454" i="2"/>
  <c r="H453" i="2"/>
  <c r="G453" i="2"/>
  <c r="F453" i="2"/>
  <c r="H452" i="2"/>
  <c r="G452" i="2"/>
  <c r="F452" i="2"/>
  <c r="H451" i="2"/>
  <c r="G451" i="2"/>
  <c r="F451" i="2"/>
  <c r="H450" i="2"/>
  <c r="G450" i="2"/>
  <c r="F450" i="2"/>
  <c r="H449" i="2"/>
  <c r="G449" i="2"/>
  <c r="F449" i="2"/>
  <c r="H448" i="2"/>
  <c r="G448" i="2"/>
  <c r="F448" i="2"/>
  <c r="H447" i="2"/>
  <c r="G447" i="2"/>
  <c r="F447" i="2"/>
  <c r="H446" i="2"/>
  <c r="G446" i="2"/>
  <c r="F446" i="2"/>
  <c r="H445" i="2"/>
  <c r="G445" i="2"/>
  <c r="F445" i="2"/>
  <c r="H444" i="2"/>
  <c r="G444" i="2"/>
  <c r="F444" i="2"/>
  <c r="H443" i="2"/>
  <c r="G443" i="2"/>
  <c r="F443" i="2"/>
  <c r="H442" i="2"/>
  <c r="G442" i="2"/>
  <c r="F442" i="2"/>
  <c r="H441" i="2"/>
  <c r="G441" i="2"/>
  <c r="F441" i="2"/>
  <c r="H440" i="2"/>
  <c r="G440" i="2"/>
  <c r="F440" i="2"/>
  <c r="H439" i="2"/>
  <c r="G439" i="2"/>
  <c r="F439" i="2"/>
  <c r="H438" i="2"/>
  <c r="G438" i="2"/>
  <c r="F438" i="2"/>
  <c r="H437" i="2"/>
  <c r="G437" i="2"/>
  <c r="F437" i="2"/>
  <c r="H436" i="2"/>
  <c r="G436" i="2"/>
  <c r="F436" i="2"/>
  <c r="H435" i="2"/>
  <c r="G435" i="2"/>
  <c r="F435" i="2"/>
  <c r="H434" i="2"/>
  <c r="G434" i="2"/>
  <c r="F434" i="2"/>
  <c r="H433" i="2"/>
  <c r="G433" i="2"/>
  <c r="F433" i="2"/>
  <c r="H432" i="2"/>
  <c r="G432" i="2"/>
  <c r="F432" i="2"/>
  <c r="H431" i="2"/>
  <c r="G431" i="2"/>
  <c r="F431" i="2"/>
  <c r="H430" i="2"/>
  <c r="G430" i="2"/>
  <c r="F430" i="2"/>
  <c r="H429" i="2"/>
  <c r="G429" i="2"/>
  <c r="F429" i="2"/>
  <c r="H428" i="2"/>
  <c r="G428" i="2"/>
  <c r="F428" i="2"/>
  <c r="H427" i="2"/>
  <c r="G427" i="2"/>
  <c r="F427" i="2"/>
  <c r="H426" i="2"/>
  <c r="G426" i="2"/>
  <c r="F426" i="2"/>
  <c r="H425" i="2"/>
  <c r="G425" i="2"/>
  <c r="F425" i="2"/>
  <c r="H424" i="2"/>
  <c r="G424" i="2"/>
  <c r="F424" i="2"/>
  <c r="H423" i="2"/>
  <c r="G423" i="2"/>
  <c r="F423" i="2"/>
  <c r="H422" i="2"/>
  <c r="G422" i="2"/>
  <c r="F422" i="2"/>
  <c r="H421" i="2"/>
  <c r="G421" i="2"/>
  <c r="F421" i="2"/>
  <c r="H420" i="2"/>
  <c r="G420" i="2"/>
  <c r="F420" i="2"/>
  <c r="H419" i="2"/>
  <c r="G419" i="2"/>
  <c r="F419" i="2"/>
  <c r="H418" i="2"/>
  <c r="G418" i="2"/>
  <c r="F418" i="2"/>
  <c r="H417" i="2"/>
  <c r="G417" i="2"/>
  <c r="F417" i="2"/>
  <c r="H416" i="2"/>
  <c r="G416" i="2"/>
  <c r="F416" i="2"/>
  <c r="H415" i="2"/>
  <c r="G415" i="2"/>
  <c r="F415" i="2"/>
  <c r="H414" i="2"/>
  <c r="G414" i="2"/>
  <c r="F414" i="2"/>
  <c r="H413" i="2"/>
  <c r="G413" i="2"/>
  <c r="F413" i="2"/>
  <c r="H412" i="2"/>
  <c r="G412" i="2"/>
  <c r="F412" i="2"/>
  <c r="H411" i="2"/>
  <c r="G411" i="2"/>
  <c r="F411" i="2"/>
  <c r="H410" i="2"/>
  <c r="G410" i="2"/>
  <c r="F410" i="2"/>
  <c r="H409" i="2"/>
  <c r="G409" i="2"/>
  <c r="F409" i="2"/>
  <c r="H408" i="2"/>
  <c r="G408" i="2"/>
  <c r="F408" i="2"/>
  <c r="H407" i="2"/>
  <c r="G407" i="2"/>
  <c r="F407" i="2"/>
  <c r="H406" i="2"/>
  <c r="G406" i="2"/>
  <c r="F406" i="2"/>
  <c r="H405" i="2"/>
  <c r="G405" i="2"/>
  <c r="F405" i="2"/>
  <c r="H404" i="2"/>
  <c r="G404" i="2"/>
  <c r="F404" i="2"/>
  <c r="H403" i="2"/>
  <c r="G403" i="2"/>
  <c r="F403" i="2"/>
  <c r="H402" i="2"/>
  <c r="G402" i="2"/>
  <c r="F402" i="2"/>
  <c r="H401" i="2"/>
  <c r="G401" i="2"/>
  <c r="F401" i="2"/>
  <c r="H400" i="2"/>
  <c r="G400" i="2"/>
  <c r="F400" i="2"/>
  <c r="H399" i="2"/>
  <c r="G399" i="2"/>
  <c r="F399" i="2"/>
  <c r="H398" i="2"/>
  <c r="G398" i="2"/>
  <c r="F398" i="2"/>
  <c r="H397" i="2"/>
  <c r="G397" i="2"/>
  <c r="F397" i="2"/>
  <c r="H396" i="2"/>
  <c r="G396" i="2"/>
  <c r="F396" i="2"/>
  <c r="H395" i="2"/>
  <c r="G395" i="2"/>
  <c r="F395" i="2"/>
  <c r="H394" i="2"/>
  <c r="G394" i="2"/>
  <c r="F394" i="2"/>
  <c r="H393" i="2"/>
  <c r="G393" i="2"/>
  <c r="F393" i="2"/>
  <c r="H392" i="2"/>
  <c r="G392" i="2"/>
  <c r="F392" i="2"/>
  <c r="H391" i="2"/>
  <c r="G391" i="2"/>
  <c r="F391" i="2"/>
  <c r="H390" i="2"/>
  <c r="G390" i="2"/>
  <c r="F390" i="2"/>
  <c r="H389" i="2"/>
  <c r="G389" i="2"/>
  <c r="F389" i="2"/>
  <c r="H388" i="2"/>
  <c r="G388" i="2"/>
  <c r="F388" i="2"/>
  <c r="H387" i="2"/>
  <c r="G387" i="2"/>
  <c r="F387" i="2"/>
  <c r="H386" i="2"/>
  <c r="G386" i="2"/>
  <c r="F386" i="2"/>
  <c r="H385" i="2"/>
  <c r="G385" i="2"/>
  <c r="F385" i="2"/>
  <c r="H384" i="2"/>
  <c r="G384" i="2"/>
  <c r="F384" i="2"/>
  <c r="H383" i="2"/>
  <c r="G383" i="2"/>
  <c r="F383" i="2"/>
  <c r="H382" i="2"/>
  <c r="G382" i="2"/>
  <c r="F382" i="2"/>
  <c r="H381" i="2"/>
  <c r="G381" i="2"/>
  <c r="F381" i="2"/>
  <c r="H380" i="2"/>
  <c r="G380" i="2"/>
  <c r="F380" i="2"/>
  <c r="H379" i="2"/>
  <c r="G379" i="2"/>
  <c r="F379" i="2"/>
  <c r="H378" i="2"/>
  <c r="G378" i="2"/>
  <c r="F378" i="2"/>
  <c r="H377" i="2"/>
  <c r="G377" i="2"/>
  <c r="F377" i="2"/>
  <c r="H376" i="2"/>
  <c r="G376" i="2"/>
  <c r="F376" i="2"/>
  <c r="H375" i="2"/>
  <c r="G375" i="2"/>
  <c r="F375" i="2"/>
  <c r="H374" i="2"/>
  <c r="G374" i="2"/>
  <c r="F374" i="2"/>
  <c r="H373" i="2"/>
  <c r="G373" i="2"/>
  <c r="F373" i="2"/>
  <c r="H372" i="2"/>
  <c r="G372" i="2"/>
  <c r="F372" i="2"/>
  <c r="H371" i="2"/>
  <c r="G371" i="2"/>
  <c r="F371" i="2"/>
  <c r="H370" i="2"/>
  <c r="G370" i="2"/>
  <c r="F370" i="2"/>
  <c r="H369" i="2"/>
  <c r="G369" i="2"/>
  <c r="F369" i="2"/>
  <c r="H368" i="2"/>
  <c r="G368" i="2"/>
  <c r="F368" i="2"/>
  <c r="H367" i="2"/>
  <c r="G367" i="2"/>
  <c r="F367" i="2"/>
  <c r="H366" i="2"/>
  <c r="G366" i="2"/>
  <c r="F366" i="2"/>
  <c r="H365" i="2"/>
  <c r="G365" i="2"/>
  <c r="F365" i="2"/>
  <c r="H364" i="2"/>
  <c r="G364" i="2"/>
  <c r="F364" i="2"/>
  <c r="H363" i="2"/>
  <c r="G363" i="2"/>
  <c r="F363" i="2"/>
  <c r="H362" i="2"/>
  <c r="G362" i="2"/>
  <c r="F362" i="2"/>
  <c r="H361" i="2"/>
  <c r="G361" i="2"/>
  <c r="F361" i="2"/>
  <c r="H360" i="2"/>
  <c r="G360" i="2"/>
  <c r="F360" i="2"/>
  <c r="H359" i="2"/>
  <c r="G359" i="2"/>
  <c r="F359" i="2"/>
  <c r="H358" i="2"/>
  <c r="G358" i="2"/>
  <c r="F358" i="2"/>
  <c r="H357" i="2"/>
  <c r="G357" i="2"/>
  <c r="F357" i="2"/>
  <c r="H356" i="2"/>
  <c r="G356" i="2"/>
  <c r="F356" i="2"/>
  <c r="H355" i="2"/>
  <c r="G355" i="2"/>
  <c r="F355" i="2"/>
  <c r="H354" i="2"/>
  <c r="G354" i="2"/>
  <c r="F354" i="2"/>
  <c r="H353" i="2"/>
  <c r="G353" i="2"/>
  <c r="F353" i="2"/>
  <c r="H352" i="2"/>
  <c r="G352" i="2"/>
  <c r="F352" i="2"/>
  <c r="H351" i="2"/>
  <c r="G351" i="2"/>
  <c r="F351" i="2"/>
  <c r="H350" i="2"/>
  <c r="G350" i="2"/>
  <c r="F350" i="2"/>
  <c r="H349" i="2"/>
  <c r="G349" i="2"/>
  <c r="F349" i="2"/>
  <c r="H348" i="2"/>
  <c r="G348" i="2"/>
  <c r="F348" i="2"/>
  <c r="H347" i="2"/>
  <c r="G347" i="2"/>
  <c r="F347" i="2"/>
  <c r="H346" i="2"/>
  <c r="G346" i="2"/>
  <c r="F346" i="2"/>
  <c r="H345" i="2"/>
  <c r="G345" i="2"/>
  <c r="F345" i="2"/>
  <c r="H344" i="2"/>
  <c r="G344" i="2"/>
  <c r="F344" i="2"/>
  <c r="H343" i="2"/>
  <c r="G343" i="2"/>
  <c r="F343" i="2"/>
  <c r="H342" i="2"/>
  <c r="G342" i="2"/>
  <c r="F342" i="2"/>
  <c r="H341" i="2"/>
  <c r="G341" i="2"/>
  <c r="F341" i="2"/>
  <c r="H340" i="2"/>
  <c r="G340" i="2"/>
  <c r="F340" i="2"/>
  <c r="H339" i="2"/>
  <c r="G339" i="2"/>
  <c r="F339" i="2"/>
  <c r="H338" i="2"/>
  <c r="G338" i="2"/>
  <c r="F338" i="2"/>
  <c r="H337" i="2"/>
  <c r="G337" i="2"/>
  <c r="F337" i="2"/>
  <c r="H336" i="2"/>
  <c r="G336" i="2"/>
  <c r="F336" i="2"/>
  <c r="H335" i="2"/>
  <c r="G335" i="2"/>
  <c r="F335" i="2"/>
  <c r="H334" i="2"/>
  <c r="G334" i="2"/>
  <c r="F334" i="2"/>
  <c r="H333" i="2"/>
  <c r="G333" i="2"/>
  <c r="F333" i="2"/>
  <c r="H332" i="2"/>
  <c r="G332" i="2"/>
  <c r="F332" i="2"/>
  <c r="H331" i="2"/>
  <c r="G331" i="2"/>
  <c r="F331" i="2"/>
  <c r="H330" i="2"/>
  <c r="G330" i="2"/>
  <c r="F330" i="2"/>
  <c r="H329" i="2"/>
  <c r="G329" i="2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G324" i="2"/>
  <c r="F324" i="2"/>
  <c r="H323" i="2"/>
  <c r="G323" i="2"/>
  <c r="F323" i="2"/>
  <c r="H322" i="2"/>
  <c r="G322" i="2"/>
  <c r="F322" i="2"/>
  <c r="H321" i="2"/>
  <c r="G321" i="2"/>
  <c r="F321" i="2"/>
  <c r="H320" i="2"/>
  <c r="G320" i="2"/>
  <c r="F320" i="2"/>
  <c r="H319" i="2"/>
  <c r="G319" i="2"/>
  <c r="F319" i="2"/>
  <c r="H318" i="2"/>
  <c r="G318" i="2"/>
  <c r="F318" i="2"/>
  <c r="H317" i="2"/>
  <c r="G317" i="2"/>
  <c r="F317" i="2"/>
  <c r="H316" i="2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H311" i="2"/>
  <c r="G311" i="2"/>
  <c r="F311" i="2"/>
  <c r="H310" i="2"/>
  <c r="G310" i="2"/>
  <c r="F310" i="2"/>
  <c r="H309" i="2"/>
  <c r="G309" i="2"/>
  <c r="F309" i="2"/>
  <c r="H308" i="2"/>
  <c r="G308" i="2"/>
  <c r="F308" i="2"/>
  <c r="H307" i="2"/>
  <c r="G307" i="2"/>
  <c r="F307" i="2"/>
  <c r="H306" i="2"/>
  <c r="G306" i="2"/>
  <c r="F306" i="2"/>
  <c r="H305" i="2"/>
  <c r="G305" i="2"/>
  <c r="F305" i="2"/>
  <c r="H304" i="2"/>
  <c r="G304" i="2"/>
  <c r="F304" i="2"/>
  <c r="H303" i="2"/>
  <c r="G303" i="2"/>
  <c r="F303" i="2"/>
  <c r="H302" i="2"/>
  <c r="G302" i="2"/>
  <c r="F302" i="2"/>
  <c r="H301" i="2"/>
  <c r="G301" i="2"/>
  <c r="F301" i="2"/>
  <c r="H300" i="2"/>
  <c r="G300" i="2"/>
  <c r="F300" i="2"/>
  <c r="H299" i="2"/>
  <c r="G299" i="2"/>
  <c r="F299" i="2"/>
  <c r="H298" i="2"/>
  <c r="G298" i="2"/>
  <c r="F298" i="2"/>
  <c r="H297" i="2"/>
  <c r="G297" i="2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L4" i="1"/>
  <c r="L1" i="1" s="1"/>
  <c r="L4" i="2" l="1"/>
  <c r="R11" i="2" s="1"/>
  <c r="S11" i="2" s="1"/>
  <c r="R51" i="1"/>
  <c r="R482" i="1"/>
  <c r="R243" i="1"/>
  <c r="R368" i="1"/>
  <c r="R288" i="1"/>
  <c r="R376" i="1"/>
  <c r="R104" i="1"/>
  <c r="R72" i="1"/>
  <c r="H498" i="1"/>
  <c r="G498" i="1"/>
  <c r="F498" i="1"/>
  <c r="H497" i="1"/>
  <c r="G497" i="1"/>
  <c r="F497" i="1"/>
  <c r="R497" i="1" s="1"/>
  <c r="H496" i="1"/>
  <c r="G496" i="1"/>
  <c r="F496" i="1"/>
  <c r="R496" i="1" s="1"/>
  <c r="H495" i="1"/>
  <c r="G495" i="1"/>
  <c r="F495" i="1"/>
  <c r="H494" i="1"/>
  <c r="G494" i="1"/>
  <c r="F494" i="1"/>
  <c r="H493" i="1"/>
  <c r="G493" i="1"/>
  <c r="F493" i="1"/>
  <c r="H492" i="1"/>
  <c r="G492" i="1"/>
  <c r="F492" i="1"/>
  <c r="H491" i="1"/>
  <c r="G491" i="1"/>
  <c r="F491" i="1"/>
  <c r="H490" i="1"/>
  <c r="G490" i="1"/>
  <c r="F490" i="1"/>
  <c r="R490" i="1" s="1"/>
  <c r="H489" i="1"/>
  <c r="G489" i="1"/>
  <c r="F489" i="1"/>
  <c r="H488" i="1"/>
  <c r="G488" i="1"/>
  <c r="F488" i="1"/>
  <c r="H487" i="1"/>
  <c r="G487" i="1"/>
  <c r="F487" i="1"/>
  <c r="H486" i="1"/>
  <c r="G486" i="1"/>
  <c r="F486" i="1"/>
  <c r="H485" i="1"/>
  <c r="G485" i="1"/>
  <c r="F485" i="1"/>
  <c r="R485" i="1" s="1"/>
  <c r="H484" i="1"/>
  <c r="G484" i="1"/>
  <c r="F484" i="1"/>
  <c r="R484" i="1" s="1"/>
  <c r="H483" i="1"/>
  <c r="G483" i="1"/>
  <c r="F483" i="1"/>
  <c r="R483" i="1" s="1"/>
  <c r="H482" i="1"/>
  <c r="G482" i="1"/>
  <c r="F482" i="1"/>
  <c r="H481" i="1"/>
  <c r="G481" i="1"/>
  <c r="F481" i="1"/>
  <c r="H480" i="1"/>
  <c r="G480" i="1"/>
  <c r="F480" i="1"/>
  <c r="R480" i="1" s="1"/>
  <c r="H479" i="1"/>
  <c r="G479" i="1"/>
  <c r="F479" i="1"/>
  <c r="H478" i="1"/>
  <c r="G478" i="1"/>
  <c r="F478" i="1"/>
  <c r="R478" i="1" s="1"/>
  <c r="H477" i="1"/>
  <c r="G477" i="1"/>
  <c r="F477" i="1"/>
  <c r="R477" i="1" s="1"/>
  <c r="H476" i="1"/>
  <c r="G476" i="1"/>
  <c r="F476" i="1"/>
  <c r="H475" i="1"/>
  <c r="G475" i="1"/>
  <c r="F475" i="1"/>
  <c r="H474" i="1"/>
  <c r="G474" i="1"/>
  <c r="F474" i="1"/>
  <c r="R474" i="1" s="1"/>
  <c r="H473" i="1"/>
  <c r="G473" i="1"/>
  <c r="F473" i="1"/>
  <c r="H472" i="1"/>
  <c r="G472" i="1"/>
  <c r="F472" i="1"/>
  <c r="R472" i="1" s="1"/>
  <c r="H471" i="1"/>
  <c r="G471" i="1"/>
  <c r="F471" i="1"/>
  <c r="H470" i="1"/>
  <c r="G470" i="1"/>
  <c r="F470" i="1"/>
  <c r="H469" i="1"/>
  <c r="G469" i="1"/>
  <c r="F469" i="1"/>
  <c r="R469" i="1" s="1"/>
  <c r="H468" i="1"/>
  <c r="G468" i="1"/>
  <c r="F468" i="1"/>
  <c r="R468" i="1" s="1"/>
  <c r="H467" i="1"/>
  <c r="G467" i="1"/>
  <c r="F467" i="1"/>
  <c r="R467" i="1" s="1"/>
  <c r="H466" i="1"/>
  <c r="G466" i="1"/>
  <c r="F466" i="1"/>
  <c r="H465" i="1"/>
  <c r="G465" i="1"/>
  <c r="F465" i="1"/>
  <c r="H464" i="1"/>
  <c r="G464" i="1"/>
  <c r="F464" i="1"/>
  <c r="H463" i="1"/>
  <c r="G463" i="1"/>
  <c r="R463" i="1" s="1"/>
  <c r="F463" i="1"/>
  <c r="H462" i="1"/>
  <c r="G462" i="1"/>
  <c r="F462" i="1"/>
  <c r="H461" i="1"/>
  <c r="G461" i="1"/>
  <c r="F461" i="1"/>
  <c r="R461" i="1" s="1"/>
  <c r="H460" i="1"/>
  <c r="G460" i="1"/>
  <c r="F460" i="1"/>
  <c r="R460" i="1" s="1"/>
  <c r="H459" i="1"/>
  <c r="G459" i="1"/>
  <c r="F459" i="1"/>
  <c r="H458" i="1"/>
  <c r="G458" i="1"/>
  <c r="F458" i="1"/>
  <c r="R458" i="1" s="1"/>
  <c r="H457" i="1"/>
  <c r="G457" i="1"/>
  <c r="F457" i="1"/>
  <c r="H456" i="1"/>
  <c r="G456" i="1"/>
  <c r="F456" i="1"/>
  <c r="H455" i="1"/>
  <c r="G455" i="1"/>
  <c r="F455" i="1"/>
  <c r="H454" i="1"/>
  <c r="G454" i="1"/>
  <c r="F454" i="1"/>
  <c r="H453" i="1"/>
  <c r="G453" i="1"/>
  <c r="F453" i="1"/>
  <c r="R453" i="1" s="1"/>
  <c r="H452" i="1"/>
  <c r="G452" i="1"/>
  <c r="F452" i="1"/>
  <c r="R452" i="1" s="1"/>
  <c r="H451" i="1"/>
  <c r="G451" i="1"/>
  <c r="F451" i="1"/>
  <c r="R451" i="1" s="1"/>
  <c r="H450" i="1"/>
  <c r="G450" i="1"/>
  <c r="F450" i="1"/>
  <c r="R450" i="1" s="1"/>
  <c r="H449" i="1"/>
  <c r="G449" i="1"/>
  <c r="F449" i="1"/>
  <c r="H448" i="1"/>
  <c r="G448" i="1"/>
  <c r="F448" i="1"/>
  <c r="H447" i="1"/>
  <c r="G447" i="1"/>
  <c r="R447" i="1" s="1"/>
  <c r="F447" i="1"/>
  <c r="H446" i="1"/>
  <c r="G446" i="1"/>
  <c r="F446" i="1"/>
  <c r="H445" i="1"/>
  <c r="G445" i="1"/>
  <c r="F445" i="1"/>
  <c r="H444" i="1"/>
  <c r="G444" i="1"/>
  <c r="F444" i="1"/>
  <c r="H443" i="1"/>
  <c r="G443" i="1"/>
  <c r="F443" i="1"/>
  <c r="H442" i="1"/>
  <c r="G442" i="1"/>
  <c r="F442" i="1"/>
  <c r="R442" i="1" s="1"/>
  <c r="H441" i="1"/>
  <c r="G441" i="1"/>
  <c r="F441" i="1"/>
  <c r="H440" i="1"/>
  <c r="G440" i="1"/>
  <c r="F440" i="1"/>
  <c r="R440" i="1" s="1"/>
  <c r="H439" i="1"/>
  <c r="G439" i="1"/>
  <c r="F439" i="1"/>
  <c r="H438" i="1"/>
  <c r="G438" i="1"/>
  <c r="F438" i="1"/>
  <c r="H437" i="1"/>
  <c r="G437" i="1"/>
  <c r="F437" i="1"/>
  <c r="H436" i="1"/>
  <c r="G436" i="1"/>
  <c r="F436" i="1"/>
  <c r="R436" i="1" s="1"/>
  <c r="H435" i="1"/>
  <c r="G435" i="1"/>
  <c r="F435" i="1"/>
  <c r="R435" i="1" s="1"/>
  <c r="H434" i="1"/>
  <c r="G434" i="1"/>
  <c r="F434" i="1"/>
  <c r="R434" i="1" s="1"/>
  <c r="H433" i="1"/>
  <c r="G433" i="1"/>
  <c r="F433" i="1"/>
  <c r="H432" i="1"/>
  <c r="G432" i="1"/>
  <c r="F432" i="1"/>
  <c r="H431" i="1"/>
  <c r="G431" i="1"/>
  <c r="F431" i="1"/>
  <c r="H430" i="1"/>
  <c r="G430" i="1"/>
  <c r="F430" i="1"/>
  <c r="H429" i="1"/>
  <c r="G429" i="1"/>
  <c r="F429" i="1"/>
  <c r="H428" i="1"/>
  <c r="G428" i="1"/>
  <c r="F428" i="1"/>
  <c r="H427" i="1"/>
  <c r="G427" i="1"/>
  <c r="F427" i="1"/>
  <c r="H426" i="1"/>
  <c r="G426" i="1"/>
  <c r="F426" i="1"/>
  <c r="R426" i="1" s="1"/>
  <c r="H425" i="1"/>
  <c r="G425" i="1"/>
  <c r="F425" i="1"/>
  <c r="H424" i="1"/>
  <c r="G424" i="1"/>
  <c r="F424" i="1"/>
  <c r="R424" i="1" s="1"/>
  <c r="H423" i="1"/>
  <c r="G423" i="1"/>
  <c r="F423" i="1"/>
  <c r="H422" i="1"/>
  <c r="G422" i="1"/>
  <c r="F422" i="1"/>
  <c r="H421" i="1"/>
  <c r="G421" i="1"/>
  <c r="F421" i="1"/>
  <c r="R421" i="1" s="1"/>
  <c r="H420" i="1"/>
  <c r="G420" i="1"/>
  <c r="F420" i="1"/>
  <c r="R420" i="1" s="1"/>
  <c r="H419" i="1"/>
  <c r="G419" i="1"/>
  <c r="F419" i="1"/>
  <c r="R419" i="1" s="1"/>
  <c r="H418" i="1"/>
  <c r="G418" i="1"/>
  <c r="F418" i="1"/>
  <c r="R418" i="1" s="1"/>
  <c r="H417" i="1"/>
  <c r="G417" i="1"/>
  <c r="F417" i="1"/>
  <c r="H416" i="1"/>
  <c r="G416" i="1"/>
  <c r="F416" i="1"/>
  <c r="R416" i="1" s="1"/>
  <c r="H415" i="1"/>
  <c r="G415" i="1"/>
  <c r="F415" i="1"/>
  <c r="H414" i="1"/>
  <c r="G414" i="1"/>
  <c r="F414" i="1"/>
  <c r="R414" i="1" s="1"/>
  <c r="H413" i="1"/>
  <c r="G413" i="1"/>
  <c r="F413" i="1"/>
  <c r="H412" i="1"/>
  <c r="G412" i="1"/>
  <c r="F412" i="1"/>
  <c r="H411" i="1"/>
  <c r="G411" i="1"/>
  <c r="F411" i="1"/>
  <c r="H410" i="1"/>
  <c r="G410" i="1"/>
  <c r="F410" i="1"/>
  <c r="R410" i="1" s="1"/>
  <c r="H409" i="1"/>
  <c r="G409" i="1"/>
  <c r="R409" i="1" s="1"/>
  <c r="F409" i="1"/>
  <c r="H408" i="1"/>
  <c r="G408" i="1"/>
  <c r="F408" i="1"/>
  <c r="R408" i="1" s="1"/>
  <c r="H407" i="1"/>
  <c r="G407" i="1"/>
  <c r="F407" i="1"/>
  <c r="H406" i="1"/>
  <c r="G406" i="1"/>
  <c r="F406" i="1"/>
  <c r="H405" i="1"/>
  <c r="G405" i="1"/>
  <c r="F405" i="1"/>
  <c r="R405" i="1" s="1"/>
  <c r="H404" i="1"/>
  <c r="G404" i="1"/>
  <c r="F404" i="1"/>
  <c r="R404" i="1" s="1"/>
  <c r="H403" i="1"/>
  <c r="G403" i="1"/>
  <c r="F403" i="1"/>
  <c r="R403" i="1" s="1"/>
  <c r="H402" i="1"/>
  <c r="G402" i="1"/>
  <c r="F402" i="1"/>
  <c r="R402" i="1" s="1"/>
  <c r="H401" i="1"/>
  <c r="G401" i="1"/>
  <c r="F401" i="1"/>
  <c r="H400" i="1"/>
  <c r="G400" i="1"/>
  <c r="F400" i="1"/>
  <c r="H399" i="1"/>
  <c r="G399" i="1"/>
  <c r="F399" i="1"/>
  <c r="R399" i="1" s="1"/>
  <c r="H398" i="1"/>
  <c r="G398" i="1"/>
  <c r="F398" i="1"/>
  <c r="R398" i="1" s="1"/>
  <c r="H397" i="1"/>
  <c r="G397" i="1"/>
  <c r="F397" i="1"/>
  <c r="R397" i="1" s="1"/>
  <c r="H396" i="1"/>
  <c r="G396" i="1"/>
  <c r="F396" i="1"/>
  <c r="H395" i="1"/>
  <c r="G395" i="1"/>
  <c r="F395" i="1"/>
  <c r="H394" i="1"/>
  <c r="G394" i="1"/>
  <c r="F394" i="1"/>
  <c r="R394" i="1" s="1"/>
  <c r="H393" i="1"/>
  <c r="G393" i="1"/>
  <c r="F393" i="1"/>
  <c r="H392" i="1"/>
  <c r="G392" i="1"/>
  <c r="F392" i="1"/>
  <c r="R392" i="1" s="1"/>
  <c r="H391" i="1"/>
  <c r="G391" i="1"/>
  <c r="F391" i="1"/>
  <c r="H390" i="1"/>
  <c r="G390" i="1"/>
  <c r="F390" i="1"/>
  <c r="H389" i="1"/>
  <c r="G389" i="1"/>
  <c r="F389" i="1"/>
  <c r="R389" i="1" s="1"/>
  <c r="H388" i="1"/>
  <c r="G388" i="1"/>
  <c r="F388" i="1"/>
  <c r="R388" i="1" s="1"/>
  <c r="H387" i="1"/>
  <c r="G387" i="1"/>
  <c r="F387" i="1"/>
  <c r="R387" i="1" s="1"/>
  <c r="H386" i="1"/>
  <c r="G386" i="1"/>
  <c r="F386" i="1"/>
  <c r="H385" i="1"/>
  <c r="G385" i="1"/>
  <c r="F385" i="1"/>
  <c r="H384" i="1"/>
  <c r="G384" i="1"/>
  <c r="F384" i="1"/>
  <c r="H383" i="1"/>
  <c r="G383" i="1"/>
  <c r="F383" i="1"/>
  <c r="H382" i="1"/>
  <c r="G382" i="1"/>
  <c r="F382" i="1"/>
  <c r="H381" i="1"/>
  <c r="G381" i="1"/>
  <c r="F381" i="1"/>
  <c r="R381" i="1" s="1"/>
  <c r="H380" i="1"/>
  <c r="G380" i="1"/>
  <c r="F380" i="1"/>
  <c r="H379" i="1"/>
  <c r="G379" i="1"/>
  <c r="F379" i="1"/>
  <c r="H378" i="1"/>
  <c r="G378" i="1"/>
  <c r="F378" i="1"/>
  <c r="R378" i="1" s="1"/>
  <c r="H377" i="1"/>
  <c r="G377" i="1"/>
  <c r="R377" i="1" s="1"/>
  <c r="F377" i="1"/>
  <c r="H376" i="1"/>
  <c r="G376" i="1"/>
  <c r="F376" i="1"/>
  <c r="H375" i="1"/>
  <c r="G375" i="1"/>
  <c r="F375" i="1"/>
  <c r="H374" i="1"/>
  <c r="G374" i="1"/>
  <c r="F374" i="1"/>
  <c r="H373" i="1"/>
  <c r="G373" i="1"/>
  <c r="F373" i="1"/>
  <c r="R373" i="1" s="1"/>
  <c r="H372" i="1"/>
  <c r="G372" i="1"/>
  <c r="F372" i="1"/>
  <c r="R372" i="1" s="1"/>
  <c r="H371" i="1"/>
  <c r="G371" i="1"/>
  <c r="F371" i="1"/>
  <c r="R371" i="1" s="1"/>
  <c r="H370" i="1"/>
  <c r="G370" i="1"/>
  <c r="F370" i="1"/>
  <c r="R370" i="1" s="1"/>
  <c r="H369" i="1"/>
  <c r="G369" i="1"/>
  <c r="F369" i="1"/>
  <c r="H368" i="1"/>
  <c r="G368" i="1"/>
  <c r="F368" i="1"/>
  <c r="H367" i="1"/>
  <c r="G367" i="1"/>
  <c r="F367" i="1"/>
  <c r="H366" i="1"/>
  <c r="G366" i="1"/>
  <c r="F366" i="1"/>
  <c r="H365" i="1"/>
  <c r="G365" i="1"/>
  <c r="F365" i="1"/>
  <c r="R365" i="1" s="1"/>
  <c r="H364" i="1"/>
  <c r="G364" i="1"/>
  <c r="F364" i="1"/>
  <c r="H363" i="1"/>
  <c r="G363" i="1"/>
  <c r="F363" i="1"/>
  <c r="H362" i="1"/>
  <c r="G362" i="1"/>
  <c r="F362" i="1"/>
  <c r="R362" i="1" s="1"/>
  <c r="H361" i="1"/>
  <c r="G361" i="1"/>
  <c r="F361" i="1"/>
  <c r="H360" i="1"/>
  <c r="G360" i="1"/>
  <c r="F360" i="1"/>
  <c r="H359" i="1"/>
  <c r="G359" i="1"/>
  <c r="F359" i="1"/>
  <c r="H358" i="1"/>
  <c r="G358" i="1"/>
  <c r="F358" i="1"/>
  <c r="H357" i="1"/>
  <c r="G357" i="1"/>
  <c r="F357" i="1"/>
  <c r="R357" i="1" s="1"/>
  <c r="H356" i="1"/>
  <c r="G356" i="1"/>
  <c r="F356" i="1"/>
  <c r="R356" i="1" s="1"/>
  <c r="H355" i="1"/>
  <c r="G355" i="1"/>
  <c r="F355" i="1"/>
  <c r="H354" i="1"/>
  <c r="G354" i="1"/>
  <c r="F354" i="1"/>
  <c r="R354" i="1" s="1"/>
  <c r="H353" i="1"/>
  <c r="G353" i="1"/>
  <c r="F353" i="1"/>
  <c r="H352" i="1"/>
  <c r="G352" i="1"/>
  <c r="F352" i="1"/>
  <c r="R352" i="1" s="1"/>
  <c r="H351" i="1"/>
  <c r="G351" i="1"/>
  <c r="F351" i="1"/>
  <c r="H350" i="1"/>
  <c r="G350" i="1"/>
  <c r="F350" i="1"/>
  <c r="H349" i="1"/>
  <c r="G349" i="1"/>
  <c r="F349" i="1"/>
  <c r="R349" i="1" s="1"/>
  <c r="H348" i="1"/>
  <c r="G348" i="1"/>
  <c r="F348" i="1"/>
  <c r="R348" i="1" s="1"/>
  <c r="H347" i="1"/>
  <c r="G347" i="1"/>
  <c r="F347" i="1"/>
  <c r="H346" i="1"/>
  <c r="G346" i="1"/>
  <c r="F346" i="1"/>
  <c r="R346" i="1" s="1"/>
  <c r="H345" i="1"/>
  <c r="G345" i="1"/>
  <c r="R345" i="1" s="1"/>
  <c r="F345" i="1"/>
  <c r="H344" i="1"/>
  <c r="G344" i="1"/>
  <c r="F344" i="1"/>
  <c r="H343" i="1"/>
  <c r="G343" i="1"/>
  <c r="F343" i="1"/>
  <c r="R343" i="1" s="1"/>
  <c r="H342" i="1"/>
  <c r="G342" i="1"/>
  <c r="F342" i="1"/>
  <c r="H341" i="1"/>
  <c r="G341" i="1"/>
  <c r="F341" i="1"/>
  <c r="H340" i="1"/>
  <c r="G340" i="1"/>
  <c r="F340" i="1"/>
  <c r="R340" i="1" s="1"/>
  <c r="H339" i="1"/>
  <c r="G339" i="1"/>
  <c r="F339" i="1"/>
  <c r="H338" i="1"/>
  <c r="G338" i="1"/>
  <c r="F338" i="1"/>
  <c r="R338" i="1" s="1"/>
  <c r="H337" i="1"/>
  <c r="G337" i="1"/>
  <c r="F337" i="1"/>
  <c r="H336" i="1"/>
  <c r="G336" i="1"/>
  <c r="F336" i="1"/>
  <c r="H335" i="1"/>
  <c r="G335" i="1"/>
  <c r="F335" i="1"/>
  <c r="H334" i="1"/>
  <c r="R334" i="1" s="1"/>
  <c r="G334" i="1"/>
  <c r="F334" i="1"/>
  <c r="H333" i="1"/>
  <c r="G333" i="1"/>
  <c r="F333" i="1"/>
  <c r="H332" i="1"/>
  <c r="G332" i="1"/>
  <c r="F332" i="1"/>
  <c r="R332" i="1" s="1"/>
  <c r="H331" i="1"/>
  <c r="G331" i="1"/>
  <c r="F331" i="1"/>
  <c r="H330" i="1"/>
  <c r="G330" i="1"/>
  <c r="F330" i="1"/>
  <c r="R330" i="1" s="1"/>
  <c r="H329" i="1"/>
  <c r="G329" i="1"/>
  <c r="F329" i="1"/>
  <c r="H328" i="1"/>
  <c r="G328" i="1"/>
  <c r="F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R324" i="1" s="1"/>
  <c r="H323" i="1"/>
  <c r="G323" i="1"/>
  <c r="F323" i="1"/>
  <c r="R323" i="1" s="1"/>
  <c r="H322" i="1"/>
  <c r="G322" i="1"/>
  <c r="F322" i="1"/>
  <c r="R322" i="1" s="1"/>
  <c r="H321" i="1"/>
  <c r="G321" i="1"/>
  <c r="F321" i="1"/>
  <c r="H320" i="1"/>
  <c r="G320" i="1"/>
  <c r="F320" i="1"/>
  <c r="H319" i="1"/>
  <c r="G319" i="1"/>
  <c r="F319" i="1"/>
  <c r="H318" i="1"/>
  <c r="R318" i="1" s="1"/>
  <c r="G318" i="1"/>
  <c r="F318" i="1"/>
  <c r="H317" i="1"/>
  <c r="G317" i="1"/>
  <c r="F317" i="1"/>
  <c r="R317" i="1" s="1"/>
  <c r="H316" i="1"/>
  <c r="G316" i="1"/>
  <c r="F316" i="1"/>
  <c r="H315" i="1"/>
  <c r="G315" i="1"/>
  <c r="F315" i="1"/>
  <c r="H314" i="1"/>
  <c r="G314" i="1"/>
  <c r="F314" i="1"/>
  <c r="R314" i="1" s="1"/>
  <c r="H313" i="1"/>
  <c r="G313" i="1"/>
  <c r="R313" i="1" s="1"/>
  <c r="F313" i="1"/>
  <c r="H312" i="1"/>
  <c r="G312" i="1"/>
  <c r="F312" i="1"/>
  <c r="H311" i="1"/>
  <c r="G311" i="1"/>
  <c r="F311" i="1"/>
  <c r="H310" i="1"/>
  <c r="G310" i="1"/>
  <c r="F310" i="1"/>
  <c r="H309" i="1"/>
  <c r="G309" i="1"/>
  <c r="F309" i="1"/>
  <c r="R309" i="1" s="1"/>
  <c r="H308" i="1"/>
  <c r="G308" i="1"/>
  <c r="F308" i="1"/>
  <c r="R308" i="1" s="1"/>
  <c r="H307" i="1"/>
  <c r="G307" i="1"/>
  <c r="F307" i="1"/>
  <c r="R307" i="1" s="1"/>
  <c r="H306" i="1"/>
  <c r="G306" i="1"/>
  <c r="F306" i="1"/>
  <c r="R306" i="1" s="1"/>
  <c r="H305" i="1"/>
  <c r="G305" i="1"/>
  <c r="F305" i="1"/>
  <c r="H304" i="1"/>
  <c r="G304" i="1"/>
  <c r="F304" i="1"/>
  <c r="H303" i="1"/>
  <c r="G303" i="1"/>
  <c r="F303" i="1"/>
  <c r="H302" i="1"/>
  <c r="G302" i="1"/>
  <c r="F302" i="1"/>
  <c r="H301" i="1"/>
  <c r="G301" i="1"/>
  <c r="F301" i="1"/>
  <c r="R301" i="1" s="1"/>
  <c r="H300" i="1"/>
  <c r="G300" i="1"/>
  <c r="F300" i="1"/>
  <c r="H299" i="1"/>
  <c r="G299" i="1"/>
  <c r="F299" i="1"/>
  <c r="H298" i="1"/>
  <c r="G298" i="1"/>
  <c r="F298" i="1"/>
  <c r="R298" i="1" s="1"/>
  <c r="H297" i="1"/>
  <c r="G297" i="1"/>
  <c r="F297" i="1"/>
  <c r="H296" i="1"/>
  <c r="G296" i="1"/>
  <c r="F296" i="1"/>
  <c r="H295" i="1"/>
  <c r="G295" i="1"/>
  <c r="F295" i="1"/>
  <c r="R295" i="1" s="1"/>
  <c r="H294" i="1"/>
  <c r="G294" i="1"/>
  <c r="F294" i="1"/>
  <c r="H293" i="1"/>
  <c r="G293" i="1"/>
  <c r="F293" i="1"/>
  <c r="R293" i="1" s="1"/>
  <c r="H292" i="1"/>
  <c r="G292" i="1"/>
  <c r="F292" i="1"/>
  <c r="R292" i="1" s="1"/>
  <c r="H291" i="1"/>
  <c r="G291" i="1"/>
  <c r="F291" i="1"/>
  <c r="R291" i="1" s="1"/>
  <c r="H290" i="1"/>
  <c r="G290" i="1"/>
  <c r="F290" i="1"/>
  <c r="R290" i="1" s="1"/>
  <c r="H289" i="1"/>
  <c r="G289" i="1"/>
  <c r="F289" i="1"/>
  <c r="H288" i="1"/>
  <c r="G288" i="1"/>
  <c r="F288" i="1"/>
  <c r="H287" i="1"/>
  <c r="G287" i="1"/>
  <c r="F287" i="1"/>
  <c r="H286" i="1"/>
  <c r="G286" i="1"/>
  <c r="F286" i="1"/>
  <c r="H285" i="1"/>
  <c r="G285" i="1"/>
  <c r="F285" i="1"/>
  <c r="R285" i="1" s="1"/>
  <c r="H284" i="1"/>
  <c r="G284" i="1"/>
  <c r="F284" i="1"/>
  <c r="H283" i="1"/>
  <c r="G283" i="1"/>
  <c r="F283" i="1"/>
  <c r="R283" i="1" s="1"/>
  <c r="H282" i="1"/>
  <c r="G282" i="1"/>
  <c r="F282" i="1"/>
  <c r="R282" i="1" s="1"/>
  <c r="H281" i="1"/>
  <c r="G281" i="1"/>
  <c r="F281" i="1"/>
  <c r="H280" i="1"/>
  <c r="G280" i="1"/>
  <c r="F280" i="1"/>
  <c r="H279" i="1"/>
  <c r="G279" i="1"/>
  <c r="F279" i="1"/>
  <c r="R279" i="1" s="1"/>
  <c r="H278" i="1"/>
  <c r="G278" i="1"/>
  <c r="F278" i="1"/>
  <c r="H277" i="1"/>
  <c r="G277" i="1"/>
  <c r="F277" i="1"/>
  <c r="R277" i="1" s="1"/>
  <c r="H276" i="1"/>
  <c r="G276" i="1"/>
  <c r="F276" i="1"/>
  <c r="R276" i="1" s="1"/>
  <c r="H275" i="1"/>
  <c r="G275" i="1"/>
  <c r="F275" i="1"/>
  <c r="R275" i="1" s="1"/>
  <c r="H274" i="1"/>
  <c r="G274" i="1"/>
  <c r="F274" i="1"/>
  <c r="R274" i="1" s="1"/>
  <c r="H273" i="1"/>
  <c r="G273" i="1"/>
  <c r="F273" i="1"/>
  <c r="H272" i="1"/>
  <c r="G272" i="1"/>
  <c r="F272" i="1"/>
  <c r="R272" i="1" s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R267" i="1" s="1"/>
  <c r="H266" i="1"/>
  <c r="G266" i="1"/>
  <c r="F266" i="1"/>
  <c r="R266" i="1" s="1"/>
  <c r="H265" i="1"/>
  <c r="G265" i="1"/>
  <c r="F265" i="1"/>
  <c r="H264" i="1"/>
  <c r="G264" i="1"/>
  <c r="F264" i="1"/>
  <c r="H263" i="1"/>
  <c r="G263" i="1"/>
  <c r="F263" i="1"/>
  <c r="R263" i="1" s="1"/>
  <c r="H262" i="1"/>
  <c r="G262" i="1"/>
  <c r="F262" i="1"/>
  <c r="H261" i="1"/>
  <c r="G261" i="1"/>
  <c r="F261" i="1"/>
  <c r="R261" i="1" s="1"/>
  <c r="H260" i="1"/>
  <c r="G260" i="1"/>
  <c r="F260" i="1"/>
  <c r="R260" i="1" s="1"/>
  <c r="H259" i="1"/>
  <c r="G259" i="1"/>
  <c r="F259" i="1"/>
  <c r="R259" i="1" s="1"/>
  <c r="H258" i="1"/>
  <c r="G258" i="1"/>
  <c r="F258" i="1"/>
  <c r="R258" i="1" s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R253" i="1" s="1"/>
  <c r="H252" i="1"/>
  <c r="G252" i="1"/>
  <c r="F252" i="1"/>
  <c r="H251" i="1"/>
  <c r="G251" i="1"/>
  <c r="F251" i="1"/>
  <c r="H250" i="1"/>
  <c r="G250" i="1"/>
  <c r="F250" i="1"/>
  <c r="R250" i="1" s="1"/>
  <c r="H249" i="1"/>
  <c r="G249" i="1"/>
  <c r="F249" i="1"/>
  <c r="H248" i="1"/>
  <c r="G248" i="1"/>
  <c r="F248" i="1"/>
  <c r="H247" i="1"/>
  <c r="G247" i="1"/>
  <c r="F247" i="1"/>
  <c r="R247" i="1" s="1"/>
  <c r="H246" i="1"/>
  <c r="G246" i="1"/>
  <c r="F246" i="1"/>
  <c r="R246" i="1" s="1"/>
  <c r="H245" i="1"/>
  <c r="G245" i="1"/>
  <c r="F245" i="1"/>
  <c r="R245" i="1" s="1"/>
  <c r="H244" i="1"/>
  <c r="G244" i="1"/>
  <c r="F244" i="1"/>
  <c r="R244" i="1" s="1"/>
  <c r="H243" i="1"/>
  <c r="G243" i="1"/>
  <c r="F243" i="1"/>
  <c r="H242" i="1"/>
  <c r="G242" i="1"/>
  <c r="F242" i="1"/>
  <c r="R242" i="1" s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R237" i="1" s="1"/>
  <c r="H236" i="1"/>
  <c r="G236" i="1"/>
  <c r="F236" i="1"/>
  <c r="R236" i="1" s="1"/>
  <c r="H235" i="1"/>
  <c r="G235" i="1"/>
  <c r="F235" i="1"/>
  <c r="H234" i="1"/>
  <c r="G234" i="1"/>
  <c r="F234" i="1"/>
  <c r="R234" i="1" s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R229" i="1" s="1"/>
  <c r="H228" i="1"/>
  <c r="G228" i="1"/>
  <c r="F228" i="1"/>
  <c r="R228" i="1" s="1"/>
  <c r="H227" i="1"/>
  <c r="G227" i="1"/>
  <c r="F227" i="1"/>
  <c r="R227" i="1" s="1"/>
  <c r="H226" i="1"/>
  <c r="G226" i="1"/>
  <c r="F226" i="1"/>
  <c r="H225" i="1"/>
  <c r="G225" i="1"/>
  <c r="F225" i="1"/>
  <c r="R225" i="1" s="1"/>
  <c r="H224" i="1"/>
  <c r="G224" i="1"/>
  <c r="F224" i="1"/>
  <c r="H223" i="1"/>
  <c r="G223" i="1"/>
  <c r="F223" i="1"/>
  <c r="H222" i="1"/>
  <c r="G222" i="1"/>
  <c r="F222" i="1"/>
  <c r="H221" i="1"/>
  <c r="G221" i="1"/>
  <c r="F221" i="1"/>
  <c r="R221" i="1" s="1"/>
  <c r="H220" i="1"/>
  <c r="G220" i="1"/>
  <c r="F220" i="1"/>
  <c r="H219" i="1"/>
  <c r="G219" i="1"/>
  <c r="F219" i="1"/>
  <c r="H218" i="1"/>
  <c r="G218" i="1"/>
  <c r="F218" i="1"/>
  <c r="R218" i="1" s="1"/>
  <c r="H217" i="1"/>
  <c r="G217" i="1"/>
  <c r="F217" i="1"/>
  <c r="H216" i="1"/>
  <c r="G216" i="1"/>
  <c r="F216" i="1"/>
  <c r="H215" i="1"/>
  <c r="G215" i="1"/>
  <c r="F215" i="1"/>
  <c r="H214" i="1"/>
  <c r="G214" i="1"/>
  <c r="F214" i="1"/>
  <c r="R214" i="1" s="1"/>
  <c r="H213" i="1"/>
  <c r="G213" i="1"/>
  <c r="F213" i="1"/>
  <c r="R213" i="1" s="1"/>
  <c r="H212" i="1"/>
  <c r="G212" i="1"/>
  <c r="F212" i="1"/>
  <c r="R212" i="1" s="1"/>
  <c r="H211" i="1"/>
  <c r="G211" i="1"/>
  <c r="F211" i="1"/>
  <c r="H210" i="1"/>
  <c r="G210" i="1"/>
  <c r="F210" i="1"/>
  <c r="R210" i="1" s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R205" i="1" s="1"/>
  <c r="H204" i="1"/>
  <c r="G204" i="1"/>
  <c r="F204" i="1"/>
  <c r="H203" i="1"/>
  <c r="G203" i="1"/>
  <c r="F203" i="1"/>
  <c r="H202" i="1"/>
  <c r="G202" i="1"/>
  <c r="F202" i="1"/>
  <c r="R202" i="1" s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R197" i="1" s="1"/>
  <c r="H196" i="1"/>
  <c r="G196" i="1"/>
  <c r="F196" i="1"/>
  <c r="R196" i="1" s="1"/>
  <c r="H195" i="1"/>
  <c r="G195" i="1"/>
  <c r="F195" i="1"/>
  <c r="R195" i="1" s="1"/>
  <c r="H194" i="1"/>
  <c r="G194" i="1"/>
  <c r="F194" i="1"/>
  <c r="R194" i="1" s="1"/>
  <c r="H193" i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R186" i="1" s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R180" i="1" s="1"/>
  <c r="H179" i="1"/>
  <c r="G179" i="1"/>
  <c r="F179" i="1"/>
  <c r="R179" i="1" s="1"/>
  <c r="H178" i="1"/>
  <c r="G178" i="1"/>
  <c r="F178" i="1"/>
  <c r="R178" i="1" s="1"/>
  <c r="H177" i="1"/>
  <c r="G177" i="1"/>
  <c r="F177" i="1"/>
  <c r="H176" i="1"/>
  <c r="G176" i="1"/>
  <c r="F176" i="1"/>
  <c r="H175" i="1"/>
  <c r="G175" i="1"/>
  <c r="F175" i="1"/>
  <c r="H174" i="1"/>
  <c r="R174" i="1" s="1"/>
  <c r="G174" i="1"/>
  <c r="F174" i="1"/>
  <c r="H173" i="1"/>
  <c r="G173" i="1"/>
  <c r="F173" i="1"/>
  <c r="R173" i="1" s="1"/>
  <c r="H172" i="1"/>
  <c r="G172" i="1"/>
  <c r="F172" i="1"/>
  <c r="H171" i="1"/>
  <c r="G171" i="1"/>
  <c r="F171" i="1"/>
  <c r="H170" i="1"/>
  <c r="G170" i="1"/>
  <c r="F170" i="1"/>
  <c r="R170" i="1" s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R165" i="1" s="1"/>
  <c r="H164" i="1"/>
  <c r="G164" i="1"/>
  <c r="F164" i="1"/>
  <c r="R164" i="1" s="1"/>
  <c r="H163" i="1"/>
  <c r="G163" i="1"/>
  <c r="F163" i="1"/>
  <c r="H162" i="1"/>
  <c r="G162" i="1"/>
  <c r="F162" i="1"/>
  <c r="R162" i="1" s="1"/>
  <c r="H161" i="1"/>
  <c r="G161" i="1"/>
  <c r="F161" i="1"/>
  <c r="R161" i="1" s="1"/>
  <c r="H160" i="1"/>
  <c r="G160" i="1"/>
  <c r="F160" i="1"/>
  <c r="H159" i="1"/>
  <c r="G159" i="1"/>
  <c r="F159" i="1"/>
  <c r="H158" i="1"/>
  <c r="G158" i="1"/>
  <c r="F158" i="1"/>
  <c r="H157" i="1"/>
  <c r="G157" i="1"/>
  <c r="F157" i="1"/>
  <c r="R157" i="1" s="1"/>
  <c r="H156" i="1"/>
  <c r="G156" i="1"/>
  <c r="F156" i="1"/>
  <c r="H155" i="1"/>
  <c r="G155" i="1"/>
  <c r="F155" i="1"/>
  <c r="H154" i="1"/>
  <c r="G154" i="1"/>
  <c r="F154" i="1"/>
  <c r="R154" i="1" s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R148" i="1" s="1"/>
  <c r="H147" i="1"/>
  <c r="G147" i="1"/>
  <c r="F147" i="1"/>
  <c r="R147" i="1" s="1"/>
  <c r="H146" i="1"/>
  <c r="G146" i="1"/>
  <c r="F146" i="1"/>
  <c r="R146" i="1" s="1"/>
  <c r="H145" i="1"/>
  <c r="G145" i="1"/>
  <c r="F145" i="1"/>
  <c r="R145" i="1" s="1"/>
  <c r="H144" i="1"/>
  <c r="G144" i="1"/>
  <c r="F144" i="1"/>
  <c r="H143" i="1"/>
  <c r="G143" i="1"/>
  <c r="F143" i="1"/>
  <c r="H142" i="1"/>
  <c r="G142" i="1"/>
  <c r="F142" i="1"/>
  <c r="H141" i="1"/>
  <c r="G141" i="1"/>
  <c r="F141" i="1"/>
  <c r="R141" i="1" s="1"/>
  <c r="H140" i="1"/>
  <c r="G140" i="1"/>
  <c r="F140" i="1"/>
  <c r="H139" i="1"/>
  <c r="G139" i="1"/>
  <c r="F139" i="1"/>
  <c r="H138" i="1"/>
  <c r="G138" i="1"/>
  <c r="F138" i="1"/>
  <c r="R138" i="1" s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R132" i="1" s="1"/>
  <c r="H131" i="1"/>
  <c r="G131" i="1"/>
  <c r="F131" i="1"/>
  <c r="R131" i="1" s="1"/>
  <c r="H130" i="1"/>
  <c r="G130" i="1"/>
  <c r="F130" i="1"/>
  <c r="R130" i="1" s="1"/>
  <c r="H129" i="1"/>
  <c r="G129" i="1"/>
  <c r="F129" i="1"/>
  <c r="R129" i="1" s="1"/>
  <c r="H128" i="1"/>
  <c r="G128" i="1"/>
  <c r="F128" i="1"/>
  <c r="H127" i="1"/>
  <c r="G127" i="1"/>
  <c r="F127" i="1"/>
  <c r="H126" i="1"/>
  <c r="G126" i="1"/>
  <c r="F126" i="1"/>
  <c r="H125" i="1"/>
  <c r="G125" i="1"/>
  <c r="F125" i="1"/>
  <c r="R125" i="1" s="1"/>
  <c r="H124" i="1"/>
  <c r="G124" i="1"/>
  <c r="F124" i="1"/>
  <c r="H123" i="1"/>
  <c r="G123" i="1"/>
  <c r="F123" i="1"/>
  <c r="H122" i="1"/>
  <c r="G122" i="1"/>
  <c r="F122" i="1"/>
  <c r="R122" i="1" s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R116" i="1" s="1"/>
  <c r="H115" i="1"/>
  <c r="G115" i="1"/>
  <c r="F115" i="1"/>
  <c r="H114" i="1"/>
  <c r="G114" i="1"/>
  <c r="F114" i="1"/>
  <c r="R114" i="1" s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R109" i="1" s="1"/>
  <c r="H108" i="1"/>
  <c r="G108" i="1"/>
  <c r="F108" i="1"/>
  <c r="H107" i="1"/>
  <c r="G107" i="1"/>
  <c r="F107" i="1"/>
  <c r="R107" i="1" s="1"/>
  <c r="H106" i="1"/>
  <c r="G106" i="1"/>
  <c r="F106" i="1"/>
  <c r="R106" i="1" s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R101" i="1" s="1"/>
  <c r="H100" i="1"/>
  <c r="G100" i="1"/>
  <c r="F100" i="1"/>
  <c r="R100" i="1" s="1"/>
  <c r="H99" i="1"/>
  <c r="G99" i="1"/>
  <c r="F99" i="1"/>
  <c r="H98" i="1"/>
  <c r="G98" i="1"/>
  <c r="F98" i="1"/>
  <c r="R98" i="1" s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R91" i="1" s="1"/>
  <c r="H90" i="1"/>
  <c r="G90" i="1"/>
  <c r="F90" i="1"/>
  <c r="R90" i="1" s="1"/>
  <c r="H89" i="1"/>
  <c r="G89" i="1"/>
  <c r="F89" i="1"/>
  <c r="H88" i="1"/>
  <c r="G88" i="1"/>
  <c r="F88" i="1"/>
  <c r="R88" i="1" s="1"/>
  <c r="H87" i="1"/>
  <c r="G87" i="1"/>
  <c r="F87" i="1"/>
  <c r="H86" i="1"/>
  <c r="G86" i="1"/>
  <c r="F86" i="1"/>
  <c r="H85" i="1"/>
  <c r="G85" i="1"/>
  <c r="F85" i="1"/>
  <c r="R85" i="1" s="1"/>
  <c r="H84" i="1"/>
  <c r="G84" i="1"/>
  <c r="F84" i="1"/>
  <c r="R84" i="1" s="1"/>
  <c r="H83" i="1"/>
  <c r="G83" i="1"/>
  <c r="F83" i="1"/>
  <c r="R83" i="1" s="1"/>
  <c r="H82" i="1"/>
  <c r="G82" i="1"/>
  <c r="F82" i="1"/>
  <c r="R82" i="1" s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R77" i="1" s="1"/>
  <c r="H76" i="1"/>
  <c r="G76" i="1"/>
  <c r="F76" i="1"/>
  <c r="R76" i="1" s="1"/>
  <c r="H75" i="1"/>
  <c r="G75" i="1"/>
  <c r="F75" i="1"/>
  <c r="R75" i="1" s="1"/>
  <c r="H74" i="1"/>
  <c r="G74" i="1"/>
  <c r="F74" i="1"/>
  <c r="R74" i="1" s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R69" i="1" s="1"/>
  <c r="H68" i="1"/>
  <c r="G68" i="1"/>
  <c r="F68" i="1"/>
  <c r="R68" i="1" s="1"/>
  <c r="H67" i="1"/>
  <c r="G67" i="1"/>
  <c r="F67" i="1"/>
  <c r="H66" i="1"/>
  <c r="G66" i="1"/>
  <c r="F66" i="1"/>
  <c r="R66" i="1" s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R58" i="1" s="1"/>
  <c r="H57" i="1"/>
  <c r="G57" i="1"/>
  <c r="F57" i="1"/>
  <c r="H56" i="1"/>
  <c r="G56" i="1"/>
  <c r="F56" i="1"/>
  <c r="R56" i="1" s="1"/>
  <c r="H55" i="1"/>
  <c r="G55" i="1"/>
  <c r="F55" i="1"/>
  <c r="H54" i="1"/>
  <c r="G54" i="1"/>
  <c r="F54" i="1"/>
  <c r="H53" i="1"/>
  <c r="G53" i="1"/>
  <c r="F53" i="1"/>
  <c r="H52" i="1"/>
  <c r="G52" i="1"/>
  <c r="F52" i="1"/>
  <c r="R52" i="1" s="1"/>
  <c r="H51" i="1"/>
  <c r="G51" i="1"/>
  <c r="F51" i="1"/>
  <c r="H50" i="1"/>
  <c r="G50" i="1"/>
  <c r="F50" i="1"/>
  <c r="R50" i="1" s="1"/>
  <c r="H49" i="1"/>
  <c r="G49" i="1"/>
  <c r="F49" i="1"/>
  <c r="H48" i="1"/>
  <c r="G48" i="1"/>
  <c r="F48" i="1"/>
  <c r="H47" i="1"/>
  <c r="G47" i="1"/>
  <c r="F47" i="1"/>
  <c r="H46" i="1"/>
  <c r="R46" i="1" s="1"/>
  <c r="G46" i="1"/>
  <c r="F46" i="1"/>
  <c r="H45" i="1"/>
  <c r="G45" i="1"/>
  <c r="F45" i="1"/>
  <c r="R45" i="1" s="1"/>
  <c r="H44" i="1"/>
  <c r="G44" i="1"/>
  <c r="F44" i="1"/>
  <c r="H43" i="1"/>
  <c r="G43" i="1"/>
  <c r="F43" i="1"/>
  <c r="H42" i="1"/>
  <c r="G42" i="1"/>
  <c r="F42" i="1"/>
  <c r="R42" i="1" s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R36" i="1" s="1"/>
  <c r="H35" i="1"/>
  <c r="G35" i="1"/>
  <c r="F35" i="1"/>
  <c r="H34" i="1"/>
  <c r="G34" i="1"/>
  <c r="F34" i="1"/>
  <c r="R34" i="1" s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R26" i="1" s="1"/>
  <c r="H25" i="1"/>
  <c r="G25" i="1"/>
  <c r="R25" i="1" s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R20" i="1" s="1"/>
  <c r="H19" i="1"/>
  <c r="G19" i="1"/>
  <c r="F19" i="1"/>
  <c r="R19" i="1" s="1"/>
  <c r="H18" i="1"/>
  <c r="G18" i="1"/>
  <c r="F18" i="1"/>
  <c r="R18" i="1" s="1"/>
  <c r="H17" i="1"/>
  <c r="G17" i="1"/>
  <c r="F17" i="1"/>
  <c r="H16" i="1"/>
  <c r="G16" i="1"/>
  <c r="F16" i="1"/>
  <c r="H15" i="1"/>
  <c r="G15" i="1"/>
  <c r="F15" i="1"/>
  <c r="H14" i="1"/>
  <c r="R14" i="1" s="1"/>
  <c r="G14" i="1"/>
  <c r="F14" i="1"/>
  <c r="H13" i="1"/>
  <c r="G13" i="1"/>
  <c r="F13" i="1"/>
  <c r="R13" i="1" s="1"/>
  <c r="H12" i="1"/>
  <c r="G12" i="1"/>
  <c r="F12" i="1"/>
  <c r="H11" i="1"/>
  <c r="G11" i="1"/>
  <c r="F11" i="1"/>
  <c r="H10" i="1"/>
  <c r="G10" i="1"/>
  <c r="F10" i="1"/>
  <c r="R10" i="1" s="1"/>
  <c r="H9" i="1"/>
  <c r="G9" i="1"/>
  <c r="F9" i="1"/>
  <c r="H8" i="1"/>
  <c r="G8" i="1"/>
  <c r="F8" i="1"/>
  <c r="H7" i="1"/>
  <c r="G7" i="1"/>
  <c r="F7" i="1"/>
  <c r="R7" i="1" s="1"/>
  <c r="H6" i="1"/>
  <c r="G6" i="1"/>
  <c r="F6" i="1"/>
  <c r="R6" i="1" s="1"/>
  <c r="H5" i="1"/>
  <c r="G5" i="1"/>
  <c r="F5" i="1"/>
  <c r="H4" i="1"/>
  <c r="G4" i="1"/>
  <c r="F4" i="1"/>
  <c r="R4" i="1" s="1"/>
  <c r="H3" i="1"/>
  <c r="G3" i="1"/>
  <c r="F3" i="1"/>
  <c r="R458" i="2" l="1"/>
  <c r="S458" i="2" s="1"/>
  <c r="R454" i="2"/>
  <c r="S454" i="2" s="1"/>
  <c r="R382" i="2"/>
  <c r="S382" i="2" s="1"/>
  <c r="R350" i="2"/>
  <c r="S350" i="2" s="1"/>
  <c r="R369" i="2"/>
  <c r="S369" i="2" s="1"/>
  <c r="R33" i="2"/>
  <c r="S33" i="2" s="1"/>
  <c r="R45" i="2"/>
  <c r="S45" i="2" s="1"/>
  <c r="R10" i="2"/>
  <c r="S10" i="2" s="1"/>
  <c r="R497" i="2"/>
  <c r="S497" i="2" s="1"/>
  <c r="R489" i="2"/>
  <c r="S489" i="2" s="1"/>
  <c r="R381" i="2"/>
  <c r="S381" i="2" s="1"/>
  <c r="R373" i="2"/>
  <c r="S373" i="2" s="1"/>
  <c r="R365" i="2"/>
  <c r="S365" i="2" s="1"/>
  <c r="R444" i="2"/>
  <c r="S444" i="2" s="1"/>
  <c r="R420" i="2"/>
  <c r="S420" i="2" s="1"/>
  <c r="R335" i="2"/>
  <c r="S335" i="2" s="1"/>
  <c r="R282" i="2"/>
  <c r="S282" i="2" s="1"/>
  <c r="R327" i="2"/>
  <c r="S327" i="2" s="1"/>
  <c r="R274" i="2"/>
  <c r="S274" i="2" s="1"/>
  <c r="R491" i="2"/>
  <c r="S491" i="2" s="1"/>
  <c r="R493" i="2"/>
  <c r="S493" i="2" s="1"/>
  <c r="R471" i="2"/>
  <c r="S471" i="2" s="1"/>
  <c r="R377" i="2"/>
  <c r="S377" i="2" s="1"/>
  <c r="R439" i="2"/>
  <c r="S439" i="2" s="1"/>
  <c r="R435" i="2"/>
  <c r="S435" i="2" s="1"/>
  <c r="R357" i="2"/>
  <c r="S357" i="2" s="1"/>
  <c r="R317" i="2"/>
  <c r="S317" i="2" s="1"/>
  <c r="R431" i="2"/>
  <c r="S431" i="2" s="1"/>
  <c r="R245" i="2"/>
  <c r="S245" i="2" s="1"/>
  <c r="R241" i="2"/>
  <c r="S241" i="2" s="1"/>
  <c r="R367" i="2"/>
  <c r="S367" i="2" s="1"/>
  <c r="R490" i="2"/>
  <c r="S490" i="2" s="1"/>
  <c r="R237" i="2"/>
  <c r="S237" i="2" s="1"/>
  <c r="R225" i="2"/>
  <c r="S225" i="2" s="1"/>
  <c r="R359" i="2"/>
  <c r="S359" i="2" s="1"/>
  <c r="R221" i="2"/>
  <c r="S221" i="2" s="1"/>
  <c r="R217" i="2"/>
  <c r="S217" i="2" s="1"/>
  <c r="R355" i="2"/>
  <c r="S355" i="2" s="1"/>
  <c r="R450" i="2"/>
  <c r="S450" i="2" s="1"/>
  <c r="R17" i="2"/>
  <c r="S17" i="2" s="1"/>
  <c r="R384" i="2"/>
  <c r="S384" i="2" s="1"/>
  <c r="R318" i="2"/>
  <c r="S318" i="2" s="1"/>
  <c r="R422" i="2"/>
  <c r="S422" i="2" s="1"/>
  <c r="M7" i="2"/>
  <c r="R492" i="2"/>
  <c r="S492" i="2" s="1"/>
  <c r="R310" i="2"/>
  <c r="S310" i="2" s="1"/>
  <c r="R390" i="2"/>
  <c r="S390" i="2" s="1"/>
  <c r="R77" i="2"/>
  <c r="S77" i="2" s="1"/>
  <c r="R428" i="2"/>
  <c r="S428" i="2" s="1"/>
  <c r="R306" i="2"/>
  <c r="S306" i="2" s="1"/>
  <c r="R386" i="2"/>
  <c r="S386" i="2" s="1"/>
  <c r="R61" i="2"/>
  <c r="S61" i="2" s="1"/>
  <c r="R424" i="2"/>
  <c r="S424" i="2" s="1"/>
  <c r="R3" i="2"/>
  <c r="R462" i="2"/>
  <c r="S462" i="2" s="1"/>
  <c r="R394" i="2"/>
  <c r="S394" i="2" s="1"/>
  <c r="R290" i="2"/>
  <c r="S290" i="2" s="1"/>
  <c r="R385" i="2"/>
  <c r="S385" i="2" s="1"/>
  <c r="R249" i="2"/>
  <c r="S249" i="2" s="1"/>
  <c r="R57" i="2"/>
  <c r="S57" i="2" s="1"/>
  <c r="R93" i="2"/>
  <c r="S93" i="2" s="1"/>
  <c r="R25" i="2"/>
  <c r="S25" i="2" s="1"/>
  <c r="R389" i="2"/>
  <c r="S389" i="2" s="1"/>
  <c r="R253" i="2"/>
  <c r="S253" i="2" s="1"/>
  <c r="R488" i="2"/>
  <c r="S488" i="2" s="1"/>
  <c r="R432" i="2"/>
  <c r="S432" i="2" s="1"/>
  <c r="R347" i="2"/>
  <c r="S347" i="2" s="1"/>
  <c r="R443" i="2"/>
  <c r="S443" i="2" s="1"/>
  <c r="R371" i="2"/>
  <c r="S371" i="2" s="1"/>
  <c r="R326" i="2"/>
  <c r="S326" i="2" s="1"/>
  <c r="R446" i="2"/>
  <c r="S446" i="2" s="1"/>
  <c r="R378" i="2"/>
  <c r="S378" i="2" s="1"/>
  <c r="R477" i="2"/>
  <c r="S477" i="2" s="1"/>
  <c r="R349" i="2"/>
  <c r="S349" i="2" s="1"/>
  <c r="R209" i="2"/>
  <c r="S209" i="2" s="1"/>
  <c r="R341" i="2"/>
  <c r="S341" i="2" s="1"/>
  <c r="R29" i="2"/>
  <c r="S29" i="2" s="1"/>
  <c r="R485" i="2"/>
  <c r="S485" i="2" s="1"/>
  <c r="R361" i="2"/>
  <c r="S361" i="2" s="1"/>
  <c r="R205" i="2"/>
  <c r="S205" i="2" s="1"/>
  <c r="R484" i="2"/>
  <c r="S484" i="2" s="1"/>
  <c r="R416" i="2"/>
  <c r="S416" i="2" s="1"/>
  <c r="R495" i="2"/>
  <c r="S495" i="2" s="1"/>
  <c r="R427" i="2"/>
  <c r="S427" i="2" s="1"/>
  <c r="R351" i="2"/>
  <c r="S351" i="2" s="1"/>
  <c r="R294" i="2"/>
  <c r="S294" i="2" s="1"/>
  <c r="R442" i="2"/>
  <c r="S442" i="2" s="1"/>
  <c r="R374" i="2"/>
  <c r="S374" i="2" s="1"/>
  <c r="R469" i="2"/>
  <c r="S469" i="2" s="1"/>
  <c r="R337" i="2"/>
  <c r="S337" i="2" s="1"/>
  <c r="R197" i="2"/>
  <c r="S197" i="2" s="1"/>
  <c r="R257" i="2"/>
  <c r="S257" i="2" s="1"/>
  <c r="R13" i="2"/>
  <c r="S13" i="2" s="1"/>
  <c r="R481" i="2"/>
  <c r="S481" i="2" s="1"/>
  <c r="R353" i="2"/>
  <c r="S353" i="2" s="1"/>
  <c r="R193" i="2"/>
  <c r="S193" i="2" s="1"/>
  <c r="R480" i="2"/>
  <c r="S480" i="2" s="1"/>
  <c r="R412" i="2"/>
  <c r="S412" i="2" s="1"/>
  <c r="R487" i="2"/>
  <c r="S487" i="2" s="1"/>
  <c r="R423" i="2"/>
  <c r="S423" i="2" s="1"/>
  <c r="R343" i="2"/>
  <c r="S343" i="2" s="1"/>
  <c r="R286" i="2"/>
  <c r="S286" i="2" s="1"/>
  <c r="R438" i="2"/>
  <c r="S438" i="2" s="1"/>
  <c r="R366" i="2"/>
  <c r="S366" i="2" s="1"/>
  <c r="R461" i="2"/>
  <c r="S461" i="2" s="1"/>
  <c r="R329" i="2"/>
  <c r="S329" i="2" s="1"/>
  <c r="R185" i="2"/>
  <c r="S185" i="2" s="1"/>
  <c r="R229" i="2"/>
  <c r="S229" i="2" s="1"/>
  <c r="R473" i="2"/>
  <c r="S473" i="2" s="1"/>
  <c r="R345" i="2"/>
  <c r="S345" i="2" s="1"/>
  <c r="R173" i="2"/>
  <c r="S173" i="2" s="1"/>
  <c r="R476" i="2"/>
  <c r="S476" i="2" s="1"/>
  <c r="R408" i="2"/>
  <c r="S408" i="2" s="1"/>
  <c r="R483" i="2"/>
  <c r="S483" i="2" s="1"/>
  <c r="R419" i="2"/>
  <c r="S419" i="2" s="1"/>
  <c r="R339" i="2"/>
  <c r="S339" i="2" s="1"/>
  <c r="R278" i="2"/>
  <c r="S278" i="2" s="1"/>
  <c r="R434" i="2"/>
  <c r="S434" i="2" s="1"/>
  <c r="R362" i="2"/>
  <c r="S362" i="2" s="1"/>
  <c r="R453" i="2"/>
  <c r="S453" i="2" s="1"/>
  <c r="R321" i="2"/>
  <c r="S321" i="2" s="1"/>
  <c r="R177" i="2"/>
  <c r="S177" i="2" s="1"/>
  <c r="R213" i="2"/>
  <c r="S213" i="2" s="1"/>
  <c r="R233" i="2"/>
  <c r="S233" i="2" s="1"/>
  <c r="R465" i="2"/>
  <c r="S465" i="2" s="1"/>
  <c r="R333" i="2"/>
  <c r="S333" i="2" s="1"/>
  <c r="R161" i="2"/>
  <c r="S161" i="2" s="1"/>
  <c r="R472" i="2"/>
  <c r="S472" i="2" s="1"/>
  <c r="R404" i="2"/>
  <c r="S404" i="2" s="1"/>
  <c r="R479" i="2"/>
  <c r="S479" i="2" s="1"/>
  <c r="R415" i="2"/>
  <c r="S415" i="2" s="1"/>
  <c r="R331" i="2"/>
  <c r="S331" i="2" s="1"/>
  <c r="R270" i="2"/>
  <c r="S270" i="2" s="1"/>
  <c r="R494" i="2"/>
  <c r="S494" i="2" s="1"/>
  <c r="R430" i="2"/>
  <c r="S430" i="2" s="1"/>
  <c r="R358" i="2"/>
  <c r="S358" i="2" s="1"/>
  <c r="R445" i="2"/>
  <c r="S445" i="2" s="1"/>
  <c r="R313" i="2"/>
  <c r="S313" i="2" s="1"/>
  <c r="R169" i="2"/>
  <c r="S169" i="2" s="1"/>
  <c r="R201" i="2"/>
  <c r="S201" i="2" s="1"/>
  <c r="R153" i="2"/>
  <c r="S153" i="2" s="1"/>
  <c r="R457" i="2"/>
  <c r="S457" i="2" s="1"/>
  <c r="R325" i="2"/>
  <c r="S325" i="2" s="1"/>
  <c r="R145" i="2"/>
  <c r="S145" i="2" s="1"/>
  <c r="R468" i="2"/>
  <c r="S468" i="2" s="1"/>
  <c r="R400" i="2"/>
  <c r="S400" i="2" s="1"/>
  <c r="R475" i="2"/>
  <c r="S475" i="2" s="1"/>
  <c r="R411" i="2"/>
  <c r="S411" i="2" s="1"/>
  <c r="R4" i="2"/>
  <c r="S4" i="2" s="1"/>
  <c r="R266" i="2"/>
  <c r="S266" i="2" s="1"/>
  <c r="R254" i="2"/>
  <c r="S254" i="2" s="1"/>
  <c r="R246" i="2"/>
  <c r="S246" i="2" s="1"/>
  <c r="R238" i="2"/>
  <c r="S238" i="2" s="1"/>
  <c r="R226" i="2"/>
  <c r="S226" i="2" s="1"/>
  <c r="R218" i="2"/>
  <c r="S218" i="2" s="1"/>
  <c r="R210" i="2"/>
  <c r="S210" i="2" s="1"/>
  <c r="R202" i="2"/>
  <c r="S202" i="2" s="1"/>
  <c r="R194" i="2"/>
  <c r="S194" i="2" s="1"/>
  <c r="R182" i="2"/>
  <c r="S182" i="2" s="1"/>
  <c r="R174" i="2"/>
  <c r="S174" i="2" s="1"/>
  <c r="R166" i="2"/>
  <c r="S166" i="2" s="1"/>
  <c r="R154" i="2"/>
  <c r="S154" i="2" s="1"/>
  <c r="R146" i="2"/>
  <c r="S146" i="2" s="1"/>
  <c r="R138" i="2"/>
  <c r="S138" i="2" s="1"/>
  <c r="R130" i="2"/>
  <c r="S130" i="2" s="1"/>
  <c r="R118" i="2"/>
  <c r="S118" i="2" s="1"/>
  <c r="R110" i="2"/>
  <c r="S110" i="2" s="1"/>
  <c r="R102" i="2"/>
  <c r="S102" i="2" s="1"/>
  <c r="R94" i="2"/>
  <c r="S94" i="2" s="1"/>
  <c r="R86" i="2"/>
  <c r="S86" i="2" s="1"/>
  <c r="R78" i="2"/>
  <c r="S78" i="2" s="1"/>
  <c r="R70" i="2"/>
  <c r="S70" i="2" s="1"/>
  <c r="R62" i="2"/>
  <c r="S62" i="2" s="1"/>
  <c r="R54" i="2"/>
  <c r="S54" i="2" s="1"/>
  <c r="R46" i="2"/>
  <c r="S46" i="2" s="1"/>
  <c r="R38" i="2"/>
  <c r="S38" i="2" s="1"/>
  <c r="R30" i="2"/>
  <c r="S30" i="2" s="1"/>
  <c r="R22" i="2"/>
  <c r="S22" i="2" s="1"/>
  <c r="R14" i="2"/>
  <c r="S14" i="2" s="1"/>
  <c r="R360" i="2"/>
  <c r="S360" i="2" s="1"/>
  <c r="R308" i="2"/>
  <c r="S308" i="2" s="1"/>
  <c r="R284" i="2"/>
  <c r="S284" i="2" s="1"/>
  <c r="R256" i="2"/>
  <c r="S256" i="2" s="1"/>
  <c r="R236" i="2"/>
  <c r="S236" i="2" s="1"/>
  <c r="R216" i="2"/>
  <c r="S216" i="2" s="1"/>
  <c r="R196" i="2"/>
  <c r="S196" i="2" s="1"/>
  <c r="R172" i="2"/>
  <c r="S172" i="2" s="1"/>
  <c r="R152" i="2"/>
  <c r="S152" i="2" s="1"/>
  <c r="R132" i="2"/>
  <c r="S132" i="2" s="1"/>
  <c r="R108" i="2"/>
  <c r="S108" i="2" s="1"/>
  <c r="R84" i="2"/>
  <c r="S84" i="2" s="1"/>
  <c r="R60" i="2"/>
  <c r="S60" i="2" s="1"/>
  <c r="R40" i="2"/>
  <c r="S40" i="2" s="1"/>
  <c r="R59" i="2"/>
  <c r="S59" i="2" s="1"/>
  <c r="R23" i="2"/>
  <c r="S23" i="2" s="1"/>
  <c r="R380" i="2"/>
  <c r="S380" i="2" s="1"/>
  <c r="R316" i="2"/>
  <c r="S316" i="2" s="1"/>
  <c r="R276" i="2"/>
  <c r="S276" i="2" s="1"/>
  <c r="R252" i="2"/>
  <c r="S252" i="2" s="1"/>
  <c r="R232" i="2"/>
  <c r="S232" i="2" s="1"/>
  <c r="R204" i="2"/>
  <c r="S204" i="2" s="1"/>
  <c r="R180" i="2"/>
  <c r="S180" i="2" s="1"/>
  <c r="R156" i="2"/>
  <c r="S156" i="2" s="1"/>
  <c r="R136" i="2"/>
  <c r="S136" i="2" s="1"/>
  <c r="R116" i="2"/>
  <c r="S116" i="2" s="1"/>
  <c r="R92" i="2"/>
  <c r="S92" i="2" s="1"/>
  <c r="R68" i="2"/>
  <c r="S68" i="2" s="1"/>
  <c r="R44" i="2"/>
  <c r="S44" i="2" s="1"/>
  <c r="R20" i="2"/>
  <c r="S20" i="2" s="1"/>
  <c r="R63" i="2"/>
  <c r="S63" i="2" s="1"/>
  <c r="R27" i="2"/>
  <c r="S27" i="2" s="1"/>
  <c r="R368" i="2"/>
  <c r="S368" i="2" s="1"/>
  <c r="R328" i="2"/>
  <c r="S328" i="2" s="1"/>
  <c r="R304" i="2"/>
  <c r="S304" i="2" s="1"/>
  <c r="R292" i="2"/>
  <c r="S292" i="2" s="1"/>
  <c r="R272" i="2"/>
  <c r="S272" i="2" s="1"/>
  <c r="R264" i="2"/>
  <c r="S264" i="2" s="1"/>
  <c r="R244" i="2"/>
  <c r="S244" i="2" s="1"/>
  <c r="R228" i="2"/>
  <c r="S228" i="2" s="1"/>
  <c r="R212" i="2"/>
  <c r="S212" i="2" s="1"/>
  <c r="R192" i="2"/>
  <c r="S192" i="2" s="1"/>
  <c r="R176" i="2"/>
  <c r="S176" i="2" s="1"/>
  <c r="R160" i="2"/>
  <c r="S160" i="2" s="1"/>
  <c r="R144" i="2"/>
  <c r="S144" i="2" s="1"/>
  <c r="R124" i="2"/>
  <c r="S124" i="2" s="1"/>
  <c r="R104" i="2"/>
  <c r="S104" i="2" s="1"/>
  <c r="R88" i="2"/>
  <c r="S88" i="2" s="1"/>
  <c r="R76" i="2"/>
  <c r="S76" i="2" s="1"/>
  <c r="R64" i="2"/>
  <c r="S64" i="2" s="1"/>
  <c r="R48" i="2"/>
  <c r="S48" i="2" s="1"/>
  <c r="R28" i="2"/>
  <c r="S28" i="2" s="1"/>
  <c r="R16" i="2"/>
  <c r="S16" i="2" s="1"/>
  <c r="R47" i="2"/>
  <c r="S47" i="2" s="1"/>
  <c r="R19" i="2"/>
  <c r="S19" i="2" s="1"/>
  <c r="R376" i="2"/>
  <c r="S376" i="2" s="1"/>
  <c r="R332" i="2"/>
  <c r="S332" i="2" s="1"/>
  <c r="R320" i="2"/>
  <c r="S320" i="2" s="1"/>
  <c r="R300" i="2"/>
  <c r="S300" i="2" s="1"/>
  <c r="R288" i="2"/>
  <c r="S288" i="2" s="1"/>
  <c r="R268" i="2"/>
  <c r="S268" i="2" s="1"/>
  <c r="R248" i="2"/>
  <c r="S248" i="2" s="1"/>
  <c r="R224" i="2"/>
  <c r="S224" i="2" s="1"/>
  <c r="R208" i="2"/>
  <c r="S208" i="2" s="1"/>
  <c r="R188" i="2"/>
  <c r="S188" i="2" s="1"/>
  <c r="R168" i="2"/>
  <c r="S168" i="2" s="1"/>
  <c r="R148" i="2"/>
  <c r="S148" i="2" s="1"/>
  <c r="R128" i="2"/>
  <c r="S128" i="2" s="1"/>
  <c r="R112" i="2"/>
  <c r="S112" i="2" s="1"/>
  <c r="R96" i="2"/>
  <c r="S96" i="2" s="1"/>
  <c r="R72" i="2"/>
  <c r="S72" i="2" s="1"/>
  <c r="R52" i="2"/>
  <c r="S52" i="2" s="1"/>
  <c r="R32" i="2"/>
  <c r="S32" i="2" s="1"/>
  <c r="R71" i="2"/>
  <c r="S71" i="2" s="1"/>
  <c r="R39" i="2"/>
  <c r="S39" i="2" s="1"/>
  <c r="R372" i="2"/>
  <c r="S372" i="2" s="1"/>
  <c r="R364" i="2"/>
  <c r="S364" i="2" s="1"/>
  <c r="R356" i="2"/>
  <c r="S356" i="2" s="1"/>
  <c r="R352" i="2"/>
  <c r="S352" i="2" s="1"/>
  <c r="R348" i="2"/>
  <c r="S348" i="2" s="1"/>
  <c r="R344" i="2"/>
  <c r="S344" i="2" s="1"/>
  <c r="R340" i="2"/>
  <c r="S340" i="2" s="1"/>
  <c r="R336" i="2"/>
  <c r="S336" i="2" s="1"/>
  <c r="R324" i="2"/>
  <c r="S324" i="2" s="1"/>
  <c r="R312" i="2"/>
  <c r="S312" i="2" s="1"/>
  <c r="R296" i="2"/>
  <c r="S296" i="2" s="1"/>
  <c r="R280" i="2"/>
  <c r="S280" i="2" s="1"/>
  <c r="R260" i="2"/>
  <c r="S260" i="2" s="1"/>
  <c r="R240" i="2"/>
  <c r="S240" i="2" s="1"/>
  <c r="R220" i="2"/>
  <c r="S220" i="2" s="1"/>
  <c r="R200" i="2"/>
  <c r="S200" i="2" s="1"/>
  <c r="R184" i="2"/>
  <c r="S184" i="2" s="1"/>
  <c r="R164" i="2"/>
  <c r="S164" i="2" s="1"/>
  <c r="R140" i="2"/>
  <c r="S140" i="2" s="1"/>
  <c r="R120" i="2"/>
  <c r="S120" i="2" s="1"/>
  <c r="R100" i="2"/>
  <c r="S100" i="2" s="1"/>
  <c r="R80" i="2"/>
  <c r="S80" i="2" s="1"/>
  <c r="R56" i="2"/>
  <c r="S56" i="2" s="1"/>
  <c r="R36" i="2"/>
  <c r="S36" i="2" s="1"/>
  <c r="R24" i="2"/>
  <c r="S24" i="2" s="1"/>
  <c r="L1" i="2"/>
  <c r="R147" i="2"/>
  <c r="S147" i="2" s="1"/>
  <c r="R111" i="2"/>
  <c r="S111" i="2" s="1"/>
  <c r="R91" i="2"/>
  <c r="S91" i="2" s="1"/>
  <c r="R79" i="2"/>
  <c r="S79" i="2" s="1"/>
  <c r="R55" i="2"/>
  <c r="S55" i="2" s="1"/>
  <c r="R31" i="2"/>
  <c r="S31" i="2" s="1"/>
  <c r="R323" i="2"/>
  <c r="S323" i="2" s="1"/>
  <c r="R315" i="2"/>
  <c r="S315" i="2" s="1"/>
  <c r="R303" i="2"/>
  <c r="S303" i="2" s="1"/>
  <c r="R295" i="2"/>
  <c r="S295" i="2" s="1"/>
  <c r="R287" i="2"/>
  <c r="S287" i="2" s="1"/>
  <c r="R279" i="2"/>
  <c r="S279" i="2" s="1"/>
  <c r="R271" i="2"/>
  <c r="S271" i="2" s="1"/>
  <c r="R263" i="2"/>
  <c r="S263" i="2" s="1"/>
  <c r="R255" i="2"/>
  <c r="S255" i="2" s="1"/>
  <c r="R247" i="2"/>
  <c r="S247" i="2" s="1"/>
  <c r="R235" i="2"/>
  <c r="S235" i="2" s="1"/>
  <c r="R227" i="2"/>
  <c r="S227" i="2" s="1"/>
  <c r="R219" i="2"/>
  <c r="S219" i="2" s="1"/>
  <c r="R211" i="2"/>
  <c r="S211" i="2" s="1"/>
  <c r="R199" i="2"/>
  <c r="S199" i="2" s="1"/>
  <c r="R191" i="2"/>
  <c r="S191" i="2" s="1"/>
  <c r="R187" i="2"/>
  <c r="S187" i="2" s="1"/>
  <c r="R179" i="2"/>
  <c r="S179" i="2" s="1"/>
  <c r="R171" i="2"/>
  <c r="S171" i="2" s="1"/>
  <c r="R163" i="2"/>
  <c r="S163" i="2" s="1"/>
  <c r="R155" i="2"/>
  <c r="S155" i="2" s="1"/>
  <c r="R143" i="2"/>
  <c r="S143" i="2" s="1"/>
  <c r="R131" i="2"/>
  <c r="S131" i="2" s="1"/>
  <c r="R123" i="2"/>
  <c r="S123" i="2" s="1"/>
  <c r="R115" i="2"/>
  <c r="S115" i="2" s="1"/>
  <c r="R103" i="2"/>
  <c r="S103" i="2" s="1"/>
  <c r="R95" i="2"/>
  <c r="S95" i="2" s="1"/>
  <c r="R83" i="2"/>
  <c r="S83" i="2" s="1"/>
  <c r="R67" i="2"/>
  <c r="S67" i="2" s="1"/>
  <c r="R43" i="2"/>
  <c r="S43" i="2" s="1"/>
  <c r="R15" i="2"/>
  <c r="S15" i="2" s="1"/>
  <c r="R319" i="2"/>
  <c r="S319" i="2" s="1"/>
  <c r="R311" i="2"/>
  <c r="S311" i="2" s="1"/>
  <c r="R307" i="2"/>
  <c r="S307" i="2" s="1"/>
  <c r="R299" i="2"/>
  <c r="S299" i="2" s="1"/>
  <c r="R291" i="2"/>
  <c r="S291" i="2" s="1"/>
  <c r="R283" i="2"/>
  <c r="S283" i="2" s="1"/>
  <c r="R275" i="2"/>
  <c r="S275" i="2" s="1"/>
  <c r="R267" i="2"/>
  <c r="S267" i="2" s="1"/>
  <c r="R259" i="2"/>
  <c r="S259" i="2" s="1"/>
  <c r="R251" i="2"/>
  <c r="S251" i="2" s="1"/>
  <c r="R243" i="2"/>
  <c r="S243" i="2" s="1"/>
  <c r="R239" i="2"/>
  <c r="S239" i="2" s="1"/>
  <c r="R231" i="2"/>
  <c r="S231" i="2" s="1"/>
  <c r="R223" i="2"/>
  <c r="S223" i="2" s="1"/>
  <c r="R215" i="2"/>
  <c r="S215" i="2" s="1"/>
  <c r="R207" i="2"/>
  <c r="S207" i="2" s="1"/>
  <c r="R203" i="2"/>
  <c r="S203" i="2" s="1"/>
  <c r="R195" i="2"/>
  <c r="S195" i="2" s="1"/>
  <c r="R183" i="2"/>
  <c r="S183" i="2" s="1"/>
  <c r="R175" i="2"/>
  <c r="S175" i="2" s="1"/>
  <c r="R167" i="2"/>
  <c r="S167" i="2" s="1"/>
  <c r="R159" i="2"/>
  <c r="S159" i="2" s="1"/>
  <c r="R151" i="2"/>
  <c r="S151" i="2" s="1"/>
  <c r="R139" i="2"/>
  <c r="S139" i="2" s="1"/>
  <c r="R135" i="2"/>
  <c r="S135" i="2" s="1"/>
  <c r="R127" i="2"/>
  <c r="S127" i="2" s="1"/>
  <c r="R119" i="2"/>
  <c r="S119" i="2" s="1"/>
  <c r="R107" i="2"/>
  <c r="S107" i="2" s="1"/>
  <c r="R99" i="2"/>
  <c r="S99" i="2" s="1"/>
  <c r="R87" i="2"/>
  <c r="S87" i="2" s="1"/>
  <c r="R75" i="2"/>
  <c r="S75" i="2" s="1"/>
  <c r="R51" i="2"/>
  <c r="S51" i="2" s="1"/>
  <c r="R35" i="2"/>
  <c r="S35" i="2" s="1"/>
  <c r="R262" i="2"/>
  <c r="S262" i="2" s="1"/>
  <c r="R258" i="2"/>
  <c r="S258" i="2" s="1"/>
  <c r="R250" i="2"/>
  <c r="S250" i="2" s="1"/>
  <c r="R242" i="2"/>
  <c r="S242" i="2" s="1"/>
  <c r="R234" i="2"/>
  <c r="S234" i="2" s="1"/>
  <c r="R230" i="2"/>
  <c r="S230" i="2" s="1"/>
  <c r="R222" i="2"/>
  <c r="S222" i="2" s="1"/>
  <c r="R214" i="2"/>
  <c r="S214" i="2" s="1"/>
  <c r="R206" i="2"/>
  <c r="S206" i="2" s="1"/>
  <c r="R198" i="2"/>
  <c r="S198" i="2" s="1"/>
  <c r="R190" i="2"/>
  <c r="S190" i="2" s="1"/>
  <c r="R186" i="2"/>
  <c r="S186" i="2" s="1"/>
  <c r="R178" i="2"/>
  <c r="S178" i="2" s="1"/>
  <c r="R170" i="2"/>
  <c r="S170" i="2" s="1"/>
  <c r="R162" i="2"/>
  <c r="S162" i="2" s="1"/>
  <c r="R158" i="2"/>
  <c r="S158" i="2" s="1"/>
  <c r="R150" i="2"/>
  <c r="S150" i="2" s="1"/>
  <c r="R142" i="2"/>
  <c r="S142" i="2" s="1"/>
  <c r="R134" i="2"/>
  <c r="S134" i="2" s="1"/>
  <c r="R126" i="2"/>
  <c r="S126" i="2" s="1"/>
  <c r="R122" i="2"/>
  <c r="S122" i="2" s="1"/>
  <c r="R114" i="2"/>
  <c r="S114" i="2" s="1"/>
  <c r="R106" i="2"/>
  <c r="S106" i="2" s="1"/>
  <c r="R98" i="2"/>
  <c r="S98" i="2" s="1"/>
  <c r="R90" i="2"/>
  <c r="S90" i="2" s="1"/>
  <c r="R82" i="2"/>
  <c r="S82" i="2" s="1"/>
  <c r="R74" i="2"/>
  <c r="S74" i="2" s="1"/>
  <c r="R66" i="2"/>
  <c r="S66" i="2" s="1"/>
  <c r="R58" i="2"/>
  <c r="S58" i="2" s="1"/>
  <c r="R50" i="2"/>
  <c r="S50" i="2" s="1"/>
  <c r="R42" i="2"/>
  <c r="S42" i="2" s="1"/>
  <c r="R34" i="2"/>
  <c r="S34" i="2" s="1"/>
  <c r="R26" i="2"/>
  <c r="S26" i="2" s="1"/>
  <c r="R18" i="2"/>
  <c r="S18" i="2" s="1"/>
  <c r="R8" i="2"/>
  <c r="S8" i="2" s="1"/>
  <c r="R437" i="2"/>
  <c r="S437" i="2" s="1"/>
  <c r="R157" i="2"/>
  <c r="S157" i="2" s="1"/>
  <c r="R121" i="2"/>
  <c r="S121" i="2" s="1"/>
  <c r="R449" i="2"/>
  <c r="S449" i="2" s="1"/>
  <c r="R407" i="2"/>
  <c r="S407" i="2" s="1"/>
  <c r="R486" i="2"/>
  <c r="S486" i="2" s="1"/>
  <c r="R418" i="2"/>
  <c r="S418" i="2" s="1"/>
  <c r="R342" i="2"/>
  <c r="S342" i="2" s="1"/>
  <c r="R429" i="2"/>
  <c r="S429" i="2" s="1"/>
  <c r="R297" i="2"/>
  <c r="S297" i="2" s="1"/>
  <c r="R141" i="2"/>
  <c r="S141" i="2" s="1"/>
  <c r="R181" i="2"/>
  <c r="S181" i="2" s="1"/>
  <c r="R105" i="2"/>
  <c r="S105" i="2" s="1"/>
  <c r="R441" i="2"/>
  <c r="S441" i="2" s="1"/>
  <c r="R309" i="2"/>
  <c r="S309" i="2" s="1"/>
  <c r="R117" i="2"/>
  <c r="S117" i="2" s="1"/>
  <c r="R460" i="2"/>
  <c r="S460" i="2" s="1"/>
  <c r="R392" i="2"/>
  <c r="S392" i="2" s="1"/>
  <c r="R467" i="2"/>
  <c r="S467" i="2" s="1"/>
  <c r="R403" i="2"/>
  <c r="S403" i="2" s="1"/>
  <c r="R426" i="2"/>
  <c r="S426" i="2" s="1"/>
  <c r="R7" i="2"/>
  <c r="S7" i="2" s="1"/>
  <c r="R482" i="2"/>
  <c r="S482" i="2" s="1"/>
  <c r="R414" i="2"/>
  <c r="S414" i="2" s="1"/>
  <c r="R334" i="2"/>
  <c r="S334" i="2" s="1"/>
  <c r="R421" i="2"/>
  <c r="S421" i="2" s="1"/>
  <c r="R289" i="2"/>
  <c r="S289" i="2" s="1"/>
  <c r="R129" i="2"/>
  <c r="S129" i="2" s="1"/>
  <c r="R165" i="2"/>
  <c r="S165" i="2" s="1"/>
  <c r="R89" i="2"/>
  <c r="S89" i="2" s="1"/>
  <c r="R433" i="2"/>
  <c r="S433" i="2" s="1"/>
  <c r="R301" i="2"/>
  <c r="S301" i="2" s="1"/>
  <c r="R97" i="2"/>
  <c r="S97" i="2" s="1"/>
  <c r="R456" i="2"/>
  <c r="S456" i="2" s="1"/>
  <c r="R388" i="2"/>
  <c r="S388" i="2" s="1"/>
  <c r="R463" i="2"/>
  <c r="S463" i="2" s="1"/>
  <c r="R395" i="2"/>
  <c r="S395" i="2" s="1"/>
  <c r="R370" i="2"/>
  <c r="S370" i="2" s="1"/>
  <c r="R12" i="2"/>
  <c r="S12" i="2" s="1"/>
  <c r="R189" i="2"/>
  <c r="S189" i="2" s="1"/>
  <c r="R464" i="2"/>
  <c r="S464" i="2" s="1"/>
  <c r="R478" i="2"/>
  <c r="S478" i="2" s="1"/>
  <c r="R410" i="2"/>
  <c r="S410" i="2" s="1"/>
  <c r="R322" i="2"/>
  <c r="S322" i="2" s="1"/>
  <c r="R413" i="2"/>
  <c r="S413" i="2" s="1"/>
  <c r="R281" i="2"/>
  <c r="S281" i="2" s="1"/>
  <c r="R113" i="2"/>
  <c r="S113" i="2" s="1"/>
  <c r="R149" i="2"/>
  <c r="S149" i="2" s="1"/>
  <c r="R81" i="2"/>
  <c r="S81" i="2" s="1"/>
  <c r="R425" i="2"/>
  <c r="S425" i="2" s="1"/>
  <c r="R293" i="2"/>
  <c r="S293" i="2" s="1"/>
  <c r="R73" i="2"/>
  <c r="S73" i="2" s="1"/>
  <c r="R452" i="2"/>
  <c r="S452" i="2" s="1"/>
  <c r="R496" i="2"/>
  <c r="S496" i="2" s="1"/>
  <c r="R459" i="2"/>
  <c r="S459" i="2" s="1"/>
  <c r="R391" i="2"/>
  <c r="S391" i="2" s="1"/>
  <c r="R354" i="2"/>
  <c r="S354" i="2" s="1"/>
  <c r="R6" i="2"/>
  <c r="S6" i="2" s="1"/>
  <c r="R474" i="2"/>
  <c r="S474" i="2" s="1"/>
  <c r="R406" i="2"/>
  <c r="S406" i="2" s="1"/>
  <c r="R314" i="2"/>
  <c r="S314" i="2" s="1"/>
  <c r="R405" i="2"/>
  <c r="S405" i="2" s="1"/>
  <c r="R273" i="2"/>
  <c r="S273" i="2" s="1"/>
  <c r="R101" i="2"/>
  <c r="S101" i="2" s="1"/>
  <c r="R137" i="2"/>
  <c r="S137" i="2" s="1"/>
  <c r="R65" i="2"/>
  <c r="S65" i="2" s="1"/>
  <c r="R417" i="2"/>
  <c r="S417" i="2" s="1"/>
  <c r="R285" i="2"/>
  <c r="S285" i="2" s="1"/>
  <c r="R49" i="2"/>
  <c r="S49" i="2" s="1"/>
  <c r="R448" i="2"/>
  <c r="S448" i="2" s="1"/>
  <c r="R399" i="2"/>
  <c r="S399" i="2" s="1"/>
  <c r="R455" i="2"/>
  <c r="S455" i="2" s="1"/>
  <c r="R387" i="2"/>
  <c r="S387" i="2" s="1"/>
  <c r="R346" i="2"/>
  <c r="S346" i="2" s="1"/>
  <c r="R498" i="2"/>
  <c r="S498" i="2" s="1"/>
  <c r="R305" i="2"/>
  <c r="S305" i="2" s="1"/>
  <c r="R133" i="2"/>
  <c r="S133" i="2" s="1"/>
  <c r="R470" i="2"/>
  <c r="S470" i="2" s="1"/>
  <c r="R402" i="2"/>
  <c r="S402" i="2" s="1"/>
  <c r="R302" i="2"/>
  <c r="S302" i="2" s="1"/>
  <c r="R401" i="2"/>
  <c r="S401" i="2" s="1"/>
  <c r="R269" i="2"/>
  <c r="S269" i="2" s="1"/>
  <c r="R85" i="2"/>
  <c r="S85" i="2" s="1"/>
  <c r="R125" i="2"/>
  <c r="S125" i="2" s="1"/>
  <c r="R53" i="2"/>
  <c r="S53" i="2" s="1"/>
  <c r="R409" i="2"/>
  <c r="S409" i="2" s="1"/>
  <c r="R277" i="2"/>
  <c r="S277" i="2" s="1"/>
  <c r="R37" i="2"/>
  <c r="S37" i="2" s="1"/>
  <c r="R440" i="2"/>
  <c r="S440" i="2" s="1"/>
  <c r="R375" i="2"/>
  <c r="S375" i="2" s="1"/>
  <c r="R451" i="2"/>
  <c r="S451" i="2" s="1"/>
  <c r="R383" i="2"/>
  <c r="S383" i="2" s="1"/>
  <c r="R338" i="2"/>
  <c r="S338" i="2" s="1"/>
  <c r="R5" i="2"/>
  <c r="S5" i="2" s="1"/>
  <c r="R396" i="2"/>
  <c r="S396" i="2" s="1"/>
  <c r="R466" i="2"/>
  <c r="S466" i="2" s="1"/>
  <c r="R398" i="2"/>
  <c r="S398" i="2" s="1"/>
  <c r="R298" i="2"/>
  <c r="S298" i="2" s="1"/>
  <c r="R393" i="2"/>
  <c r="S393" i="2" s="1"/>
  <c r="R261" i="2"/>
  <c r="S261" i="2" s="1"/>
  <c r="R69" i="2"/>
  <c r="S69" i="2" s="1"/>
  <c r="R109" i="2"/>
  <c r="S109" i="2" s="1"/>
  <c r="R41" i="2"/>
  <c r="S41" i="2" s="1"/>
  <c r="R397" i="2"/>
  <c r="S397" i="2" s="1"/>
  <c r="R265" i="2"/>
  <c r="S265" i="2" s="1"/>
  <c r="R21" i="2"/>
  <c r="S21" i="2" s="1"/>
  <c r="R436" i="2"/>
  <c r="S436" i="2" s="1"/>
  <c r="R363" i="2"/>
  <c r="S363" i="2" s="1"/>
  <c r="R447" i="2"/>
  <c r="S447" i="2" s="1"/>
  <c r="R379" i="2"/>
  <c r="S379" i="2" s="1"/>
  <c r="R330" i="2"/>
  <c r="S330" i="2" s="1"/>
  <c r="R9" i="2"/>
  <c r="S9" i="2" s="1"/>
  <c r="R449" i="1"/>
  <c r="R465" i="1"/>
  <c r="R12" i="1"/>
  <c r="R17" i="1"/>
  <c r="R23" i="1"/>
  <c r="R28" i="1"/>
  <c r="R33" i="1"/>
  <c r="R39" i="1"/>
  <c r="R44" i="1"/>
  <c r="R49" i="1"/>
  <c r="R55" i="1"/>
  <c r="R60" i="1"/>
  <c r="R65" i="1"/>
  <c r="R71" i="1"/>
  <c r="R87" i="1"/>
  <c r="R92" i="1"/>
  <c r="R97" i="1"/>
  <c r="R103" i="1"/>
  <c r="R108" i="1"/>
  <c r="R113" i="1"/>
  <c r="R119" i="1"/>
  <c r="R124" i="1"/>
  <c r="R135" i="1"/>
  <c r="R151" i="1"/>
  <c r="R156" i="1"/>
  <c r="R167" i="1"/>
  <c r="R172" i="1"/>
  <c r="R177" i="1"/>
  <c r="R183" i="1"/>
  <c r="R188" i="1"/>
  <c r="R204" i="1"/>
  <c r="R231" i="1"/>
  <c r="R241" i="1"/>
  <c r="R268" i="1"/>
  <c r="R273" i="1"/>
  <c r="R284" i="1"/>
  <c r="R289" i="1"/>
  <c r="R300" i="1"/>
  <c r="R305" i="1"/>
  <c r="R311" i="1"/>
  <c r="R316" i="1"/>
  <c r="R321" i="1"/>
  <c r="R327" i="1"/>
  <c r="R353" i="1"/>
  <c r="R359" i="1"/>
  <c r="R364" i="1"/>
  <c r="R369" i="1"/>
  <c r="R375" i="1"/>
  <c r="R380" i="1"/>
  <c r="R385" i="1"/>
  <c r="R391" i="1"/>
  <c r="R401" i="1"/>
  <c r="R407" i="1"/>
  <c r="R412" i="1"/>
  <c r="R417" i="1"/>
  <c r="R423" i="1"/>
  <c r="R428" i="1"/>
  <c r="R433" i="1"/>
  <c r="R439" i="1"/>
  <c r="R455" i="1"/>
  <c r="R471" i="1"/>
  <c r="R476" i="1"/>
  <c r="R481" i="1"/>
  <c r="R487" i="1"/>
  <c r="R492" i="1"/>
  <c r="R24" i="1"/>
  <c r="R40" i="1"/>
  <c r="R120" i="1"/>
  <c r="R136" i="1"/>
  <c r="R152" i="1"/>
  <c r="R168" i="1"/>
  <c r="R184" i="1"/>
  <c r="R200" i="1"/>
  <c r="R264" i="1"/>
  <c r="R280" i="1"/>
  <c r="R296" i="1"/>
  <c r="R312" i="1"/>
  <c r="R328" i="1"/>
  <c r="R344" i="1"/>
  <c r="R456" i="1"/>
  <c r="R488" i="1"/>
  <c r="R62" i="1"/>
  <c r="R78" i="1"/>
  <c r="R94" i="1"/>
  <c r="R126" i="1"/>
  <c r="R190" i="1"/>
  <c r="R238" i="1"/>
  <c r="R254" i="1"/>
  <c r="R350" i="1"/>
  <c r="R41" i="1"/>
  <c r="R57" i="1"/>
  <c r="R73" i="1"/>
  <c r="R89" i="1"/>
  <c r="R105" i="1"/>
  <c r="R121" i="1"/>
  <c r="R153" i="1"/>
  <c r="R169" i="1"/>
  <c r="R185" i="1"/>
  <c r="R201" i="1"/>
  <c r="R217" i="1"/>
  <c r="R297" i="1"/>
  <c r="R361" i="1"/>
  <c r="R393" i="1"/>
  <c r="R425" i="1"/>
  <c r="R441" i="1"/>
  <c r="R457" i="1"/>
  <c r="R473" i="1"/>
  <c r="R15" i="1"/>
  <c r="R31" i="1"/>
  <c r="R47" i="1"/>
  <c r="R63" i="1"/>
  <c r="R79" i="1"/>
  <c r="R95" i="1"/>
  <c r="R111" i="1"/>
  <c r="R127" i="1"/>
  <c r="R143" i="1"/>
  <c r="R159" i="1"/>
  <c r="R191" i="1"/>
  <c r="R207" i="1"/>
  <c r="R223" i="1"/>
  <c r="R239" i="1"/>
  <c r="R255" i="1"/>
  <c r="R319" i="1"/>
  <c r="R335" i="1"/>
  <c r="R367" i="1"/>
  <c r="R383" i="1"/>
  <c r="R415" i="1"/>
  <c r="R479" i="1"/>
  <c r="R495" i="1"/>
  <c r="R5" i="1"/>
  <c r="R21" i="1"/>
  <c r="R37" i="1"/>
  <c r="R53" i="1"/>
  <c r="R117" i="1"/>
  <c r="R133" i="1"/>
  <c r="R149" i="1"/>
  <c r="R181" i="1"/>
  <c r="R325" i="1"/>
  <c r="R341" i="1"/>
  <c r="R437" i="1"/>
  <c r="R16" i="1"/>
  <c r="R32" i="1"/>
  <c r="R48" i="1"/>
  <c r="R64" i="1"/>
  <c r="R80" i="1"/>
  <c r="R96" i="1"/>
  <c r="R112" i="1"/>
  <c r="R144" i="1"/>
  <c r="R160" i="1"/>
  <c r="R176" i="1"/>
  <c r="R192" i="1"/>
  <c r="R224" i="1"/>
  <c r="R240" i="1"/>
  <c r="R256" i="1"/>
  <c r="R400" i="1"/>
  <c r="R432" i="1"/>
  <c r="R448" i="1"/>
  <c r="R11" i="1"/>
  <c r="R27" i="1"/>
  <c r="R43" i="1"/>
  <c r="R59" i="1"/>
  <c r="R123" i="1"/>
  <c r="R139" i="1"/>
  <c r="R155" i="1"/>
  <c r="R171" i="1"/>
  <c r="R187" i="1"/>
  <c r="R203" i="1"/>
  <c r="R219" i="1"/>
  <c r="R235" i="1"/>
  <c r="R251" i="1"/>
  <c r="R331" i="1"/>
  <c r="R347" i="1"/>
  <c r="R363" i="1"/>
  <c r="R379" i="1"/>
  <c r="R411" i="1"/>
  <c r="R443" i="1"/>
  <c r="R459" i="1"/>
  <c r="R22" i="1"/>
  <c r="R38" i="1"/>
  <c r="R54" i="1"/>
  <c r="R70" i="1"/>
  <c r="R86" i="1"/>
  <c r="R102" i="1"/>
  <c r="R118" i="1"/>
  <c r="R134" i="1"/>
  <c r="R150" i="1"/>
  <c r="R166" i="1"/>
  <c r="R182" i="1"/>
  <c r="R198" i="1"/>
  <c r="R230" i="1"/>
  <c r="R262" i="1"/>
  <c r="R278" i="1"/>
  <c r="R294" i="1"/>
  <c r="R310" i="1"/>
  <c r="R326" i="1"/>
  <c r="R342" i="1"/>
  <c r="R358" i="1"/>
  <c r="R374" i="1"/>
  <c r="R390" i="1"/>
  <c r="R406" i="1"/>
  <c r="R422" i="1"/>
  <c r="R438" i="1"/>
  <c r="R454" i="1"/>
  <c r="R470" i="1"/>
  <c r="R486" i="1"/>
  <c r="R9" i="1"/>
  <c r="R137" i="1"/>
  <c r="R233" i="1"/>
  <c r="R249" i="1"/>
  <c r="R265" i="1"/>
  <c r="R281" i="1"/>
  <c r="R329" i="1"/>
  <c r="R489" i="1"/>
  <c r="R175" i="1"/>
  <c r="R271" i="1"/>
  <c r="R287" i="1"/>
  <c r="R303" i="1"/>
  <c r="R351" i="1"/>
  <c r="R431" i="1"/>
  <c r="R128" i="1"/>
  <c r="R208" i="1"/>
  <c r="R304" i="1"/>
  <c r="R320" i="1"/>
  <c r="R336" i="1"/>
  <c r="R384" i="1"/>
  <c r="R464" i="1"/>
  <c r="R299" i="1"/>
  <c r="R315" i="1"/>
  <c r="R395" i="1"/>
  <c r="R427" i="1"/>
  <c r="R475" i="1"/>
  <c r="R491" i="1"/>
  <c r="R193" i="1"/>
  <c r="R209" i="1"/>
  <c r="R257" i="1"/>
  <c r="R337" i="1"/>
  <c r="R81" i="1"/>
  <c r="R140" i="1"/>
  <c r="R220" i="1"/>
  <c r="R252" i="1"/>
  <c r="R396" i="1"/>
  <c r="R444" i="1"/>
  <c r="R199" i="1"/>
  <c r="R215" i="1"/>
  <c r="R226" i="1"/>
  <c r="R386" i="1"/>
  <c r="R466" i="1"/>
  <c r="R498" i="1"/>
  <c r="R29" i="1"/>
  <c r="R61" i="1"/>
  <c r="R93" i="1"/>
  <c r="R189" i="1"/>
  <c r="R269" i="1"/>
  <c r="R333" i="1"/>
  <c r="R413" i="1"/>
  <c r="R429" i="1"/>
  <c r="R445" i="1"/>
  <c r="R493" i="1"/>
  <c r="R8" i="1"/>
  <c r="R216" i="1"/>
  <c r="R232" i="1"/>
  <c r="R248" i="1"/>
  <c r="R360" i="1"/>
  <c r="R35" i="1"/>
  <c r="R67" i="1"/>
  <c r="R99" i="1"/>
  <c r="R115" i="1"/>
  <c r="R163" i="1"/>
  <c r="R211" i="1"/>
  <c r="R339" i="1"/>
  <c r="R355" i="1"/>
  <c r="R3" i="1"/>
  <c r="R30" i="1"/>
  <c r="R110" i="1"/>
  <c r="R142" i="1"/>
  <c r="R158" i="1"/>
  <c r="R206" i="1"/>
  <c r="R222" i="1"/>
  <c r="R270" i="1"/>
  <c r="R286" i="1"/>
  <c r="R302" i="1"/>
  <c r="R366" i="1"/>
  <c r="R382" i="1"/>
  <c r="R430" i="1"/>
  <c r="R446" i="1"/>
  <c r="R462" i="1"/>
  <c r="R494" i="1"/>
  <c r="M9" i="2" l="1"/>
  <c r="M10" i="2" s="1"/>
  <c r="M12" i="2" s="1"/>
  <c r="M9" i="1"/>
  <c r="M13" i="2" l="1"/>
</calcChain>
</file>

<file path=xl/sharedStrings.xml><?xml version="1.0" encoding="utf-8"?>
<sst xmlns="http://schemas.openxmlformats.org/spreadsheetml/2006/main" count="81" uniqueCount="31">
  <si>
    <t>Data</t>
  </si>
  <si>
    <t>BOVA11</t>
  </si>
  <si>
    <t>IVVB11</t>
  </si>
  <si>
    <t>GOLD11</t>
  </si>
  <si>
    <t>Retornos</t>
  </si>
  <si>
    <t>Peso IBOV</t>
  </si>
  <si>
    <t>Peso S&amp;P 500</t>
  </si>
  <si>
    <t>Peso Ouro</t>
  </si>
  <si>
    <t>Peso SELIC</t>
  </si>
  <si>
    <t>Retorno do Portfólio</t>
  </si>
  <si>
    <t>Histórico</t>
  </si>
  <si>
    <t>(VAR)</t>
  </si>
  <si>
    <t>DP Portfólio</t>
  </si>
  <si>
    <t>VAR 95% Anual</t>
  </si>
  <si>
    <t>VAR 99% Anual</t>
  </si>
  <si>
    <t>Portfólios</t>
  </si>
  <si>
    <t>Retorno</t>
  </si>
  <si>
    <t>VAR 95</t>
  </si>
  <si>
    <t>VAR 99</t>
  </si>
  <si>
    <t>20-30-40-10</t>
  </si>
  <si>
    <t>25-25-40-10</t>
  </si>
  <si>
    <t>30-30-30-10</t>
  </si>
  <si>
    <t>35-35-20-10</t>
  </si>
  <si>
    <t>40-40-10-10</t>
  </si>
  <si>
    <t>&lt;= Menor VAR</t>
  </si>
  <si>
    <t>&lt;= Maior Retorno</t>
  </si>
  <si>
    <t>Alisamento</t>
  </si>
  <si>
    <t>Lambda</t>
  </si>
  <si>
    <t>DP Portfólio (A)</t>
  </si>
  <si>
    <t>Var Portfólio (A)</t>
  </si>
  <si>
    <t xml:space="preserve">Portfólios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</si>
</sst>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0%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2" fontId="0" fillId="0" borderId="0" xfId="0" applyNumberForma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9" fontId="0" fillId="2" borderId="1" xfId="0" applyNumberFormat="1" applyFill="1" applyBorder="1"/>
    <xf numFmtId="165" fontId="0" fillId="0" borderId="1" xfId="2" applyNumberFormat="1" applyFont="1" applyBorder="1" applyAlignment="1">
      <alignment horizontal="center"/>
    </xf>
    <xf numFmtId="9" fontId="0" fillId="0" borderId="0" xfId="0" applyNumberFormat="1"/>
    <xf numFmtId="10" fontId="0" fillId="0" borderId="0" xfId="2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0" fontId="2" fillId="2" borderId="1" xfId="0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4EA9-7425-4C6E-867F-DFF7DCB0FBC2}">
  <dimension ref="A1:X498"/>
  <sheetViews>
    <sheetView tabSelected="1" topLeftCell="A7" workbookViewId="0">
      <selection activeCell="K20" sqref="K19:N20"/>
    </sheetView>
  </sheetViews>
  <sheetFormatPr defaultRowHeight="15" x14ac:dyDescent="0.25"/>
  <cols>
    <col min="1" max="1" width="15.5703125" bestFit="1" customWidth="1"/>
    <col min="2" max="4" width="9.140625" style="1"/>
    <col min="6" max="8" width="9.140625" style="1"/>
    <col min="11" max="11" width="12.85546875" bestFit="1" customWidth="1"/>
    <col min="12" max="12" width="9.140625" style="1"/>
    <col min="13" max="13" width="12" style="1" bestFit="1" customWidth="1"/>
    <col min="21" max="21" width="11.140625" style="1" bestFit="1" customWidth="1"/>
    <col min="22" max="24" width="9.140625" style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F1" s="30" t="s">
        <v>4</v>
      </c>
      <c r="G1" s="30"/>
      <c r="H1" s="30"/>
      <c r="L1" s="15">
        <f>SUM(L2:L5)</f>
        <v>1</v>
      </c>
      <c r="M1" s="3" t="s">
        <v>4</v>
      </c>
      <c r="R1" s="5" t="s">
        <v>10</v>
      </c>
    </row>
    <row r="2" spans="1:18" x14ac:dyDescent="0.25">
      <c r="A2" s="4">
        <v>45293.705555555556</v>
      </c>
      <c r="B2" s="1">
        <v>128.88</v>
      </c>
      <c r="C2" s="1">
        <v>259</v>
      </c>
      <c r="D2" s="1">
        <v>10.67</v>
      </c>
      <c r="F2" s="2" t="s">
        <v>1</v>
      </c>
      <c r="G2" s="2" t="s">
        <v>2</v>
      </c>
      <c r="H2" s="2" t="s">
        <v>3</v>
      </c>
      <c r="K2" s="6" t="s">
        <v>5</v>
      </c>
      <c r="L2" s="12">
        <v>0.4</v>
      </c>
      <c r="M2" s="9">
        <v>0.105</v>
      </c>
      <c r="R2" s="1" t="s">
        <v>11</v>
      </c>
    </row>
    <row r="3" spans="1:18" x14ac:dyDescent="0.25">
      <c r="A3" s="4">
        <v>45294.705555555556</v>
      </c>
      <c r="B3" s="1">
        <v>128.93</v>
      </c>
      <c r="C3" s="1">
        <v>257.10000000000002</v>
      </c>
      <c r="D3" s="1">
        <v>10.6</v>
      </c>
      <c r="F3" s="1">
        <f>(B3/B2)-1</f>
        <v>3.8795779019240584E-4</v>
      </c>
      <c r="G3" s="1">
        <f t="shared" ref="G3:H18" si="0">(C3/C2)-1</f>
        <v>-7.3359073359072768E-3</v>
      </c>
      <c r="H3" s="1">
        <f t="shared" si="0"/>
        <v>-6.5604498594189486E-3</v>
      </c>
      <c r="K3" s="6" t="s">
        <v>6</v>
      </c>
      <c r="L3" s="12">
        <v>0.4</v>
      </c>
      <c r="M3" s="9">
        <v>0.12</v>
      </c>
      <c r="R3">
        <f>$L$2*F3+G3*$L$3+H3*$L$4</f>
        <v>-3.4352248042278434E-3</v>
      </c>
    </row>
    <row r="4" spans="1:18" x14ac:dyDescent="0.25">
      <c r="A4" s="4">
        <v>45295.705555555556</v>
      </c>
      <c r="B4" s="1">
        <v>127.42</v>
      </c>
      <c r="C4" s="1">
        <v>254.9</v>
      </c>
      <c r="D4" s="1">
        <v>10.57</v>
      </c>
      <c r="F4" s="1">
        <f t="shared" ref="F4:H67" si="1">(B4/B3)-1</f>
        <v>-1.1711781586907666E-2</v>
      </c>
      <c r="G4" s="1">
        <f t="shared" si="0"/>
        <v>-8.556981719175516E-3</v>
      </c>
      <c r="H4" s="1">
        <f t="shared" si="0"/>
        <v>-2.8301886792452269E-3</v>
      </c>
      <c r="K4" s="6" t="s">
        <v>7</v>
      </c>
      <c r="L4" s="12">
        <f>MIN(1-(L2+L3+L5),40%)</f>
        <v>9.9999999999999978E-2</v>
      </c>
      <c r="M4" s="9">
        <v>9.5000000000000001E-2</v>
      </c>
      <c r="R4">
        <f>$L$2*F4+G4*$L$3+H4*$L$4</f>
        <v>-8.3905241903577954E-3</v>
      </c>
    </row>
    <row r="5" spans="1:18" x14ac:dyDescent="0.25">
      <c r="A5" s="4">
        <v>45296.705555555556</v>
      </c>
      <c r="B5" s="1">
        <v>128.13</v>
      </c>
      <c r="C5" s="1">
        <v>253.95</v>
      </c>
      <c r="D5" s="1">
        <v>10.51</v>
      </c>
      <c r="F5" s="1">
        <f t="shared" si="1"/>
        <v>5.5721236854495704E-3</v>
      </c>
      <c r="G5" s="1">
        <f t="shared" si="0"/>
        <v>-3.7269517457827472E-3</v>
      </c>
      <c r="H5" s="1">
        <f t="shared" si="0"/>
        <v>-5.6764427625355385E-3</v>
      </c>
      <c r="K5" s="6" t="s">
        <v>8</v>
      </c>
      <c r="L5" s="13">
        <v>0.1</v>
      </c>
      <c r="M5" s="9">
        <v>0.09</v>
      </c>
      <c r="R5">
        <f t="shared" ref="R5:R68" si="2">$L$2*F5+G5*$L$3+H5*$L$4</f>
        <v>1.7042449961317578E-4</v>
      </c>
    </row>
    <row r="6" spans="1:18" x14ac:dyDescent="0.25">
      <c r="A6" s="4">
        <v>45299.705555555556</v>
      </c>
      <c r="B6" s="1">
        <v>128.53</v>
      </c>
      <c r="C6" s="1">
        <v>257.11</v>
      </c>
      <c r="D6" s="1">
        <v>10.42</v>
      </c>
      <c r="F6" s="1">
        <f t="shared" si="1"/>
        <v>3.1218293920238782E-3</v>
      </c>
      <c r="G6" s="1">
        <f t="shared" si="0"/>
        <v>1.2443394368970351E-2</v>
      </c>
      <c r="H6" s="1">
        <f t="shared" si="0"/>
        <v>-8.5632730732635443E-3</v>
      </c>
      <c r="R6">
        <f t="shared" si="2"/>
        <v>5.3697621970713377E-3</v>
      </c>
    </row>
    <row r="7" spans="1:18" x14ac:dyDescent="0.25">
      <c r="A7" s="4">
        <v>45300.705555555556</v>
      </c>
      <c r="B7" s="1">
        <v>127.61</v>
      </c>
      <c r="C7" s="1">
        <v>258.85000000000002</v>
      </c>
      <c r="D7" s="1">
        <v>10.49</v>
      </c>
      <c r="F7" s="1">
        <f t="shared" si="1"/>
        <v>-7.1578619777483699E-3</v>
      </c>
      <c r="G7" s="1">
        <f t="shared" si="0"/>
        <v>6.7675314067909831E-3</v>
      </c>
      <c r="H7" s="1">
        <f t="shared" si="0"/>
        <v>6.7178502879079449E-3</v>
      </c>
      <c r="K7" s="29" t="s">
        <v>9</v>
      </c>
      <c r="L7" s="29"/>
      <c r="M7" s="11">
        <f>L2*M2+L3*M3+L4*M4+L5*M5</f>
        <v>0.10849999999999999</v>
      </c>
      <c r="R7">
        <f t="shared" si="2"/>
        <v>5.1565280040783963E-4</v>
      </c>
    </row>
    <row r="8" spans="1:18" x14ac:dyDescent="0.25">
      <c r="A8" s="4">
        <v>45301.705555555556</v>
      </c>
      <c r="B8" s="1">
        <v>127.02</v>
      </c>
      <c r="C8" s="1">
        <v>259.27999999999997</v>
      </c>
      <c r="D8" s="1">
        <v>10.44</v>
      </c>
      <c r="F8" s="1">
        <f t="shared" si="1"/>
        <v>-4.6234621111198582E-3</v>
      </c>
      <c r="G8" s="1">
        <f t="shared" si="0"/>
        <v>1.6611937415489386E-3</v>
      </c>
      <c r="H8" s="1">
        <f t="shared" si="0"/>
        <v>-4.7664442326025291E-3</v>
      </c>
      <c r="R8">
        <f t="shared" si="2"/>
        <v>-1.6615517710886207E-3</v>
      </c>
    </row>
    <row r="9" spans="1:18" x14ac:dyDescent="0.25">
      <c r="A9" s="4">
        <v>45302.705555555556</v>
      </c>
      <c r="B9" s="1">
        <v>126.82</v>
      </c>
      <c r="C9" s="1">
        <v>258.2</v>
      </c>
      <c r="D9" s="1">
        <v>10.42</v>
      </c>
      <c r="F9" s="1">
        <f t="shared" si="1"/>
        <v>-1.57455518815941E-3</v>
      </c>
      <c r="G9" s="1">
        <f t="shared" si="0"/>
        <v>-4.1653810552297887E-3</v>
      </c>
      <c r="H9" s="1">
        <f t="shared" si="0"/>
        <v>-1.9157088122604415E-3</v>
      </c>
      <c r="K9" s="31" t="s">
        <v>12</v>
      </c>
      <c r="L9" s="31"/>
      <c r="M9" s="7">
        <f>_xlfn.STDEV.S(R3:R498)</f>
        <v>5.1965299009006215E-3</v>
      </c>
      <c r="R9">
        <f t="shared" si="2"/>
        <v>-2.487545378581724E-3</v>
      </c>
    </row>
    <row r="10" spans="1:18" x14ac:dyDescent="0.25">
      <c r="A10" s="4">
        <v>45303.705555555556</v>
      </c>
      <c r="B10" s="1">
        <v>127.14</v>
      </c>
      <c r="C10" s="1">
        <v>257.48</v>
      </c>
      <c r="D10" s="1">
        <v>10.48</v>
      </c>
      <c r="F10" s="1">
        <f t="shared" si="1"/>
        <v>2.5232613152499361E-3</v>
      </c>
      <c r="G10" s="1">
        <f t="shared" si="0"/>
        <v>-2.788536018590082E-3</v>
      </c>
      <c r="H10" s="1">
        <f t="shared" si="0"/>
        <v>5.7581573896352545E-3</v>
      </c>
      <c r="R10">
        <f t="shared" si="2"/>
        <v>4.6970585762746682E-4</v>
      </c>
    </row>
    <row r="11" spans="1:18" x14ac:dyDescent="0.25">
      <c r="A11" s="4">
        <v>45306.705555555556</v>
      </c>
      <c r="B11" s="1">
        <v>127.65</v>
      </c>
      <c r="C11" s="1">
        <v>258.11</v>
      </c>
      <c r="D11" s="1">
        <v>10.64</v>
      </c>
      <c r="F11" s="1">
        <f t="shared" si="1"/>
        <v>4.0113260972156617E-3</v>
      </c>
      <c r="G11" s="1">
        <f t="shared" si="0"/>
        <v>2.4467919838433438E-3</v>
      </c>
      <c r="H11" s="1">
        <f t="shared" si="0"/>
        <v>1.5267175572519109E-2</v>
      </c>
      <c r="K11" s="29" t="s">
        <v>13</v>
      </c>
      <c r="L11" s="29"/>
      <c r="M11" s="14">
        <f>M7-1.65*M9*SQRT(252)</f>
        <v>-2.7612385403112255E-2</v>
      </c>
      <c r="N11" s="14">
        <f>_xlfn.PERCENTILE.INC(R3:R498,0.05)*SQRT(252)</f>
        <v>-0.12282954058869322</v>
      </c>
      <c r="R11">
        <f t="shared" si="2"/>
        <v>4.1099647896755132E-3</v>
      </c>
    </row>
    <row r="12" spans="1:18" x14ac:dyDescent="0.25">
      <c r="A12" s="4">
        <v>45307.705555555556</v>
      </c>
      <c r="B12" s="1">
        <v>125.56</v>
      </c>
      <c r="C12" s="1">
        <v>260.27999999999997</v>
      </c>
      <c r="D12" s="1">
        <v>10.53</v>
      </c>
      <c r="F12" s="1">
        <f t="shared" si="1"/>
        <v>-1.6372894633764234E-2</v>
      </c>
      <c r="G12" s="1">
        <f t="shared" si="0"/>
        <v>8.4072682189761938E-3</v>
      </c>
      <c r="H12" s="1">
        <f t="shared" si="0"/>
        <v>-1.0338345864661758E-2</v>
      </c>
      <c r="K12" s="29" t="s">
        <v>14</v>
      </c>
      <c r="L12" s="29"/>
      <c r="M12" s="14">
        <f>M7-2.33*M9*SQRT(252)</f>
        <v>-8.3707186660152477E-2</v>
      </c>
      <c r="N12" s="14">
        <f>_xlfn.PERCENTILE.INC(R3:R498,0.01)*SQRT(252)</f>
        <v>-0.19286072785431899</v>
      </c>
      <c r="R12">
        <f t="shared" si="2"/>
        <v>-4.2200851523813924E-3</v>
      </c>
    </row>
    <row r="13" spans="1:18" x14ac:dyDescent="0.25">
      <c r="A13" s="4">
        <v>45308.705555555556</v>
      </c>
      <c r="B13" s="1">
        <v>124.77</v>
      </c>
      <c r="C13" s="1">
        <v>259</v>
      </c>
      <c r="D13" s="1">
        <v>10.44</v>
      </c>
      <c r="F13" s="1">
        <f t="shared" si="1"/>
        <v>-6.2918126791972062E-3</v>
      </c>
      <c r="G13" s="1">
        <f t="shared" si="0"/>
        <v>-4.9177808513907184E-3</v>
      </c>
      <c r="H13" s="1">
        <f t="shared" si="0"/>
        <v>-8.5470085470085166E-3</v>
      </c>
      <c r="R13">
        <f t="shared" si="2"/>
        <v>-5.3385382669360222E-3</v>
      </c>
    </row>
    <row r="14" spans="1:18" x14ac:dyDescent="0.25">
      <c r="A14" s="4">
        <v>45309.705555555556</v>
      </c>
      <c r="B14" s="1">
        <v>123.61</v>
      </c>
      <c r="C14" s="1">
        <v>261.02</v>
      </c>
      <c r="D14" s="1">
        <v>10.51</v>
      </c>
      <c r="F14" s="1">
        <f t="shared" si="1"/>
        <v>-9.2971066762843613E-3</v>
      </c>
      <c r="G14" s="1">
        <f t="shared" si="0"/>
        <v>7.7992277992278147E-3</v>
      </c>
      <c r="H14" s="1">
        <f t="shared" si="0"/>
        <v>6.7049808429118229E-3</v>
      </c>
      <c r="K14" s="8" t="s">
        <v>15</v>
      </c>
      <c r="L14" s="8" t="s">
        <v>16</v>
      </c>
      <c r="M14" s="8" t="s">
        <v>17</v>
      </c>
      <c r="N14" s="8" t="s">
        <v>18</v>
      </c>
      <c r="R14">
        <f t="shared" si="2"/>
        <v>7.1346533468563287E-5</v>
      </c>
    </row>
    <row r="15" spans="1:18" x14ac:dyDescent="0.25">
      <c r="A15" s="4">
        <v>45310.705555555556</v>
      </c>
      <c r="B15" s="1">
        <v>123.88</v>
      </c>
      <c r="C15" s="1">
        <v>264.43</v>
      </c>
      <c r="D15" s="1">
        <v>10.54</v>
      </c>
      <c r="F15" s="1">
        <f t="shared" si="1"/>
        <v>2.1842892969823335E-3</v>
      </c>
      <c r="G15" s="1">
        <f t="shared" si="0"/>
        <v>1.3064133016627233E-2</v>
      </c>
      <c r="H15" s="1">
        <f t="shared" si="0"/>
        <v>2.8544243577544037E-3</v>
      </c>
      <c r="K15" s="7" t="s">
        <v>19</v>
      </c>
      <c r="L15" s="9">
        <v>0.104</v>
      </c>
      <c r="M15" s="9">
        <v>-4.8899999999999999E-2</v>
      </c>
      <c r="N15" s="16">
        <v>-0.1119</v>
      </c>
      <c r="R15">
        <f t="shared" si="2"/>
        <v>6.3848113612192678E-3</v>
      </c>
    </row>
    <row r="16" spans="1:18" x14ac:dyDescent="0.25">
      <c r="A16" s="4">
        <v>45313.705555555556</v>
      </c>
      <c r="B16" s="1">
        <v>122.91</v>
      </c>
      <c r="C16" s="1">
        <v>268.32</v>
      </c>
      <c r="D16" s="1">
        <v>10.61</v>
      </c>
      <c r="F16" s="1">
        <f t="shared" si="1"/>
        <v>-7.8301582176300011E-3</v>
      </c>
      <c r="G16" s="1">
        <f t="shared" si="0"/>
        <v>1.4710887569489017E-2</v>
      </c>
      <c r="H16" s="1">
        <f t="shared" si="0"/>
        <v>6.6413662239088733E-3</v>
      </c>
      <c r="K16" s="7" t="s">
        <v>20</v>
      </c>
      <c r="L16" s="9">
        <v>0.1033</v>
      </c>
      <c r="M16" s="9">
        <v>-4.2799999999999998E-2</v>
      </c>
      <c r="N16" s="16">
        <v>-0.10290000000000001</v>
      </c>
      <c r="R16">
        <f t="shared" si="2"/>
        <v>3.4164283631344934E-3</v>
      </c>
    </row>
    <row r="17" spans="1:18" x14ac:dyDescent="0.25">
      <c r="A17" s="4">
        <v>45314.705555555556</v>
      </c>
      <c r="B17" s="1">
        <v>124.45</v>
      </c>
      <c r="C17" s="1">
        <v>267.48</v>
      </c>
      <c r="D17" s="1">
        <v>10.58</v>
      </c>
      <c r="F17" s="1">
        <f t="shared" si="1"/>
        <v>1.2529493125050806E-2</v>
      </c>
      <c r="G17" s="1">
        <f t="shared" si="0"/>
        <v>-3.1305903398926027E-3</v>
      </c>
      <c r="H17" s="1">
        <f t="shared" si="0"/>
        <v>-2.827521206408945E-3</v>
      </c>
      <c r="K17" s="7" t="s">
        <v>21</v>
      </c>
      <c r="L17" s="9">
        <v>0.105</v>
      </c>
      <c r="M17" s="9">
        <v>-2.9100000000000001E-2</v>
      </c>
      <c r="N17" s="9">
        <v>-8.4400000000000003E-2</v>
      </c>
      <c r="R17">
        <f t="shared" si="2"/>
        <v>3.4768089934223865E-3</v>
      </c>
    </row>
    <row r="18" spans="1:18" x14ac:dyDescent="0.25">
      <c r="A18" s="4">
        <v>45315.705555555556</v>
      </c>
      <c r="B18" s="1">
        <v>124.08</v>
      </c>
      <c r="C18" s="1">
        <v>266.35000000000002</v>
      </c>
      <c r="D18" s="1">
        <v>10.46</v>
      </c>
      <c r="F18" s="1">
        <f t="shared" si="1"/>
        <v>-2.9730815588590032E-3</v>
      </c>
      <c r="G18" s="1">
        <f t="shared" si="0"/>
        <v>-4.224614924480341E-3</v>
      </c>
      <c r="H18" s="1">
        <f t="shared" si="0"/>
        <v>-1.1342155009451682E-2</v>
      </c>
      <c r="K18" s="10" t="s">
        <v>22</v>
      </c>
      <c r="L18" s="17">
        <v>0.10680000000000001</v>
      </c>
      <c r="M18" s="17">
        <v>-2.3900000000000001E-2</v>
      </c>
      <c r="N18" s="17">
        <v>-7.7700000000000005E-2</v>
      </c>
      <c r="O18" s="32" t="s">
        <v>24</v>
      </c>
      <c r="P18" s="33"/>
      <c r="R18">
        <f t="shared" si="2"/>
        <v>-4.0132940942809057E-3</v>
      </c>
    </row>
    <row r="19" spans="1:18" x14ac:dyDescent="0.25">
      <c r="A19" s="4">
        <v>45316.705555555556</v>
      </c>
      <c r="B19" s="1">
        <v>124.39</v>
      </c>
      <c r="C19" s="1">
        <v>267.08</v>
      </c>
      <c r="D19" s="1">
        <v>10.47</v>
      </c>
      <c r="F19" s="1">
        <f t="shared" si="1"/>
        <v>2.4983881366860139E-3</v>
      </c>
      <c r="G19" s="1">
        <f t="shared" si="1"/>
        <v>2.7407546461422072E-3</v>
      </c>
      <c r="H19" s="1">
        <f t="shared" si="1"/>
        <v>9.5602294455066072E-4</v>
      </c>
      <c r="K19" s="7" t="s">
        <v>23</v>
      </c>
      <c r="L19" s="9">
        <v>0.1085</v>
      </c>
      <c r="M19" s="9">
        <v>-2.76E-2</v>
      </c>
      <c r="N19" s="9">
        <v>-8.3699999999999997E-2</v>
      </c>
      <c r="O19" s="32" t="s">
        <v>25</v>
      </c>
      <c r="P19" s="33"/>
      <c r="R19">
        <f t="shared" si="2"/>
        <v>2.1912594075863545E-3</v>
      </c>
    </row>
    <row r="20" spans="1:18" x14ac:dyDescent="0.25">
      <c r="A20" s="4">
        <v>45317.705555555556</v>
      </c>
      <c r="B20" s="1">
        <v>125.16</v>
      </c>
      <c r="C20" s="1">
        <v>266.83</v>
      </c>
      <c r="D20" s="1">
        <v>10.45</v>
      </c>
      <c r="F20" s="1">
        <f t="shared" si="1"/>
        <v>6.190208216094506E-3</v>
      </c>
      <c r="G20" s="1">
        <f t="shared" si="1"/>
        <v>-9.360491238580293E-4</v>
      </c>
      <c r="H20" s="1">
        <f t="shared" si="1"/>
        <v>-1.9102196752628364E-3</v>
      </c>
      <c r="R20">
        <f t="shared" si="2"/>
        <v>1.9106416693683073E-3</v>
      </c>
    </row>
    <row r="21" spans="1:18" x14ac:dyDescent="0.25">
      <c r="A21" s="4">
        <v>45320.705555555556</v>
      </c>
      <c r="B21" s="1">
        <v>124.74</v>
      </c>
      <c r="C21" s="1">
        <v>270.5</v>
      </c>
      <c r="D21" s="1">
        <v>10.6</v>
      </c>
      <c r="F21" s="1">
        <f t="shared" si="1"/>
        <v>-3.3557046979866278E-3</v>
      </c>
      <c r="G21" s="1">
        <f t="shared" si="1"/>
        <v>1.3754075628677587E-2</v>
      </c>
      <c r="H21" s="1">
        <f t="shared" si="1"/>
        <v>1.4354066985645897E-2</v>
      </c>
      <c r="K21" s="8" t="s">
        <v>15</v>
      </c>
      <c r="L21" s="8" t="s">
        <v>16</v>
      </c>
      <c r="M21" s="8" t="s">
        <v>17</v>
      </c>
      <c r="N21" s="8" t="s">
        <v>18</v>
      </c>
      <c r="R21">
        <f t="shared" si="2"/>
        <v>5.5947550708409736E-3</v>
      </c>
    </row>
    <row r="22" spans="1:18" x14ac:dyDescent="0.25">
      <c r="A22" s="4">
        <v>45321.705555555556</v>
      </c>
      <c r="B22" s="1">
        <v>123.7</v>
      </c>
      <c r="C22" s="1">
        <v>270.13</v>
      </c>
      <c r="D22" s="1">
        <v>10.62</v>
      </c>
      <c r="F22" s="1">
        <f t="shared" si="1"/>
        <v>-8.3373416706749026E-3</v>
      </c>
      <c r="G22" s="1">
        <f t="shared" si="1"/>
        <v>-1.367837338262512E-3</v>
      </c>
      <c r="H22" s="1">
        <f t="shared" si="1"/>
        <v>1.8867924528300772E-3</v>
      </c>
      <c r="K22" s="7" t="s">
        <v>19</v>
      </c>
      <c r="L22" s="9">
        <v>0.104</v>
      </c>
      <c r="M22" s="16">
        <v>-0.1336</v>
      </c>
      <c r="N22" s="16">
        <v>-0.1898</v>
      </c>
      <c r="R22">
        <f t="shared" si="2"/>
        <v>-3.6933923582919584E-3</v>
      </c>
    </row>
    <row r="23" spans="1:18" x14ac:dyDescent="0.25">
      <c r="A23" s="4">
        <v>45322.705555555556</v>
      </c>
      <c r="B23" s="1">
        <v>123.99</v>
      </c>
      <c r="C23" s="1">
        <v>266.62</v>
      </c>
      <c r="D23" s="1">
        <v>10.64</v>
      </c>
      <c r="F23" s="1">
        <f t="shared" si="1"/>
        <v>2.3443815683104052E-3</v>
      </c>
      <c r="G23" s="1">
        <f t="shared" si="1"/>
        <v>-1.2993743753007769E-2</v>
      </c>
      <c r="H23" s="1">
        <f t="shared" si="1"/>
        <v>1.8832391713747842E-3</v>
      </c>
      <c r="K23" s="7" t="s">
        <v>20</v>
      </c>
      <c r="L23" s="9">
        <v>0.1033</v>
      </c>
      <c r="M23" s="16">
        <v>-0.12970000000000001</v>
      </c>
      <c r="N23" s="16">
        <v>-0.18840000000000001</v>
      </c>
      <c r="R23">
        <f t="shared" si="2"/>
        <v>-4.0714209567414674E-3</v>
      </c>
    </row>
    <row r="24" spans="1:18" x14ac:dyDescent="0.25">
      <c r="A24" s="4">
        <v>45323.705555555556</v>
      </c>
      <c r="B24" s="1">
        <v>124.7</v>
      </c>
      <c r="C24" s="1">
        <v>267.45</v>
      </c>
      <c r="D24" s="1">
        <v>10.64</v>
      </c>
      <c r="F24" s="1">
        <f t="shared" si="1"/>
        <v>5.7262682474392701E-3</v>
      </c>
      <c r="G24" s="1">
        <f t="shared" si="1"/>
        <v>3.1130447828369157E-3</v>
      </c>
      <c r="H24" s="1">
        <f t="shared" si="1"/>
        <v>0</v>
      </c>
      <c r="K24" s="7" t="s">
        <v>21</v>
      </c>
      <c r="L24" s="9">
        <v>0.105</v>
      </c>
      <c r="M24" s="16">
        <v>-0.1103</v>
      </c>
      <c r="N24" s="16">
        <v>-0.17599999999999999</v>
      </c>
      <c r="R24">
        <f t="shared" si="2"/>
        <v>3.5357252121104746E-3</v>
      </c>
    </row>
    <row r="25" spans="1:18" x14ac:dyDescent="0.25">
      <c r="A25" s="4">
        <v>45324.705555555556</v>
      </c>
      <c r="B25" s="1">
        <v>123.48</v>
      </c>
      <c r="C25" s="1">
        <v>273.01</v>
      </c>
      <c r="D25" s="1">
        <v>10.65</v>
      </c>
      <c r="F25" s="1">
        <f t="shared" si="1"/>
        <v>-9.7834803528468184E-3</v>
      </c>
      <c r="G25" s="1">
        <f t="shared" si="1"/>
        <v>2.0788932510749758E-2</v>
      </c>
      <c r="H25" s="1">
        <f t="shared" si="1"/>
        <v>9.3984962406024053E-4</v>
      </c>
      <c r="K25" s="10" t="s">
        <v>22</v>
      </c>
      <c r="L25" s="17">
        <v>0.10680000000000001</v>
      </c>
      <c r="M25" s="34">
        <v>-0.10630000000000001</v>
      </c>
      <c r="N25" s="34">
        <v>-0.18709999999999999</v>
      </c>
      <c r="O25" s="32" t="s">
        <v>24</v>
      </c>
      <c r="P25" s="33"/>
      <c r="R25">
        <f t="shared" si="2"/>
        <v>4.4961658255672004E-3</v>
      </c>
    </row>
    <row r="26" spans="1:18" x14ac:dyDescent="0.25">
      <c r="A26" s="4">
        <v>45327.705555555556</v>
      </c>
      <c r="B26" s="1">
        <v>123.84</v>
      </c>
      <c r="C26" s="1">
        <v>273.44</v>
      </c>
      <c r="D26" s="1">
        <v>10.63</v>
      </c>
      <c r="F26" s="1">
        <f t="shared" si="1"/>
        <v>2.9154518950438302E-3</v>
      </c>
      <c r="G26" s="1">
        <f t="shared" si="1"/>
        <v>1.5750338815427867E-3</v>
      </c>
      <c r="H26" s="1">
        <f t="shared" si="1"/>
        <v>-1.87793427230043E-3</v>
      </c>
      <c r="K26" s="7" t="s">
        <v>23</v>
      </c>
      <c r="L26" s="9">
        <v>0.1085</v>
      </c>
      <c r="M26" s="16">
        <v>-0.12280000000000001</v>
      </c>
      <c r="N26" s="16">
        <v>-0.19289999999999999</v>
      </c>
      <c r="O26" s="32" t="s">
        <v>25</v>
      </c>
      <c r="P26" s="33"/>
      <c r="R26">
        <f t="shared" si="2"/>
        <v>1.6084008834046041E-3</v>
      </c>
    </row>
    <row r="27" spans="1:18" x14ac:dyDescent="0.25">
      <c r="A27" s="4">
        <v>45328.705555555556</v>
      </c>
      <c r="B27" s="1">
        <v>126.52</v>
      </c>
      <c r="C27" s="1">
        <v>272.75</v>
      </c>
      <c r="D27" s="1">
        <v>10.64</v>
      </c>
      <c r="F27" s="1">
        <f t="shared" si="1"/>
        <v>2.1640826873384977E-2</v>
      </c>
      <c r="G27" s="1">
        <f t="shared" si="1"/>
        <v>-2.5234055002925082E-3</v>
      </c>
      <c r="H27" s="1">
        <f t="shared" si="1"/>
        <v>9.4073377234238365E-4</v>
      </c>
      <c r="R27">
        <f t="shared" si="2"/>
        <v>7.7410419264712258E-3</v>
      </c>
    </row>
    <row r="28" spans="1:18" x14ac:dyDescent="0.25">
      <c r="A28" s="4">
        <v>45329.705555555556</v>
      </c>
      <c r="B28" s="1">
        <v>126.15</v>
      </c>
      <c r="C28" s="1">
        <v>275.25</v>
      </c>
      <c r="D28" s="1">
        <v>10.66</v>
      </c>
      <c r="F28" s="1">
        <f t="shared" si="1"/>
        <v>-2.9244388239012542E-3</v>
      </c>
      <c r="G28" s="1">
        <f t="shared" si="1"/>
        <v>9.1659028414299293E-3</v>
      </c>
      <c r="H28" s="1">
        <f t="shared" si="1"/>
        <v>1.879699248120259E-3</v>
      </c>
      <c r="R28">
        <f t="shared" si="2"/>
        <v>2.6845555318234966E-3</v>
      </c>
    </row>
    <row r="29" spans="1:18" x14ac:dyDescent="0.25">
      <c r="A29" s="4">
        <v>45330.705555555556</v>
      </c>
      <c r="B29" s="1">
        <v>124.49</v>
      </c>
      <c r="C29" s="1">
        <v>277.14999999999998</v>
      </c>
      <c r="D29" s="1">
        <v>10.7</v>
      </c>
      <c r="F29" s="1">
        <f t="shared" si="1"/>
        <v>-1.3158937772493107E-2</v>
      </c>
      <c r="G29" s="1">
        <f t="shared" si="1"/>
        <v>6.9028156221615511E-3</v>
      </c>
      <c r="H29" s="1">
        <f t="shared" si="1"/>
        <v>3.7523452157597337E-3</v>
      </c>
      <c r="R29">
        <f t="shared" si="2"/>
        <v>-2.127214338556649E-3</v>
      </c>
    </row>
    <row r="30" spans="1:18" x14ac:dyDescent="0.25">
      <c r="A30" s="4">
        <v>45331.705555555556</v>
      </c>
      <c r="B30" s="1">
        <v>124.27</v>
      </c>
      <c r="C30" s="1">
        <v>276.25</v>
      </c>
      <c r="D30" s="1">
        <v>10.58</v>
      </c>
      <c r="F30" s="1">
        <f t="shared" si="1"/>
        <v>-1.7672102176881088E-3</v>
      </c>
      <c r="G30" s="1">
        <f t="shared" si="1"/>
        <v>-3.2473389861085167E-3</v>
      </c>
      <c r="H30" s="1">
        <f t="shared" si="1"/>
        <v>-1.121495327102795E-2</v>
      </c>
      <c r="R30">
        <f t="shared" si="2"/>
        <v>-3.127315008621445E-3</v>
      </c>
    </row>
    <row r="31" spans="1:18" x14ac:dyDescent="0.25">
      <c r="A31" s="4">
        <v>45336.705555555556</v>
      </c>
      <c r="B31" s="1">
        <v>123.31</v>
      </c>
      <c r="C31" s="1">
        <v>275.85000000000002</v>
      </c>
      <c r="D31" s="1">
        <v>10.44</v>
      </c>
      <c r="F31" s="1">
        <f t="shared" si="1"/>
        <v>-7.7251146696708517E-3</v>
      </c>
      <c r="G31" s="1">
        <f t="shared" si="1"/>
        <v>-1.44796380090495E-3</v>
      </c>
      <c r="H31" s="1">
        <f t="shared" si="1"/>
        <v>-1.3232514177693777E-2</v>
      </c>
      <c r="R31">
        <f t="shared" si="2"/>
        <v>-4.9924828059996988E-3</v>
      </c>
    </row>
    <row r="32" spans="1:18" x14ac:dyDescent="0.25">
      <c r="A32" s="4">
        <v>45337.705555555556</v>
      </c>
      <c r="B32" s="1">
        <v>124.03</v>
      </c>
      <c r="C32" s="1">
        <v>277.7</v>
      </c>
      <c r="D32" s="1">
        <v>10.51</v>
      </c>
      <c r="F32" s="1">
        <f t="shared" si="1"/>
        <v>5.8389425026357245E-3</v>
      </c>
      <c r="G32" s="1">
        <f t="shared" si="1"/>
        <v>6.7065434112740796E-3</v>
      </c>
      <c r="H32" s="1">
        <f t="shared" si="1"/>
        <v>6.7049808429118229E-3</v>
      </c>
      <c r="R32">
        <f t="shared" si="2"/>
        <v>5.6886924498551041E-3</v>
      </c>
    </row>
    <row r="33" spans="1:18" x14ac:dyDescent="0.25">
      <c r="A33" s="4">
        <v>45338.705555555556</v>
      </c>
      <c r="B33" s="1">
        <v>124.91</v>
      </c>
      <c r="C33" s="1">
        <v>276.35000000000002</v>
      </c>
      <c r="D33" s="1">
        <v>10.54</v>
      </c>
      <c r="F33" s="1">
        <f t="shared" si="1"/>
        <v>7.0950576473434168E-3</v>
      </c>
      <c r="G33" s="1">
        <f t="shared" si="1"/>
        <v>-4.8613611811305635E-3</v>
      </c>
      <c r="H33" s="1">
        <f t="shared" si="1"/>
        <v>2.8544243577544037E-3</v>
      </c>
      <c r="R33">
        <f t="shared" si="2"/>
        <v>1.1789210222605819E-3</v>
      </c>
    </row>
    <row r="34" spans="1:18" x14ac:dyDescent="0.25">
      <c r="A34" s="4">
        <v>45341.705555555556</v>
      </c>
      <c r="B34" s="1">
        <v>125.23</v>
      </c>
      <c r="C34" s="1">
        <v>276.7</v>
      </c>
      <c r="D34" s="1">
        <v>10.58</v>
      </c>
      <c r="F34" s="1">
        <f t="shared" si="1"/>
        <v>2.5618445280601865E-3</v>
      </c>
      <c r="G34" s="1">
        <f t="shared" si="1"/>
        <v>1.2665098606838843E-3</v>
      </c>
      <c r="H34" s="1">
        <f t="shared" si="1"/>
        <v>3.7950664136623402E-3</v>
      </c>
      <c r="R34">
        <f t="shared" si="2"/>
        <v>1.9108483968638622E-3</v>
      </c>
    </row>
    <row r="35" spans="1:18" x14ac:dyDescent="0.25">
      <c r="A35" s="4">
        <v>45342.705555555556</v>
      </c>
      <c r="B35" s="1">
        <v>126.08</v>
      </c>
      <c r="C35" s="1">
        <v>272.3</v>
      </c>
      <c r="D35" s="1">
        <v>10.51</v>
      </c>
      <c r="F35" s="1">
        <f t="shared" si="1"/>
        <v>6.7875109797970179E-3</v>
      </c>
      <c r="G35" s="1">
        <f t="shared" si="1"/>
        <v>-1.5901698590531144E-2</v>
      </c>
      <c r="H35" s="1">
        <f t="shared" si="1"/>
        <v>-6.6162570888469441E-3</v>
      </c>
      <c r="R35">
        <f t="shared" si="2"/>
        <v>-4.3073007531783444E-3</v>
      </c>
    </row>
    <row r="36" spans="1:18" x14ac:dyDescent="0.25">
      <c r="A36" s="4">
        <v>45343.705555555556</v>
      </c>
      <c r="B36" s="1">
        <v>126.21</v>
      </c>
      <c r="C36" s="1">
        <v>273.8</v>
      </c>
      <c r="D36" s="1">
        <v>10.52</v>
      </c>
      <c r="F36" s="1">
        <f t="shared" si="1"/>
        <v>1.0310913705582347E-3</v>
      </c>
      <c r="G36" s="1">
        <f t="shared" si="1"/>
        <v>5.5086301872935284E-3</v>
      </c>
      <c r="H36" s="1">
        <f t="shared" si="1"/>
        <v>9.5147478591806056E-4</v>
      </c>
      <c r="R36">
        <f t="shared" si="2"/>
        <v>2.7110361017325117E-3</v>
      </c>
    </row>
    <row r="37" spans="1:18" x14ac:dyDescent="0.25">
      <c r="A37" s="4">
        <v>45344.705555555556</v>
      </c>
      <c r="B37" s="1">
        <v>126.41</v>
      </c>
      <c r="C37" s="1">
        <v>280.3</v>
      </c>
      <c r="D37" s="1">
        <v>10.6</v>
      </c>
      <c r="F37" s="1">
        <f t="shared" si="1"/>
        <v>1.5846604864908631E-3</v>
      </c>
      <c r="G37" s="1">
        <f t="shared" si="1"/>
        <v>2.3739956172388554E-2</v>
      </c>
      <c r="H37" s="1">
        <f t="shared" si="1"/>
        <v>7.6045627376426506E-3</v>
      </c>
      <c r="R37">
        <f t="shared" si="2"/>
        <v>1.0890302937316033E-2</v>
      </c>
    </row>
    <row r="38" spans="1:18" x14ac:dyDescent="0.25">
      <c r="A38" s="4">
        <v>45345.705555555556</v>
      </c>
      <c r="B38" s="1">
        <v>125.64</v>
      </c>
      <c r="C38" s="1">
        <v>282.2</v>
      </c>
      <c r="D38" s="1">
        <v>10.72</v>
      </c>
      <c r="F38" s="1">
        <f t="shared" si="1"/>
        <v>-6.0912902460248386E-3</v>
      </c>
      <c r="G38" s="1">
        <f t="shared" si="1"/>
        <v>6.7784516589368682E-3</v>
      </c>
      <c r="H38" s="1">
        <f t="shared" si="1"/>
        <v>1.132075471698113E-2</v>
      </c>
      <c r="R38">
        <f t="shared" si="2"/>
        <v>1.4069400368629244E-3</v>
      </c>
    </row>
    <row r="39" spans="1:18" x14ac:dyDescent="0.25">
      <c r="A39" s="4">
        <v>45348.705555555556</v>
      </c>
      <c r="B39" s="1">
        <v>125.8</v>
      </c>
      <c r="C39" s="1">
        <v>280.42</v>
      </c>
      <c r="D39" s="1">
        <v>10.65</v>
      </c>
      <c r="F39" s="1">
        <f t="shared" si="1"/>
        <v>1.2734797835083356E-3</v>
      </c>
      <c r="G39" s="1">
        <f t="shared" si="1"/>
        <v>-6.3075832742734983E-3</v>
      </c>
      <c r="H39" s="1">
        <f t="shared" si="1"/>
        <v>-6.5298507462686617E-3</v>
      </c>
      <c r="R39">
        <f t="shared" si="2"/>
        <v>-2.6666264709329312E-3</v>
      </c>
    </row>
    <row r="40" spans="1:18" x14ac:dyDescent="0.25">
      <c r="A40" s="4">
        <v>45349.705555555556</v>
      </c>
      <c r="B40" s="1">
        <v>127.77</v>
      </c>
      <c r="C40" s="1">
        <v>278.2</v>
      </c>
      <c r="D40" s="1">
        <v>10.55</v>
      </c>
      <c r="F40" s="1">
        <f t="shared" si="1"/>
        <v>1.5659777424483323E-2</v>
      </c>
      <c r="G40" s="1">
        <f t="shared" si="1"/>
        <v>-7.9166963839955029E-3</v>
      </c>
      <c r="H40" s="1">
        <f t="shared" si="1"/>
        <v>-9.3896713615022609E-3</v>
      </c>
      <c r="R40">
        <f t="shared" si="2"/>
        <v>2.158265280044903E-3</v>
      </c>
    </row>
    <row r="41" spans="1:18" x14ac:dyDescent="0.25">
      <c r="A41" s="4">
        <v>45350.705555555556</v>
      </c>
      <c r="B41" s="1">
        <v>126.38</v>
      </c>
      <c r="C41" s="1">
        <v>279.95</v>
      </c>
      <c r="D41" s="1">
        <v>10.64</v>
      </c>
      <c r="F41" s="1">
        <f t="shared" si="1"/>
        <v>-1.0878923064882251E-2</v>
      </c>
      <c r="G41" s="1">
        <f t="shared" si="1"/>
        <v>6.2904385334292545E-3</v>
      </c>
      <c r="H41" s="1">
        <f t="shared" si="1"/>
        <v>8.5308056872037685E-3</v>
      </c>
      <c r="R41">
        <f t="shared" si="2"/>
        <v>-9.8231324386082201E-4</v>
      </c>
    </row>
    <row r="42" spans="1:18" x14ac:dyDescent="0.25">
      <c r="A42" s="4">
        <v>45351.705555555556</v>
      </c>
      <c r="B42" s="1">
        <v>125.27</v>
      </c>
      <c r="C42" s="1">
        <v>281.10000000000002</v>
      </c>
      <c r="D42" s="1">
        <v>10.7</v>
      </c>
      <c r="F42" s="1">
        <f t="shared" si="1"/>
        <v>-8.7830352903940367E-3</v>
      </c>
      <c r="G42" s="1">
        <f t="shared" si="1"/>
        <v>4.1078764065012319E-3</v>
      </c>
      <c r="H42" s="1">
        <f t="shared" si="1"/>
        <v>5.639097744360777E-3</v>
      </c>
      <c r="R42">
        <f t="shared" si="2"/>
        <v>-1.3061537791210446E-3</v>
      </c>
    </row>
    <row r="43" spans="1:18" x14ac:dyDescent="0.25">
      <c r="A43" s="4">
        <v>45352.705555555556</v>
      </c>
      <c r="B43" s="1">
        <v>125.39</v>
      </c>
      <c r="C43" s="1">
        <v>282.74</v>
      </c>
      <c r="D43" s="1">
        <v>10.87</v>
      </c>
      <c r="F43" s="1">
        <f t="shared" si="1"/>
        <v>9.5793086932238758E-4</v>
      </c>
      <c r="G43" s="1">
        <f t="shared" si="1"/>
        <v>5.8342226965493182E-3</v>
      </c>
      <c r="H43" s="1">
        <f t="shared" si="1"/>
        <v>1.5887850467289688E-2</v>
      </c>
      <c r="R43">
        <f t="shared" si="2"/>
        <v>4.3056464730776515E-3</v>
      </c>
    </row>
    <row r="44" spans="1:18" x14ac:dyDescent="0.25">
      <c r="A44" s="4">
        <v>45355.705555555556</v>
      </c>
      <c r="B44" s="1">
        <v>124.61</v>
      </c>
      <c r="C44" s="1">
        <v>282.33999999999997</v>
      </c>
      <c r="D44" s="1">
        <v>11.04</v>
      </c>
      <c r="F44" s="1">
        <f t="shared" si="1"/>
        <v>-6.220591753728355E-3</v>
      </c>
      <c r="G44" s="1">
        <f t="shared" si="1"/>
        <v>-1.4147273113108705E-3</v>
      </c>
      <c r="H44" s="1">
        <f t="shared" si="1"/>
        <v>1.5639374425022945E-2</v>
      </c>
      <c r="R44">
        <f t="shared" si="2"/>
        <v>-1.4901901835133958E-3</v>
      </c>
    </row>
    <row r="45" spans="1:18" x14ac:dyDescent="0.25">
      <c r="A45" s="4">
        <v>45356.705555555556</v>
      </c>
      <c r="B45" s="1">
        <v>124.35</v>
      </c>
      <c r="C45" s="1">
        <v>279.86</v>
      </c>
      <c r="D45" s="1">
        <v>11.14</v>
      </c>
      <c r="F45" s="1">
        <f t="shared" si="1"/>
        <v>-2.0865099109220742E-3</v>
      </c>
      <c r="G45" s="1">
        <f t="shared" si="1"/>
        <v>-8.7837359212296073E-3</v>
      </c>
      <c r="H45" s="1">
        <f t="shared" si="1"/>
        <v>9.0579710144929049E-3</v>
      </c>
      <c r="R45">
        <f t="shared" si="2"/>
        <v>-3.4423012314113827E-3</v>
      </c>
    </row>
    <row r="46" spans="1:18" x14ac:dyDescent="0.25">
      <c r="A46" s="4">
        <v>45357.705555555556</v>
      </c>
      <c r="B46" s="1">
        <v>125.09</v>
      </c>
      <c r="C46" s="1">
        <v>280.42</v>
      </c>
      <c r="D46" s="1">
        <v>11.19</v>
      </c>
      <c r="F46" s="1">
        <f t="shared" si="1"/>
        <v>5.9509449135506376E-3</v>
      </c>
      <c r="G46" s="1">
        <f t="shared" si="1"/>
        <v>2.0010005002502051E-3</v>
      </c>
      <c r="H46" s="1">
        <f t="shared" si="1"/>
        <v>4.488330341112956E-3</v>
      </c>
      <c r="R46">
        <f t="shared" si="2"/>
        <v>3.6296111996316329E-3</v>
      </c>
    </row>
    <row r="47" spans="1:18" x14ac:dyDescent="0.25">
      <c r="A47" s="4">
        <v>45358.705555555556</v>
      </c>
      <c r="B47" s="1">
        <v>124.6</v>
      </c>
      <c r="C47" s="1">
        <v>282.62</v>
      </c>
      <c r="D47" s="1">
        <v>11.23</v>
      </c>
      <c r="F47" s="1">
        <f t="shared" si="1"/>
        <v>-3.9171796306659568E-3</v>
      </c>
      <c r="G47" s="1">
        <f t="shared" si="1"/>
        <v>7.8453747949502883E-3</v>
      </c>
      <c r="H47" s="1">
        <f t="shared" si="1"/>
        <v>3.5746201966042612E-3</v>
      </c>
      <c r="R47">
        <f t="shared" si="2"/>
        <v>1.9287400853741587E-3</v>
      </c>
    </row>
    <row r="48" spans="1:18" x14ac:dyDescent="0.25">
      <c r="A48" s="4">
        <v>45359.705555555556</v>
      </c>
      <c r="B48" s="1">
        <v>123.38</v>
      </c>
      <c r="C48" s="1">
        <v>283.75</v>
      </c>
      <c r="D48" s="1">
        <v>11.43</v>
      </c>
      <c r="F48" s="1">
        <f t="shared" si="1"/>
        <v>-9.7913322632423583E-3</v>
      </c>
      <c r="G48" s="1">
        <f t="shared" si="1"/>
        <v>3.9983016063973587E-3</v>
      </c>
      <c r="H48" s="1">
        <f t="shared" si="1"/>
        <v>1.780943900267129E-2</v>
      </c>
      <c r="R48">
        <f t="shared" si="2"/>
        <v>-5.3626836247087158E-4</v>
      </c>
    </row>
    <row r="49" spans="1:18" x14ac:dyDescent="0.25">
      <c r="A49" s="4">
        <v>45362.705555555556</v>
      </c>
      <c r="B49" s="1">
        <v>122.45</v>
      </c>
      <c r="C49" s="1">
        <v>283.25</v>
      </c>
      <c r="D49" s="1">
        <v>11.44</v>
      </c>
      <c r="F49" s="1">
        <f t="shared" si="1"/>
        <v>-7.5376884422110324E-3</v>
      </c>
      <c r="G49" s="1">
        <f t="shared" si="1"/>
        <v>-1.7621145374449032E-3</v>
      </c>
      <c r="H49" s="1">
        <f t="shared" si="1"/>
        <v>8.7489063867018935E-4</v>
      </c>
      <c r="R49">
        <f t="shared" si="2"/>
        <v>-3.6324321279953557E-3</v>
      </c>
    </row>
    <row r="50" spans="1:18" x14ac:dyDescent="0.25">
      <c r="A50" s="4">
        <v>45363.705555555556</v>
      </c>
      <c r="B50" s="1">
        <v>123.89</v>
      </c>
      <c r="C50" s="1">
        <v>286.24</v>
      </c>
      <c r="D50" s="1">
        <v>11.3</v>
      </c>
      <c r="F50" s="1">
        <f t="shared" si="1"/>
        <v>1.1759902000816558E-2</v>
      </c>
      <c r="G50" s="1">
        <f t="shared" si="1"/>
        <v>1.0556045895851796E-2</v>
      </c>
      <c r="H50" s="1">
        <f t="shared" si="1"/>
        <v>-1.2237762237762184E-2</v>
      </c>
      <c r="R50">
        <f t="shared" si="2"/>
        <v>7.7026029348911231E-3</v>
      </c>
    </row>
    <row r="51" spans="1:18" x14ac:dyDescent="0.25">
      <c r="A51" s="4">
        <v>45364.705555555556</v>
      </c>
      <c r="B51" s="1">
        <v>124.24</v>
      </c>
      <c r="C51" s="1">
        <v>285.57</v>
      </c>
      <c r="D51" s="1">
        <v>11.39</v>
      </c>
      <c r="F51" s="1">
        <f t="shared" si="1"/>
        <v>2.8250867705221783E-3</v>
      </c>
      <c r="G51" s="1">
        <f t="shared" si="1"/>
        <v>-2.3406931246506835E-3</v>
      </c>
      <c r="H51" s="1">
        <f t="shared" si="1"/>
        <v>7.964601769911539E-3</v>
      </c>
      <c r="R51">
        <f t="shared" si="2"/>
        <v>9.9021763533975156E-4</v>
      </c>
    </row>
    <row r="52" spans="1:18" x14ac:dyDescent="0.25">
      <c r="A52" s="4">
        <v>45365.705555555556</v>
      </c>
      <c r="B52" s="1">
        <v>123.95</v>
      </c>
      <c r="C52" s="1">
        <v>285.75</v>
      </c>
      <c r="D52" s="1">
        <v>11.37</v>
      </c>
      <c r="F52" s="1">
        <f t="shared" si="1"/>
        <v>-2.3341918866709443E-3</v>
      </c>
      <c r="G52" s="1">
        <f t="shared" si="1"/>
        <v>6.3031831074700229E-4</v>
      </c>
      <c r="H52" s="1">
        <f t="shared" si="1"/>
        <v>-1.7559262510975504E-3</v>
      </c>
      <c r="R52">
        <f t="shared" si="2"/>
        <v>-8.5714205547933182E-4</v>
      </c>
    </row>
    <row r="53" spans="1:18" x14ac:dyDescent="0.25">
      <c r="A53" s="4">
        <v>45366.705555555556</v>
      </c>
      <c r="B53" s="1">
        <v>123.04</v>
      </c>
      <c r="C53" s="1">
        <v>284.39999999999998</v>
      </c>
      <c r="D53" s="1">
        <v>11.35</v>
      </c>
      <c r="F53" s="1">
        <f t="shared" si="1"/>
        <v>-7.3416700282371572E-3</v>
      </c>
      <c r="G53" s="1">
        <f t="shared" si="1"/>
        <v>-4.7244094488190225E-3</v>
      </c>
      <c r="H53" s="1">
        <f t="shared" si="1"/>
        <v>-1.7590149516270026E-3</v>
      </c>
      <c r="R53">
        <f t="shared" si="2"/>
        <v>-5.0023332859851725E-3</v>
      </c>
    </row>
    <row r="54" spans="1:18" x14ac:dyDescent="0.25">
      <c r="A54" s="4">
        <v>45369.705555555556</v>
      </c>
      <c r="B54" s="1">
        <v>123.23</v>
      </c>
      <c r="C54" s="1">
        <v>288</v>
      </c>
      <c r="D54" s="1">
        <v>11.42</v>
      </c>
      <c r="F54" s="1">
        <f t="shared" si="1"/>
        <v>1.5442132639791328E-3</v>
      </c>
      <c r="G54" s="1">
        <f t="shared" si="1"/>
        <v>1.2658227848101333E-2</v>
      </c>
      <c r="H54" s="1">
        <f t="shared" si="1"/>
        <v>6.1674008810572722E-3</v>
      </c>
      <c r="R54">
        <f t="shared" si="2"/>
        <v>6.2977165329379135E-3</v>
      </c>
    </row>
    <row r="55" spans="1:18" x14ac:dyDescent="0.25">
      <c r="A55" s="4">
        <v>45370.705555555556</v>
      </c>
      <c r="B55" s="1">
        <v>123.78</v>
      </c>
      <c r="C55" s="1">
        <v>289.52</v>
      </c>
      <c r="D55" s="1">
        <v>11.43</v>
      </c>
      <c r="F55" s="1">
        <f t="shared" si="1"/>
        <v>4.4631988963725888E-3</v>
      </c>
      <c r="G55" s="1">
        <f t="shared" si="1"/>
        <v>5.2777777777777146E-3</v>
      </c>
      <c r="H55" s="1">
        <f t="shared" si="1"/>
        <v>8.756567425569628E-4</v>
      </c>
      <c r="R55">
        <f t="shared" si="2"/>
        <v>3.9839563439158171E-3</v>
      </c>
    </row>
    <row r="56" spans="1:18" x14ac:dyDescent="0.25">
      <c r="A56" s="4">
        <v>45371.705555555556</v>
      </c>
      <c r="B56" s="1">
        <v>125.31</v>
      </c>
      <c r="C56" s="1">
        <v>288.75</v>
      </c>
      <c r="D56" s="1">
        <v>11.43</v>
      </c>
      <c r="F56" s="1">
        <f t="shared" si="1"/>
        <v>1.2360639844886112E-2</v>
      </c>
      <c r="G56" s="1">
        <f t="shared" si="1"/>
        <v>-2.6595744680850686E-3</v>
      </c>
      <c r="H56" s="1">
        <f t="shared" si="1"/>
        <v>0</v>
      </c>
      <c r="R56">
        <f t="shared" si="2"/>
        <v>3.8804261507204172E-3</v>
      </c>
    </row>
    <row r="57" spans="1:18" x14ac:dyDescent="0.25">
      <c r="A57" s="4">
        <v>45372.705555555556</v>
      </c>
      <c r="B57" s="1">
        <v>124.43</v>
      </c>
      <c r="C57" s="1">
        <v>289.3</v>
      </c>
      <c r="D57" s="1">
        <v>11.43</v>
      </c>
      <c r="F57" s="1">
        <f t="shared" si="1"/>
        <v>-7.0225839917005262E-3</v>
      </c>
      <c r="G57" s="1">
        <f t="shared" si="1"/>
        <v>1.9047619047618536E-3</v>
      </c>
      <c r="H57" s="1">
        <f t="shared" si="1"/>
        <v>0</v>
      </c>
      <c r="R57">
        <f t="shared" si="2"/>
        <v>-2.0471288347754693E-3</v>
      </c>
    </row>
    <row r="58" spans="1:18" x14ac:dyDescent="0.25">
      <c r="A58" s="4">
        <v>45373.705555555556</v>
      </c>
      <c r="B58" s="1">
        <v>123.35</v>
      </c>
      <c r="C58" s="1">
        <v>290.62</v>
      </c>
      <c r="D58" s="1">
        <v>11.38</v>
      </c>
      <c r="F58" s="1">
        <f t="shared" si="1"/>
        <v>-8.6795788796915074E-3</v>
      </c>
      <c r="G58" s="1">
        <f t="shared" si="1"/>
        <v>4.5627376425856347E-3</v>
      </c>
      <c r="H58" s="1">
        <f t="shared" si="1"/>
        <v>-4.3744531933507247E-3</v>
      </c>
      <c r="R58">
        <f t="shared" si="2"/>
        <v>-2.0841818141774217E-3</v>
      </c>
    </row>
    <row r="59" spans="1:18" x14ac:dyDescent="0.25">
      <c r="A59" s="4">
        <v>45376.705555555556</v>
      </c>
      <c r="B59" s="1">
        <v>123.23</v>
      </c>
      <c r="C59" s="1">
        <v>288.33</v>
      </c>
      <c r="D59" s="1">
        <v>11.37</v>
      </c>
      <c r="F59" s="1">
        <f t="shared" si="1"/>
        <v>-9.7284150790422075E-4</v>
      </c>
      <c r="G59" s="1">
        <f t="shared" si="1"/>
        <v>-7.8797054572982139E-3</v>
      </c>
      <c r="H59" s="1">
        <f t="shared" si="1"/>
        <v>-8.7873462214427267E-4</v>
      </c>
      <c r="R59">
        <f t="shared" si="2"/>
        <v>-3.628892248295401E-3</v>
      </c>
    </row>
    <row r="60" spans="1:18" x14ac:dyDescent="0.25">
      <c r="A60" s="4">
        <v>45377.705555555556</v>
      </c>
      <c r="B60" s="1">
        <v>123.17</v>
      </c>
      <c r="C60" s="1">
        <v>288</v>
      </c>
      <c r="D60" s="1">
        <v>11.42</v>
      </c>
      <c r="F60" s="1">
        <f t="shared" si="1"/>
        <v>-4.8689442505889247E-4</v>
      </c>
      <c r="G60" s="1">
        <f t="shared" si="1"/>
        <v>-1.1445219019872166E-3</v>
      </c>
      <c r="H60" s="1">
        <f t="shared" si="1"/>
        <v>4.3975373790678951E-3</v>
      </c>
      <c r="R60">
        <f t="shared" si="2"/>
        <v>-2.128127929116543E-4</v>
      </c>
    </row>
    <row r="61" spans="1:18" x14ac:dyDescent="0.25">
      <c r="A61" s="4">
        <v>45378.705555555556</v>
      </c>
      <c r="B61" s="1">
        <v>123.95</v>
      </c>
      <c r="C61" s="1">
        <v>290.66000000000003</v>
      </c>
      <c r="D61" s="1">
        <v>11.51</v>
      </c>
      <c r="F61" s="1">
        <f t="shared" si="1"/>
        <v>6.3327108873914018E-3</v>
      </c>
      <c r="G61" s="1">
        <f t="shared" si="1"/>
        <v>9.2361111111112226E-3</v>
      </c>
      <c r="H61" s="1">
        <f t="shared" si="1"/>
        <v>7.8809106830122211E-3</v>
      </c>
      <c r="R61">
        <f t="shared" si="2"/>
        <v>7.0156198677022719E-3</v>
      </c>
    </row>
    <row r="62" spans="1:18" x14ac:dyDescent="0.25">
      <c r="A62" s="4">
        <v>45379.705555555556</v>
      </c>
      <c r="B62" s="1">
        <v>124.37</v>
      </c>
      <c r="C62" s="1">
        <v>292.60000000000002</v>
      </c>
      <c r="D62" s="1">
        <v>11.72</v>
      </c>
      <c r="F62" s="1">
        <f t="shared" si="1"/>
        <v>3.3884630899556623E-3</v>
      </c>
      <c r="G62" s="1">
        <f t="shared" si="1"/>
        <v>6.6744650106653758E-3</v>
      </c>
      <c r="H62" s="1">
        <f t="shared" si="1"/>
        <v>1.8245004344048743E-2</v>
      </c>
      <c r="R62">
        <f t="shared" si="2"/>
        <v>5.8496716746532888E-3</v>
      </c>
    </row>
    <row r="63" spans="1:18" x14ac:dyDescent="0.25">
      <c r="A63" s="4">
        <v>45383.705555555556</v>
      </c>
      <c r="B63" s="1">
        <v>123.32</v>
      </c>
      <c r="C63" s="1">
        <v>294.7</v>
      </c>
      <c r="D63" s="1">
        <v>11.95</v>
      </c>
      <c r="F63" s="1">
        <f t="shared" si="1"/>
        <v>-8.4425504542897656E-3</v>
      </c>
      <c r="G63" s="1">
        <f t="shared" si="1"/>
        <v>7.1770334928229484E-3</v>
      </c>
      <c r="H63" s="1">
        <f t="shared" si="1"/>
        <v>1.9624573378839383E-2</v>
      </c>
      <c r="R63">
        <f t="shared" si="2"/>
        <v>1.4562505532972111E-3</v>
      </c>
    </row>
    <row r="64" spans="1:18" x14ac:dyDescent="0.25">
      <c r="A64" s="4">
        <v>45384.705555555556</v>
      </c>
      <c r="B64" s="1">
        <v>123.82</v>
      </c>
      <c r="C64" s="1">
        <v>292.7</v>
      </c>
      <c r="D64" s="1">
        <v>12.14</v>
      </c>
      <c r="F64" s="1">
        <f t="shared" si="1"/>
        <v>4.0544923775542863E-3</v>
      </c>
      <c r="G64" s="1">
        <f t="shared" si="1"/>
        <v>-6.7865626060400475E-3</v>
      </c>
      <c r="H64" s="1">
        <f t="shared" si="1"/>
        <v>1.58995815899583E-2</v>
      </c>
      <c r="R64">
        <f t="shared" si="2"/>
        <v>4.9713006760152521E-4</v>
      </c>
    </row>
    <row r="65" spans="1:18" x14ac:dyDescent="0.25">
      <c r="A65" s="4">
        <v>45385.705555555556</v>
      </c>
      <c r="B65" s="1">
        <v>123.62</v>
      </c>
      <c r="C65" s="1">
        <v>291.95</v>
      </c>
      <c r="D65" s="1">
        <v>12.16</v>
      </c>
      <c r="F65" s="1">
        <f t="shared" si="1"/>
        <v>-1.6152479405587838E-3</v>
      </c>
      <c r="G65" s="1">
        <f t="shared" si="1"/>
        <v>-2.5623505295524485E-3</v>
      </c>
      <c r="H65" s="1">
        <f t="shared" si="1"/>
        <v>1.6474464579900872E-3</v>
      </c>
      <c r="R65">
        <f t="shared" si="2"/>
        <v>-1.5062947422454841E-3</v>
      </c>
    </row>
    <row r="66" spans="1:18" x14ac:dyDescent="0.25">
      <c r="A66" s="4">
        <v>45386.705555555556</v>
      </c>
      <c r="B66" s="1">
        <v>123.72</v>
      </c>
      <c r="C66" s="1">
        <v>289.01</v>
      </c>
      <c r="D66" s="1">
        <v>12.16</v>
      </c>
      <c r="F66" s="1">
        <f t="shared" si="1"/>
        <v>8.0893059375508614E-4</v>
      </c>
      <c r="G66" s="1">
        <f t="shared" si="1"/>
        <v>-1.0070217502997081E-2</v>
      </c>
      <c r="H66" s="1">
        <f t="shared" si="1"/>
        <v>0</v>
      </c>
      <c r="R66">
        <f t="shared" si="2"/>
        <v>-3.704514763696798E-3</v>
      </c>
    </row>
    <row r="67" spans="1:18" x14ac:dyDescent="0.25">
      <c r="A67" s="4">
        <v>45387.705555555556</v>
      </c>
      <c r="B67" s="1">
        <v>123.12</v>
      </c>
      <c r="C67" s="1">
        <v>292.81</v>
      </c>
      <c r="D67" s="1">
        <v>12.43</v>
      </c>
      <c r="F67" s="1">
        <f t="shared" si="1"/>
        <v>-4.8496605237633439E-3</v>
      </c>
      <c r="G67" s="1">
        <f t="shared" si="1"/>
        <v>1.3148333967682779E-2</v>
      </c>
      <c r="H67" s="1">
        <f t="shared" si="1"/>
        <v>2.2203947368421018E-2</v>
      </c>
      <c r="R67">
        <f t="shared" si="2"/>
        <v>5.5398641144098759E-3</v>
      </c>
    </row>
    <row r="68" spans="1:18" x14ac:dyDescent="0.25">
      <c r="A68" s="4">
        <v>45390.705555555556</v>
      </c>
      <c r="B68" s="1">
        <v>125.06</v>
      </c>
      <c r="C68" s="1">
        <v>291</v>
      </c>
      <c r="D68" s="1">
        <v>12.4</v>
      </c>
      <c r="F68" s="1">
        <f t="shared" ref="F68:H131" si="3">(B68/B67)-1</f>
        <v>1.5756985055230599E-2</v>
      </c>
      <c r="G68" s="1">
        <f t="shared" si="3"/>
        <v>-6.1814828728526949E-3</v>
      </c>
      <c r="H68" s="1">
        <f t="shared" si="3"/>
        <v>-2.4135156878519748E-3</v>
      </c>
      <c r="R68">
        <f t="shared" si="2"/>
        <v>3.588849304165964E-3</v>
      </c>
    </row>
    <row r="69" spans="1:18" x14ac:dyDescent="0.25">
      <c r="A69" s="4">
        <v>45391.705555555556</v>
      </c>
      <c r="B69" s="1">
        <v>126.09</v>
      </c>
      <c r="C69" s="1">
        <v>290.2</v>
      </c>
      <c r="D69" s="1">
        <v>12.41</v>
      </c>
      <c r="F69" s="1">
        <f t="shared" si="3"/>
        <v>8.2360466975852642E-3</v>
      </c>
      <c r="G69" s="1">
        <f t="shared" si="3"/>
        <v>-2.7491408934707806E-3</v>
      </c>
      <c r="H69" s="1">
        <f t="shared" si="3"/>
        <v>8.0645161290315848E-4</v>
      </c>
      <c r="R69">
        <f t="shared" ref="R69:R132" si="4">$L$2*F69+G69*$L$3+H69*$L$4</f>
        <v>2.2754074829361096E-3</v>
      </c>
    </row>
    <row r="70" spans="1:18" x14ac:dyDescent="0.25">
      <c r="A70" s="4">
        <v>45392.705555555556</v>
      </c>
      <c r="B70" s="1">
        <v>124.37</v>
      </c>
      <c r="C70" s="1">
        <v>291</v>
      </c>
      <c r="D70" s="1">
        <v>12.44</v>
      </c>
      <c r="F70" s="1">
        <f t="shared" si="3"/>
        <v>-1.3641050043619596E-2</v>
      </c>
      <c r="G70" s="1">
        <f t="shared" si="3"/>
        <v>2.7567195037905279E-3</v>
      </c>
      <c r="H70" s="1">
        <f t="shared" si="3"/>
        <v>2.4174053182917099E-3</v>
      </c>
      <c r="R70">
        <f t="shared" si="4"/>
        <v>-4.1119916841024567E-3</v>
      </c>
    </row>
    <row r="71" spans="1:18" x14ac:dyDescent="0.25">
      <c r="A71" s="4">
        <v>45393.705555555556</v>
      </c>
      <c r="B71" s="1">
        <v>123.7</v>
      </c>
      <c r="C71" s="1">
        <v>294.10000000000002</v>
      </c>
      <c r="D71" s="1">
        <v>12.71</v>
      </c>
      <c r="F71" s="1">
        <f t="shared" si="3"/>
        <v>-5.387151242260968E-3</v>
      </c>
      <c r="G71" s="1">
        <f t="shared" si="3"/>
        <v>1.0652920962199497E-2</v>
      </c>
      <c r="H71" s="1">
        <f t="shared" si="3"/>
        <v>2.1704180064308742E-2</v>
      </c>
      <c r="R71">
        <f t="shared" si="4"/>
        <v>4.2767258944062855E-3</v>
      </c>
    </row>
    <row r="72" spans="1:18" x14ac:dyDescent="0.25">
      <c r="A72" s="4">
        <v>45394.705555555556</v>
      </c>
      <c r="B72" s="1">
        <v>122.31</v>
      </c>
      <c r="C72" s="1">
        <v>292.10000000000002</v>
      </c>
      <c r="D72" s="1">
        <v>12.64</v>
      </c>
      <c r="F72" s="1">
        <f t="shared" si="3"/>
        <v>-1.1236863379143092E-2</v>
      </c>
      <c r="G72" s="1">
        <f t="shared" si="3"/>
        <v>-6.8004080244814524E-3</v>
      </c>
      <c r="H72" s="1">
        <f t="shared" si="3"/>
        <v>-5.5074744295829925E-3</v>
      </c>
      <c r="R72">
        <f t="shared" si="4"/>
        <v>-7.7656560044081172E-3</v>
      </c>
    </row>
    <row r="73" spans="1:18" x14ac:dyDescent="0.25">
      <c r="A73" s="4">
        <v>45397.705555555556</v>
      </c>
      <c r="B73" s="1">
        <v>121.7</v>
      </c>
      <c r="C73" s="1">
        <v>291.55</v>
      </c>
      <c r="D73" s="1">
        <v>13.04</v>
      </c>
      <c r="F73" s="1">
        <f t="shared" si="3"/>
        <v>-4.9873272831330029E-3</v>
      </c>
      <c r="G73" s="1">
        <f t="shared" si="3"/>
        <v>-1.882916809311963E-3</v>
      </c>
      <c r="H73" s="1">
        <f t="shared" si="3"/>
        <v>3.1645569620253111E-2</v>
      </c>
      <c r="R73">
        <f t="shared" si="4"/>
        <v>4.1645932504732379E-4</v>
      </c>
    </row>
    <row r="74" spans="1:18" x14ac:dyDescent="0.25">
      <c r="A74" s="4">
        <v>45398.705555555556</v>
      </c>
      <c r="B74" s="1">
        <v>120.79</v>
      </c>
      <c r="C74" s="1">
        <v>295.81</v>
      </c>
      <c r="D74" s="1">
        <v>13.26</v>
      </c>
      <c r="F74" s="1">
        <f t="shared" si="3"/>
        <v>-7.4774034511092546E-3</v>
      </c>
      <c r="G74" s="1">
        <f t="shared" si="3"/>
        <v>1.46115589092779E-2</v>
      </c>
      <c r="H74" s="1">
        <f t="shared" si="3"/>
        <v>1.6871165644171793E-2</v>
      </c>
      <c r="R74">
        <f t="shared" si="4"/>
        <v>4.5407787476846369E-3</v>
      </c>
    </row>
    <row r="75" spans="1:18" x14ac:dyDescent="0.25">
      <c r="A75" s="4">
        <v>45399.705555555556</v>
      </c>
      <c r="B75" s="1">
        <v>120.56</v>
      </c>
      <c r="C75" s="1">
        <v>292.39999999999998</v>
      </c>
      <c r="D75" s="1">
        <v>13.13</v>
      </c>
      <c r="F75" s="1">
        <f t="shared" si="3"/>
        <v>-1.904131136683529E-3</v>
      </c>
      <c r="G75" s="1">
        <f t="shared" si="3"/>
        <v>-1.1527669788039652E-2</v>
      </c>
      <c r="H75" s="1">
        <f t="shared" si="3"/>
        <v>-9.8039215686274161E-3</v>
      </c>
      <c r="R75">
        <f t="shared" si="4"/>
        <v>-6.3531125267520137E-3</v>
      </c>
    </row>
    <row r="76" spans="1:18" x14ac:dyDescent="0.25">
      <c r="A76" s="4">
        <v>45400.705555555556</v>
      </c>
      <c r="B76" s="1">
        <v>120.58</v>
      </c>
      <c r="C76" s="1">
        <v>292.3</v>
      </c>
      <c r="D76" s="1">
        <v>13.15</v>
      </c>
      <c r="F76" s="1">
        <f t="shared" si="3"/>
        <v>1.6589250165899294E-4</v>
      </c>
      <c r="G76" s="1">
        <f t="shared" si="3"/>
        <v>-3.419972640217317E-4</v>
      </c>
      <c r="H76" s="1">
        <f t="shared" si="3"/>
        <v>1.5232292460014563E-3</v>
      </c>
      <c r="R76">
        <f t="shared" si="4"/>
        <v>8.1881019655050087E-5</v>
      </c>
    </row>
    <row r="77" spans="1:18" x14ac:dyDescent="0.25">
      <c r="A77" s="4">
        <v>45401.705555555556</v>
      </c>
      <c r="B77" s="1">
        <v>121.46</v>
      </c>
      <c r="C77" s="1">
        <v>287</v>
      </c>
      <c r="D77" s="1">
        <v>13.07</v>
      </c>
      <c r="F77" s="1">
        <f t="shared" si="3"/>
        <v>7.2980593796649895E-3</v>
      </c>
      <c r="G77" s="1">
        <f t="shared" si="3"/>
        <v>-1.8132056106739736E-2</v>
      </c>
      <c r="H77" s="1">
        <f t="shared" si="3"/>
        <v>-6.0836501901140316E-3</v>
      </c>
      <c r="R77">
        <f t="shared" si="4"/>
        <v>-4.9419637098413018E-3</v>
      </c>
    </row>
    <row r="78" spans="1:18" x14ac:dyDescent="0.25">
      <c r="A78" s="4">
        <v>45404.705555555556</v>
      </c>
      <c r="B78" s="1">
        <v>121.91</v>
      </c>
      <c r="C78" s="1">
        <v>288.29000000000002</v>
      </c>
      <c r="D78" s="1">
        <v>12.67</v>
      </c>
      <c r="F78" s="1">
        <f t="shared" si="3"/>
        <v>3.7049234315824631E-3</v>
      </c>
      <c r="G78" s="1">
        <f t="shared" si="3"/>
        <v>4.4947735191638305E-3</v>
      </c>
      <c r="H78" s="1">
        <f t="shared" si="3"/>
        <v>-3.0604437643458327E-2</v>
      </c>
      <c r="R78">
        <f t="shared" si="4"/>
        <v>2.1943501595268582E-4</v>
      </c>
    </row>
    <row r="79" spans="1:18" x14ac:dyDescent="0.25">
      <c r="A79" s="4">
        <v>45405.705555555556</v>
      </c>
      <c r="B79" s="1">
        <v>121.52</v>
      </c>
      <c r="C79" s="1">
        <v>289.7</v>
      </c>
      <c r="D79" s="1">
        <v>12.54</v>
      </c>
      <c r="F79" s="1">
        <f t="shared" si="3"/>
        <v>-3.1990812894758802E-3</v>
      </c>
      <c r="G79" s="1">
        <f t="shared" si="3"/>
        <v>4.8909084602308806E-3</v>
      </c>
      <c r="H79" s="1">
        <f t="shared" si="3"/>
        <v>-1.0260457774269982E-2</v>
      </c>
      <c r="R79">
        <f t="shared" si="4"/>
        <v>-3.4931490912499803E-4</v>
      </c>
    </row>
    <row r="80" spans="1:18" x14ac:dyDescent="0.25">
      <c r="A80" s="4">
        <v>45406.705555555556</v>
      </c>
      <c r="B80" s="1">
        <v>121.12</v>
      </c>
      <c r="C80" s="1">
        <v>289.73</v>
      </c>
      <c r="D80" s="1">
        <v>12.57</v>
      </c>
      <c r="F80" s="1">
        <f t="shared" si="3"/>
        <v>-3.2916392363395719E-3</v>
      </c>
      <c r="G80" s="1">
        <f t="shared" si="3"/>
        <v>1.0355540214024295E-4</v>
      </c>
      <c r="H80" s="1">
        <f t="shared" si="3"/>
        <v>2.3923444976077235E-3</v>
      </c>
      <c r="R80">
        <f t="shared" si="4"/>
        <v>-1.0359990839189594E-3</v>
      </c>
    </row>
    <row r="81" spans="1:18" x14ac:dyDescent="0.25">
      <c r="A81" s="4">
        <v>45407.705555555556</v>
      </c>
      <c r="B81" s="1">
        <v>121.02</v>
      </c>
      <c r="C81" s="1">
        <v>290.51</v>
      </c>
      <c r="D81" s="1">
        <v>12.67</v>
      </c>
      <c r="F81" s="1">
        <f t="shared" si="3"/>
        <v>-8.2562747688252891E-4</v>
      </c>
      <c r="G81" s="1">
        <f t="shared" si="3"/>
        <v>2.6921616677595406E-3</v>
      </c>
      <c r="H81" s="1">
        <f t="shared" si="3"/>
        <v>7.9554494828957267E-3</v>
      </c>
      <c r="R81">
        <f t="shared" si="4"/>
        <v>1.5421586246403773E-3</v>
      </c>
    </row>
    <row r="82" spans="1:18" x14ac:dyDescent="0.25">
      <c r="A82" s="4">
        <v>45408.705555555556</v>
      </c>
      <c r="B82" s="1">
        <v>122.82</v>
      </c>
      <c r="C82" s="1">
        <v>289.8</v>
      </c>
      <c r="D82" s="1">
        <v>12.62</v>
      </c>
      <c r="F82" s="1">
        <f t="shared" si="3"/>
        <v>1.4873574615765994E-2</v>
      </c>
      <c r="G82" s="1">
        <f t="shared" si="3"/>
        <v>-2.4439778320882732E-3</v>
      </c>
      <c r="H82" s="1">
        <f t="shared" si="3"/>
        <v>-3.9463299131807794E-3</v>
      </c>
      <c r="R82">
        <f t="shared" si="4"/>
        <v>4.577205722153011E-3</v>
      </c>
    </row>
    <row r="83" spans="1:18" x14ac:dyDescent="0.25">
      <c r="A83" s="4">
        <v>45411.705555555556</v>
      </c>
      <c r="B83" s="1">
        <v>123.63</v>
      </c>
      <c r="C83" s="1">
        <v>290.95</v>
      </c>
      <c r="D83" s="1">
        <v>12.56</v>
      </c>
      <c r="F83" s="1">
        <f t="shared" si="3"/>
        <v>6.595017098192546E-3</v>
      </c>
      <c r="G83" s="1">
        <f t="shared" si="3"/>
        <v>3.9682539682539542E-3</v>
      </c>
      <c r="H83" s="1">
        <f t="shared" si="3"/>
        <v>-4.7543581616480424E-3</v>
      </c>
      <c r="R83">
        <f t="shared" si="4"/>
        <v>3.7498726104137963E-3</v>
      </c>
    </row>
    <row r="84" spans="1:18" x14ac:dyDescent="0.25">
      <c r="A84" s="4">
        <v>45412.705555555556</v>
      </c>
      <c r="B84" s="1">
        <v>122.29</v>
      </c>
      <c r="C84" s="1">
        <v>291</v>
      </c>
      <c r="D84" s="1">
        <v>12.51</v>
      </c>
      <c r="F84" s="1">
        <f t="shared" si="3"/>
        <v>-1.083879317317793E-2</v>
      </c>
      <c r="G84" s="1">
        <f t="shared" si="3"/>
        <v>1.7185083347648344E-4</v>
      </c>
      <c r="H84" s="1">
        <f t="shared" si="3"/>
        <v>-3.9808917197452498E-3</v>
      </c>
      <c r="R84">
        <f t="shared" si="4"/>
        <v>-4.6648661078551035E-3</v>
      </c>
    </row>
    <row r="85" spans="1:18" x14ac:dyDescent="0.25">
      <c r="A85" s="4">
        <v>45414.705555555556</v>
      </c>
      <c r="B85" s="1">
        <v>123.4</v>
      </c>
      <c r="C85" s="1">
        <v>288</v>
      </c>
      <c r="D85" s="1">
        <v>12.4</v>
      </c>
      <c r="F85" s="1">
        <f t="shared" si="3"/>
        <v>9.0767846921253614E-3</v>
      </c>
      <c r="G85" s="1">
        <f t="shared" si="3"/>
        <v>-1.0309278350515427E-2</v>
      </c>
      <c r="H85" s="1">
        <f t="shared" si="3"/>
        <v>-8.7929656274979839E-3</v>
      </c>
      <c r="R85">
        <f t="shared" si="4"/>
        <v>-1.3722940261058241E-3</v>
      </c>
    </row>
    <row r="86" spans="1:18" x14ac:dyDescent="0.25">
      <c r="A86" s="4">
        <v>45415.705555555556</v>
      </c>
      <c r="B86" s="1">
        <v>124.78</v>
      </c>
      <c r="C86" s="1">
        <v>289.55</v>
      </c>
      <c r="D86" s="1">
        <v>12.28</v>
      </c>
      <c r="F86" s="1">
        <f t="shared" si="3"/>
        <v>1.1183144246353249E-2</v>
      </c>
      <c r="G86" s="1">
        <f t="shared" si="3"/>
        <v>5.3819444444445086E-3</v>
      </c>
      <c r="H86" s="1">
        <f t="shared" si="3"/>
        <v>-9.6774193548387899E-3</v>
      </c>
      <c r="R86">
        <f t="shared" si="4"/>
        <v>5.6582935408352238E-3</v>
      </c>
    </row>
    <row r="87" spans="1:18" x14ac:dyDescent="0.25">
      <c r="A87" s="4">
        <v>45418.705555555556</v>
      </c>
      <c r="B87" s="1">
        <v>124.73</v>
      </c>
      <c r="C87" s="1">
        <v>292.10000000000002</v>
      </c>
      <c r="D87" s="1">
        <v>12.4</v>
      </c>
      <c r="F87" s="1">
        <f t="shared" si="3"/>
        <v>-4.0070524122448603E-4</v>
      </c>
      <c r="G87" s="1">
        <f t="shared" si="3"/>
        <v>8.8067691245035107E-3</v>
      </c>
      <c r="H87" s="1">
        <f t="shared" si="3"/>
        <v>9.7719869706840434E-3</v>
      </c>
      <c r="R87">
        <f t="shared" si="4"/>
        <v>4.3396242503800139E-3</v>
      </c>
    </row>
    <row r="88" spans="1:18" x14ac:dyDescent="0.25">
      <c r="A88" s="4">
        <v>45419.705555555556</v>
      </c>
      <c r="B88" s="1">
        <v>125.43</v>
      </c>
      <c r="C88" s="1">
        <v>292.25</v>
      </c>
      <c r="D88" s="1">
        <v>12.34</v>
      </c>
      <c r="F88" s="1">
        <f t="shared" si="3"/>
        <v>5.6121221839173785E-3</v>
      </c>
      <c r="G88" s="1">
        <f t="shared" si="3"/>
        <v>5.1352276617588899E-4</v>
      </c>
      <c r="H88" s="1">
        <f t="shared" si="3"/>
        <v>-4.8387096774193949E-3</v>
      </c>
      <c r="R88">
        <f t="shared" si="4"/>
        <v>1.9663870122953678E-3</v>
      </c>
    </row>
    <row r="89" spans="1:18" x14ac:dyDescent="0.25">
      <c r="A89" s="4">
        <v>45420.705555555556</v>
      </c>
      <c r="B89" s="1">
        <v>125.7</v>
      </c>
      <c r="C89" s="1">
        <v>293.39999999999998</v>
      </c>
      <c r="D89" s="1">
        <v>12.36</v>
      </c>
      <c r="F89" s="1">
        <f t="shared" si="3"/>
        <v>2.1525950729490706E-3</v>
      </c>
      <c r="G89" s="1">
        <f t="shared" si="3"/>
        <v>3.9349871685199211E-3</v>
      </c>
      <c r="H89" s="1">
        <f t="shared" si="3"/>
        <v>1.6207455429497752E-3</v>
      </c>
      <c r="R89">
        <f t="shared" si="4"/>
        <v>2.5971074508825743E-3</v>
      </c>
    </row>
    <row r="90" spans="1:18" x14ac:dyDescent="0.25">
      <c r="A90" s="4">
        <v>45421.705555555556</v>
      </c>
      <c r="B90" s="1">
        <v>124.48</v>
      </c>
      <c r="C90" s="1">
        <v>298.3</v>
      </c>
      <c r="D90" s="1">
        <v>12.66</v>
      </c>
      <c r="F90" s="1">
        <f t="shared" si="3"/>
        <v>-9.7056483691329021E-3</v>
      </c>
      <c r="G90" s="1">
        <f t="shared" si="3"/>
        <v>1.670074982958436E-2</v>
      </c>
      <c r="H90" s="1">
        <f t="shared" si="3"/>
        <v>2.4271844660194164E-2</v>
      </c>
      <c r="R90">
        <f t="shared" si="4"/>
        <v>5.2252250501999995E-3</v>
      </c>
    </row>
    <row r="91" spans="1:18" x14ac:dyDescent="0.25">
      <c r="A91" s="4">
        <v>45422.705555555556</v>
      </c>
      <c r="B91" s="1">
        <v>123.9</v>
      </c>
      <c r="C91" s="1">
        <v>299.35000000000002</v>
      </c>
      <c r="D91" s="1">
        <v>12.84</v>
      </c>
      <c r="F91" s="1">
        <f t="shared" si="3"/>
        <v>-4.6593830334190622E-3</v>
      </c>
      <c r="G91" s="1">
        <f t="shared" si="3"/>
        <v>3.5199463627222372E-3</v>
      </c>
      <c r="H91" s="1">
        <f t="shared" si="3"/>
        <v>1.4218009478673022E-2</v>
      </c>
      <c r="R91">
        <f t="shared" si="4"/>
        <v>9.6602627958857173E-4</v>
      </c>
    </row>
    <row r="92" spans="1:18" x14ac:dyDescent="0.25">
      <c r="A92" s="4">
        <v>45425.705555555556</v>
      </c>
      <c r="B92" s="1">
        <v>124.41</v>
      </c>
      <c r="C92" s="1">
        <v>299.10000000000002</v>
      </c>
      <c r="D92" s="1">
        <v>12.68</v>
      </c>
      <c r="F92" s="1">
        <f t="shared" si="3"/>
        <v>4.1162227602904444E-3</v>
      </c>
      <c r="G92" s="1">
        <f t="shared" si="3"/>
        <v>-8.3514280942043051E-4</v>
      </c>
      <c r="H92" s="1">
        <f t="shared" si="3"/>
        <v>-1.2461059190031154E-2</v>
      </c>
      <c r="R92">
        <f t="shared" si="4"/>
        <v>6.6326061344890554E-5</v>
      </c>
    </row>
    <row r="93" spans="1:18" x14ac:dyDescent="0.25">
      <c r="A93" s="4">
        <v>45426.705555555556</v>
      </c>
      <c r="B93" s="1">
        <v>124.77</v>
      </c>
      <c r="C93" s="1">
        <v>299.3</v>
      </c>
      <c r="D93" s="1">
        <v>12.73</v>
      </c>
      <c r="F93" s="1">
        <f t="shared" si="3"/>
        <v>2.8936580660718914E-3</v>
      </c>
      <c r="G93" s="1">
        <f t="shared" si="3"/>
        <v>6.6867268472070585E-4</v>
      </c>
      <c r="H93" s="1">
        <f t="shared" si="3"/>
        <v>3.9432176656151174E-3</v>
      </c>
      <c r="R93">
        <f t="shared" si="4"/>
        <v>1.8192540668785506E-3</v>
      </c>
    </row>
    <row r="94" spans="1:18" x14ac:dyDescent="0.25">
      <c r="A94" s="4">
        <v>45427.705555555556</v>
      </c>
      <c r="B94" s="1">
        <v>124.32</v>
      </c>
      <c r="C94" s="1">
        <v>303.2</v>
      </c>
      <c r="D94" s="1">
        <v>12.91</v>
      </c>
      <c r="F94" s="1">
        <f t="shared" si="3"/>
        <v>-3.6066362106276229E-3</v>
      </c>
      <c r="G94" s="1">
        <f t="shared" si="3"/>
        <v>1.3030404276645369E-2</v>
      </c>
      <c r="H94" s="1">
        <f t="shared" si="3"/>
        <v>1.4139827179890041E-2</v>
      </c>
      <c r="R94">
        <f t="shared" si="4"/>
        <v>5.1834899443961024E-3</v>
      </c>
    </row>
    <row r="95" spans="1:18" x14ac:dyDescent="0.25">
      <c r="A95" s="4">
        <v>45428.705555555556</v>
      </c>
      <c r="B95" s="1">
        <v>124.54</v>
      </c>
      <c r="C95" s="1">
        <v>302.64999999999998</v>
      </c>
      <c r="D95" s="1">
        <v>12.85</v>
      </c>
      <c r="F95" s="1">
        <f t="shared" si="3"/>
        <v>1.7696267696267753E-3</v>
      </c>
      <c r="G95" s="1">
        <f t="shared" si="3"/>
        <v>-1.8139841688654679E-3</v>
      </c>
      <c r="H95" s="1">
        <f t="shared" si="3"/>
        <v>-4.6475600309837661E-3</v>
      </c>
      <c r="R95">
        <f t="shared" si="4"/>
        <v>-4.8249896279385353E-4</v>
      </c>
    </row>
    <row r="96" spans="1:18" x14ac:dyDescent="0.25">
      <c r="A96" s="4">
        <v>45429.705555555556</v>
      </c>
      <c r="B96" s="1">
        <v>124.42</v>
      </c>
      <c r="C96" s="1">
        <v>301.14</v>
      </c>
      <c r="D96" s="1">
        <v>12.98</v>
      </c>
      <c r="F96" s="1">
        <f t="shared" si="3"/>
        <v>-9.6354584872337945E-4</v>
      </c>
      <c r="G96" s="1">
        <f t="shared" si="3"/>
        <v>-4.9892615232115523E-3</v>
      </c>
      <c r="H96" s="1">
        <f t="shared" si="3"/>
        <v>1.0116731517509692E-2</v>
      </c>
      <c r="R96">
        <f t="shared" si="4"/>
        <v>-1.3694497970230038E-3</v>
      </c>
    </row>
    <row r="97" spans="1:18" x14ac:dyDescent="0.25">
      <c r="A97" s="4">
        <v>45432.705555555556</v>
      </c>
      <c r="B97" s="1">
        <v>124.04</v>
      </c>
      <c r="C97" s="1">
        <v>301.7</v>
      </c>
      <c r="D97" s="1">
        <v>13.03</v>
      </c>
      <c r="F97" s="1">
        <f t="shared" si="3"/>
        <v>-3.0541713550875649E-3</v>
      </c>
      <c r="G97" s="1">
        <f t="shared" si="3"/>
        <v>1.8596001859600975E-3</v>
      </c>
      <c r="H97" s="1">
        <f t="shared" si="3"/>
        <v>3.8520801232664326E-3</v>
      </c>
      <c r="R97">
        <f t="shared" si="4"/>
        <v>-9.2620455324343785E-5</v>
      </c>
    </row>
    <row r="98" spans="1:18" x14ac:dyDescent="0.25">
      <c r="A98" s="4">
        <v>45433.705555555556</v>
      </c>
      <c r="B98" s="1">
        <v>123.71</v>
      </c>
      <c r="C98" s="1">
        <v>303.08999999999997</v>
      </c>
      <c r="D98" s="1">
        <v>13.06</v>
      </c>
      <c r="F98" s="1">
        <f t="shared" si="3"/>
        <v>-2.6604321186715074E-3</v>
      </c>
      <c r="G98" s="1">
        <f t="shared" si="3"/>
        <v>4.6072257209148759E-3</v>
      </c>
      <c r="H98" s="1">
        <f t="shared" si="3"/>
        <v>2.3023791250960102E-3</v>
      </c>
      <c r="R98">
        <f t="shared" si="4"/>
        <v>1.0089553534069484E-3</v>
      </c>
    </row>
    <row r="99" spans="1:18" x14ac:dyDescent="0.25">
      <c r="A99" s="4">
        <v>45434.705555555556</v>
      </c>
      <c r="B99" s="1">
        <v>122.02</v>
      </c>
      <c r="C99" s="1">
        <v>304.61</v>
      </c>
      <c r="D99" s="1">
        <v>12.91</v>
      </c>
      <c r="F99" s="1">
        <f t="shared" si="3"/>
        <v>-1.366098132729765E-2</v>
      </c>
      <c r="G99" s="1">
        <f t="shared" si="3"/>
        <v>5.0150120426277756E-3</v>
      </c>
      <c r="H99" s="1">
        <f t="shared" si="3"/>
        <v>-1.1485451761102605E-2</v>
      </c>
      <c r="R99">
        <f t="shared" si="4"/>
        <v>-4.6069328899782103E-3</v>
      </c>
    </row>
    <row r="100" spans="1:18" x14ac:dyDescent="0.25">
      <c r="A100" s="4">
        <v>45435.705555555556</v>
      </c>
      <c r="B100" s="1">
        <v>121.11</v>
      </c>
      <c r="C100" s="1">
        <v>302.25</v>
      </c>
      <c r="D100" s="1">
        <v>12.65</v>
      </c>
      <c r="F100" s="1">
        <f t="shared" si="3"/>
        <v>-7.4577938042943437E-3</v>
      </c>
      <c r="G100" s="1">
        <f t="shared" si="3"/>
        <v>-7.7476117002068801E-3</v>
      </c>
      <c r="H100" s="1">
        <f t="shared" si="3"/>
        <v>-2.0139426800929505E-2</v>
      </c>
      <c r="R100">
        <f t="shared" si="4"/>
        <v>-8.09610488189344E-3</v>
      </c>
    </row>
    <row r="101" spans="1:18" x14ac:dyDescent="0.25">
      <c r="A101" s="4">
        <v>45436.705555555556</v>
      </c>
      <c r="B101" s="1">
        <v>120.69</v>
      </c>
      <c r="C101" s="1">
        <v>304.55</v>
      </c>
      <c r="D101" s="1">
        <v>12.69</v>
      </c>
      <c r="F101" s="1">
        <f t="shared" si="3"/>
        <v>-3.4679217240525251E-3</v>
      </c>
      <c r="G101" s="1">
        <f t="shared" si="3"/>
        <v>7.6095947063690161E-3</v>
      </c>
      <c r="H101" s="1">
        <f t="shared" si="3"/>
        <v>3.1620553359683612E-3</v>
      </c>
      <c r="R101">
        <f t="shared" si="4"/>
        <v>1.9728747265234329E-3</v>
      </c>
    </row>
    <row r="102" spans="1:18" x14ac:dyDescent="0.25">
      <c r="A102" s="4">
        <v>45439.705555555556</v>
      </c>
      <c r="B102" s="1">
        <v>120.86</v>
      </c>
      <c r="C102" s="1">
        <v>306.12</v>
      </c>
      <c r="D102" s="1">
        <v>12.85</v>
      </c>
      <c r="F102" s="1">
        <f t="shared" si="3"/>
        <v>1.4085674040931195E-3</v>
      </c>
      <c r="G102" s="1">
        <f t="shared" si="3"/>
        <v>5.1551469381054815E-3</v>
      </c>
      <c r="H102" s="1">
        <f t="shared" si="3"/>
        <v>1.2608353033884967E-2</v>
      </c>
      <c r="R102">
        <f t="shared" si="4"/>
        <v>3.8863210402679373E-3</v>
      </c>
    </row>
    <row r="103" spans="1:18" x14ac:dyDescent="0.25">
      <c r="A103" s="4">
        <v>45440.705555555556</v>
      </c>
      <c r="B103" s="1">
        <v>120.18</v>
      </c>
      <c r="C103" s="1">
        <v>304.61</v>
      </c>
      <c r="D103" s="1">
        <v>12.8</v>
      </c>
      <c r="F103" s="1">
        <f t="shared" si="3"/>
        <v>-5.6263445308620819E-3</v>
      </c>
      <c r="G103" s="1">
        <f t="shared" si="3"/>
        <v>-4.9327061283156448E-3</v>
      </c>
      <c r="H103" s="1">
        <f t="shared" si="3"/>
        <v>-3.8910505836574627E-3</v>
      </c>
      <c r="R103">
        <f t="shared" si="4"/>
        <v>-4.6127253220368371E-3</v>
      </c>
    </row>
    <row r="104" spans="1:18" x14ac:dyDescent="0.25">
      <c r="A104" s="4">
        <v>45441.705555555556</v>
      </c>
      <c r="B104" s="1">
        <v>119.15</v>
      </c>
      <c r="C104" s="1">
        <v>305.45</v>
      </c>
      <c r="D104" s="1">
        <v>12.8</v>
      </c>
      <c r="F104" s="1">
        <f t="shared" si="3"/>
        <v>-8.5704776169079899E-3</v>
      </c>
      <c r="G104" s="1">
        <f t="shared" si="3"/>
        <v>2.7576245034632851E-3</v>
      </c>
      <c r="H104" s="1">
        <f t="shared" si="3"/>
        <v>0</v>
      </c>
      <c r="R104">
        <f t="shared" si="4"/>
        <v>-2.3251412453778823E-3</v>
      </c>
    </row>
    <row r="105" spans="1:18" x14ac:dyDescent="0.25">
      <c r="A105" s="4">
        <v>45443.705555555556</v>
      </c>
      <c r="B105" s="1">
        <v>118.55</v>
      </c>
      <c r="C105" s="1">
        <v>308.2</v>
      </c>
      <c r="D105" s="1">
        <v>12.87</v>
      </c>
      <c r="F105" s="1">
        <f t="shared" si="3"/>
        <v>-5.0356693243811534E-3</v>
      </c>
      <c r="G105" s="1">
        <f t="shared" si="3"/>
        <v>9.0031101653298418E-3</v>
      </c>
      <c r="H105" s="1">
        <f t="shared" si="3"/>
        <v>5.4687499999999112E-3</v>
      </c>
      <c r="R105">
        <f t="shared" si="4"/>
        <v>2.1338513363794664E-3</v>
      </c>
    </row>
    <row r="106" spans="1:18" x14ac:dyDescent="0.25">
      <c r="A106" s="4">
        <v>45446.705555555556</v>
      </c>
      <c r="B106" s="1">
        <v>118.48</v>
      </c>
      <c r="C106" s="1">
        <v>308</v>
      </c>
      <c r="D106" s="1">
        <v>12.93</v>
      </c>
      <c r="F106" s="1">
        <f t="shared" si="3"/>
        <v>-5.904681568957848E-4</v>
      </c>
      <c r="G106" s="1">
        <f t="shared" si="3"/>
        <v>-6.489292667098967E-4</v>
      </c>
      <c r="H106" s="1">
        <f t="shared" si="3"/>
        <v>4.6620046620047262E-3</v>
      </c>
      <c r="R106">
        <f t="shared" si="4"/>
        <v>-2.9558503241800069E-5</v>
      </c>
    </row>
    <row r="107" spans="1:18" x14ac:dyDescent="0.25">
      <c r="A107" s="4">
        <v>45447.705555555556</v>
      </c>
      <c r="B107" s="1">
        <v>118.23</v>
      </c>
      <c r="C107" s="1">
        <v>311.3</v>
      </c>
      <c r="D107" s="1">
        <v>12.92</v>
      </c>
      <c r="F107" s="1">
        <f t="shared" si="3"/>
        <v>-2.1100607697501772E-3</v>
      </c>
      <c r="G107" s="1">
        <f t="shared" si="3"/>
        <v>1.0714285714285676E-2</v>
      </c>
      <c r="H107" s="1">
        <f t="shared" si="3"/>
        <v>-7.7339520494967839E-4</v>
      </c>
      <c r="R107">
        <f t="shared" si="4"/>
        <v>3.3643504573192314E-3</v>
      </c>
    </row>
    <row r="108" spans="1:18" x14ac:dyDescent="0.25">
      <c r="A108" s="4">
        <v>45448.705555555556</v>
      </c>
      <c r="B108" s="1">
        <v>117.88</v>
      </c>
      <c r="C108" s="1">
        <v>315.58</v>
      </c>
      <c r="D108" s="1">
        <v>13.13</v>
      </c>
      <c r="F108" s="1">
        <f t="shared" si="3"/>
        <v>-2.9603315571344879E-3</v>
      </c>
      <c r="G108" s="1">
        <f t="shared" si="3"/>
        <v>1.3748795374237011E-2</v>
      </c>
      <c r="H108" s="1">
        <f t="shared" si="3"/>
        <v>1.6253869969040213E-2</v>
      </c>
      <c r="R108">
        <f t="shared" si="4"/>
        <v>5.9407725237450304E-3</v>
      </c>
    </row>
    <row r="109" spans="1:18" x14ac:dyDescent="0.25">
      <c r="A109" s="4">
        <v>45449.705555555556</v>
      </c>
      <c r="B109" s="1">
        <v>119.3</v>
      </c>
      <c r="C109" s="1">
        <v>312.89999999999998</v>
      </c>
      <c r="D109" s="1">
        <v>13.1</v>
      </c>
      <c r="F109" s="1">
        <f t="shared" si="3"/>
        <v>1.2046148625721065E-2</v>
      </c>
      <c r="G109" s="1">
        <f t="shared" si="3"/>
        <v>-8.4922998922618564E-3</v>
      </c>
      <c r="H109" s="1">
        <f t="shared" si="3"/>
        <v>-2.2848438690024064E-3</v>
      </c>
      <c r="R109">
        <f t="shared" si="4"/>
        <v>1.1930551064834427E-3</v>
      </c>
    </row>
    <row r="110" spans="1:18" x14ac:dyDescent="0.25">
      <c r="A110" s="4">
        <v>45450.705555555556</v>
      </c>
      <c r="B110" s="1">
        <v>117.29</v>
      </c>
      <c r="C110" s="1">
        <v>317.02999999999997</v>
      </c>
      <c r="D110" s="1">
        <v>12.86</v>
      </c>
      <c r="F110" s="1">
        <f t="shared" si="3"/>
        <v>-1.6848281642916962E-2</v>
      </c>
      <c r="G110" s="1">
        <f t="shared" si="3"/>
        <v>1.3199105145413892E-2</v>
      </c>
      <c r="H110" s="1">
        <f t="shared" si="3"/>
        <v>-1.8320610687022953E-2</v>
      </c>
      <c r="R110">
        <f t="shared" si="4"/>
        <v>-3.2917316677035235E-3</v>
      </c>
    </row>
    <row r="111" spans="1:18" x14ac:dyDescent="0.25">
      <c r="A111" s="4">
        <v>45453.705555555556</v>
      </c>
      <c r="B111" s="1">
        <v>117.24</v>
      </c>
      <c r="C111" s="1">
        <v>320</v>
      </c>
      <c r="D111" s="1">
        <v>13.01</v>
      </c>
      <c r="F111" s="1">
        <f t="shared" si="3"/>
        <v>-4.2629380168823783E-4</v>
      </c>
      <c r="G111" s="1">
        <f t="shared" si="3"/>
        <v>9.3681985931932665E-3</v>
      </c>
      <c r="H111" s="1">
        <f t="shared" si="3"/>
        <v>1.1664074650077794E-2</v>
      </c>
      <c r="R111">
        <f t="shared" si="4"/>
        <v>4.7431693816097908E-3</v>
      </c>
    </row>
    <row r="112" spans="1:18" x14ac:dyDescent="0.25">
      <c r="A112" s="4">
        <v>45454.705555555556</v>
      </c>
      <c r="B112" s="1">
        <v>118.08</v>
      </c>
      <c r="C112" s="1">
        <v>320.52</v>
      </c>
      <c r="D112" s="1">
        <v>13.05</v>
      </c>
      <c r="F112" s="1">
        <f t="shared" si="3"/>
        <v>7.164790174002178E-3</v>
      </c>
      <c r="G112" s="1">
        <f t="shared" si="3"/>
        <v>1.6249999999999876E-3</v>
      </c>
      <c r="H112" s="1">
        <f t="shared" si="3"/>
        <v>3.0745580322828481E-3</v>
      </c>
      <c r="R112">
        <f t="shared" si="4"/>
        <v>3.8233718728291517E-3</v>
      </c>
    </row>
    <row r="113" spans="1:18" x14ac:dyDescent="0.25">
      <c r="A113" s="4">
        <v>45455.705555555556</v>
      </c>
      <c r="B113" s="1">
        <v>116.52</v>
      </c>
      <c r="C113" s="1">
        <v>326</v>
      </c>
      <c r="D113" s="1">
        <v>13.21</v>
      </c>
      <c r="F113" s="1">
        <f t="shared" si="3"/>
        <v>-1.3211382113821113E-2</v>
      </c>
      <c r="G113" s="1">
        <f t="shared" si="3"/>
        <v>1.7097217022338684E-2</v>
      </c>
      <c r="H113" s="1">
        <f t="shared" si="3"/>
        <v>1.2260536398467359E-2</v>
      </c>
      <c r="R113">
        <f t="shared" si="4"/>
        <v>2.7803876032537643E-3</v>
      </c>
    </row>
    <row r="114" spans="1:18" x14ac:dyDescent="0.25">
      <c r="A114" s="4">
        <v>45456.705555555556</v>
      </c>
      <c r="B114" s="1">
        <v>116.14</v>
      </c>
      <c r="C114" s="1">
        <v>324.7</v>
      </c>
      <c r="D114" s="1">
        <v>13</v>
      </c>
      <c r="F114" s="1">
        <f t="shared" si="3"/>
        <v>-3.2612427051149639E-3</v>
      </c>
      <c r="G114" s="1">
        <f t="shared" si="3"/>
        <v>-3.9877300613497813E-3</v>
      </c>
      <c r="H114" s="1">
        <f t="shared" si="3"/>
        <v>-1.5897047691143085E-2</v>
      </c>
      <c r="R114">
        <f t="shared" si="4"/>
        <v>-4.4892938757002069E-3</v>
      </c>
    </row>
    <row r="115" spans="1:18" x14ac:dyDescent="0.25">
      <c r="A115" s="4">
        <v>45457.705555555556</v>
      </c>
      <c r="B115" s="1">
        <v>116.23</v>
      </c>
      <c r="C115" s="1">
        <v>325.38</v>
      </c>
      <c r="D115" s="1">
        <v>13.19</v>
      </c>
      <c r="F115" s="1">
        <f t="shared" si="3"/>
        <v>7.7492681246771333E-4</v>
      </c>
      <c r="G115" s="1">
        <f t="shared" si="3"/>
        <v>2.0942408376962707E-3</v>
      </c>
      <c r="H115" s="1">
        <f t="shared" si="3"/>
        <v>1.4615384615384475E-2</v>
      </c>
      <c r="R115">
        <f t="shared" si="4"/>
        <v>2.6092055216040411E-3</v>
      </c>
    </row>
    <row r="116" spans="1:18" x14ac:dyDescent="0.25">
      <c r="A116" s="4">
        <v>45460.705555555556</v>
      </c>
      <c r="B116" s="1">
        <v>115.74</v>
      </c>
      <c r="C116" s="1">
        <v>330.1</v>
      </c>
      <c r="D116" s="1">
        <v>13.21</v>
      </c>
      <c r="F116" s="1">
        <f t="shared" si="3"/>
        <v>-4.215779058762914E-3</v>
      </c>
      <c r="G116" s="1">
        <f t="shared" si="3"/>
        <v>1.4506115925994267E-2</v>
      </c>
      <c r="H116" s="1">
        <f t="shared" si="3"/>
        <v>1.5163002274451998E-3</v>
      </c>
      <c r="R116">
        <f t="shared" si="4"/>
        <v>4.267764769637061E-3</v>
      </c>
    </row>
    <row r="117" spans="1:18" x14ac:dyDescent="0.25">
      <c r="A117" s="4">
        <v>45461.705555555556</v>
      </c>
      <c r="B117" s="1">
        <v>116.22</v>
      </c>
      <c r="C117" s="1">
        <v>331.93</v>
      </c>
      <c r="D117" s="1">
        <v>13.3</v>
      </c>
      <c r="F117" s="1">
        <f t="shared" si="3"/>
        <v>4.147226542249971E-3</v>
      </c>
      <c r="G117" s="1">
        <f t="shared" si="3"/>
        <v>5.5437746137534383E-3</v>
      </c>
      <c r="H117" s="1">
        <f t="shared" si="3"/>
        <v>6.8130204390612903E-3</v>
      </c>
      <c r="R117">
        <f t="shared" si="4"/>
        <v>4.5577025063074927E-3</v>
      </c>
    </row>
    <row r="118" spans="1:18" x14ac:dyDescent="0.25">
      <c r="A118" s="4">
        <v>45462.705555555556</v>
      </c>
      <c r="B118" s="1">
        <v>116.83</v>
      </c>
      <c r="C118" s="1">
        <v>332.75</v>
      </c>
      <c r="D118" s="1">
        <v>13.36</v>
      </c>
      <c r="F118" s="1">
        <f t="shared" si="3"/>
        <v>5.2486663224917685E-3</v>
      </c>
      <c r="G118" s="1">
        <f t="shared" si="3"/>
        <v>2.4704003856235168E-3</v>
      </c>
      <c r="H118" s="1">
        <f t="shared" si="3"/>
        <v>4.5112781954885772E-3</v>
      </c>
      <c r="R118">
        <f t="shared" si="4"/>
        <v>3.5387545027949717E-3</v>
      </c>
    </row>
    <row r="119" spans="1:18" x14ac:dyDescent="0.25">
      <c r="A119" s="4">
        <v>45463.705555555556</v>
      </c>
      <c r="B119" s="1">
        <v>117.02</v>
      </c>
      <c r="C119" s="1">
        <v>332.68</v>
      </c>
      <c r="D119" s="1">
        <v>13.54</v>
      </c>
      <c r="F119" s="1">
        <f t="shared" si="3"/>
        <v>1.6262946161087477E-3</v>
      </c>
      <c r="G119" s="1">
        <f t="shared" si="3"/>
        <v>-2.1036814425245964E-4</v>
      </c>
      <c r="H119" s="1">
        <f t="shared" si="3"/>
        <v>1.3473053892215647E-2</v>
      </c>
      <c r="R119">
        <f t="shared" si="4"/>
        <v>1.9136759779640798E-3</v>
      </c>
    </row>
    <row r="120" spans="1:18" x14ac:dyDescent="0.25">
      <c r="A120" s="4">
        <v>45464.705555555556</v>
      </c>
      <c r="B120" s="1">
        <v>117.89</v>
      </c>
      <c r="C120" s="1">
        <v>330.85</v>
      </c>
      <c r="D120" s="1">
        <v>13.29</v>
      </c>
      <c r="F120" s="1">
        <f t="shared" si="3"/>
        <v>7.4346265595623962E-3</v>
      </c>
      <c r="G120" s="1">
        <f t="shared" si="3"/>
        <v>-5.5007815318023345E-3</v>
      </c>
      <c r="H120" s="1">
        <f t="shared" si="3"/>
        <v>-1.846381093057603E-2</v>
      </c>
      <c r="R120">
        <f t="shared" si="4"/>
        <v>-1.0728430819535776E-3</v>
      </c>
    </row>
    <row r="121" spans="1:18" x14ac:dyDescent="0.25">
      <c r="A121" s="4">
        <v>45467.705555555556</v>
      </c>
      <c r="B121" s="1">
        <v>119.15</v>
      </c>
      <c r="C121" s="1">
        <v>327</v>
      </c>
      <c r="D121" s="1">
        <v>13.21</v>
      </c>
      <c r="F121" s="1">
        <f t="shared" si="3"/>
        <v>1.068792942573582E-2</v>
      </c>
      <c r="G121" s="1">
        <f t="shared" si="3"/>
        <v>-1.1636693365573603E-2</v>
      </c>
      <c r="H121" s="1">
        <f t="shared" si="3"/>
        <v>-6.0195635816402415E-3</v>
      </c>
      <c r="R121">
        <f t="shared" si="4"/>
        <v>-9.8146193409913646E-4</v>
      </c>
    </row>
    <row r="122" spans="1:18" x14ac:dyDescent="0.25">
      <c r="A122" s="4">
        <v>45468.705555555556</v>
      </c>
      <c r="B122" s="1">
        <v>118.88</v>
      </c>
      <c r="C122" s="1">
        <v>332</v>
      </c>
      <c r="D122" s="1">
        <v>13.28</v>
      </c>
      <c r="F122" s="1">
        <f t="shared" si="3"/>
        <v>-2.2660511959715635E-3</v>
      </c>
      <c r="G122" s="1">
        <f t="shared" si="3"/>
        <v>1.5290519877675823E-2</v>
      </c>
      <c r="H122" s="1">
        <f t="shared" si="3"/>
        <v>5.2990158970476209E-3</v>
      </c>
      <c r="R122">
        <f t="shared" si="4"/>
        <v>5.7396890623864659E-3</v>
      </c>
    </row>
    <row r="123" spans="1:18" x14ac:dyDescent="0.25">
      <c r="A123" s="4">
        <v>45469.705555555556</v>
      </c>
      <c r="B123" s="1">
        <v>119.17</v>
      </c>
      <c r="C123" s="1">
        <v>336.16</v>
      </c>
      <c r="D123" s="1">
        <v>13.32</v>
      </c>
      <c r="F123" s="1">
        <f t="shared" si="3"/>
        <v>2.4394347240914716E-3</v>
      </c>
      <c r="G123" s="1">
        <f t="shared" si="3"/>
        <v>1.2530120481927698E-2</v>
      </c>
      <c r="H123" s="1">
        <f t="shared" si="3"/>
        <v>3.0120481927711218E-3</v>
      </c>
      <c r="R123">
        <f t="shared" si="4"/>
        <v>6.2890269016847803E-3</v>
      </c>
    </row>
    <row r="124" spans="1:18" x14ac:dyDescent="0.25">
      <c r="A124" s="4">
        <v>45470.705555555556</v>
      </c>
      <c r="B124" s="1">
        <v>120.75</v>
      </c>
      <c r="C124" s="1">
        <v>336.25</v>
      </c>
      <c r="D124" s="1">
        <v>13.45</v>
      </c>
      <c r="F124" s="1">
        <f t="shared" si="3"/>
        <v>1.3258370395233587E-2</v>
      </c>
      <c r="G124" s="1">
        <f t="shared" si="3"/>
        <v>2.6772965254640013E-4</v>
      </c>
      <c r="H124" s="1">
        <f t="shared" si="3"/>
        <v>9.7597597597596231E-3</v>
      </c>
      <c r="R124">
        <f t="shared" si="4"/>
        <v>6.3864159950879577E-3</v>
      </c>
    </row>
    <row r="125" spans="1:18" x14ac:dyDescent="0.25">
      <c r="A125" s="4">
        <v>45471.705555555556</v>
      </c>
      <c r="B125" s="1">
        <v>120.41</v>
      </c>
      <c r="C125" s="1">
        <v>339.83</v>
      </c>
      <c r="D125" s="1">
        <v>13.65</v>
      </c>
      <c r="F125" s="1">
        <f t="shared" si="3"/>
        <v>-2.8157349896480444E-3</v>
      </c>
      <c r="G125" s="1">
        <f t="shared" si="3"/>
        <v>1.0646840148698766E-2</v>
      </c>
      <c r="H125" s="1">
        <f t="shared" si="3"/>
        <v>1.4869888475836479E-2</v>
      </c>
      <c r="R125">
        <f t="shared" si="4"/>
        <v>4.619430911203936E-3</v>
      </c>
    </row>
    <row r="126" spans="1:18" x14ac:dyDescent="0.25">
      <c r="A126" s="4">
        <v>45474.705555555556</v>
      </c>
      <c r="B126" s="1">
        <v>121.2</v>
      </c>
      <c r="C126" s="1">
        <v>344.9</v>
      </c>
      <c r="D126" s="1">
        <v>13.84</v>
      </c>
      <c r="F126" s="1">
        <f t="shared" si="3"/>
        <v>6.5609168673699259E-3</v>
      </c>
      <c r="G126" s="1">
        <f t="shared" si="3"/>
        <v>1.491922431804138E-2</v>
      </c>
      <c r="H126" s="1">
        <f t="shared" si="3"/>
        <v>1.391941391941387E-2</v>
      </c>
      <c r="R126">
        <f t="shared" si="4"/>
        <v>9.9839978661059089E-3</v>
      </c>
    </row>
    <row r="127" spans="1:18" x14ac:dyDescent="0.25">
      <c r="A127" s="4">
        <v>45475.705555555556</v>
      </c>
      <c r="B127" s="1">
        <v>121.28</v>
      </c>
      <c r="C127" s="1">
        <v>347.01</v>
      </c>
      <c r="D127" s="1">
        <v>13.86</v>
      </c>
      <c r="F127" s="1">
        <f t="shared" si="3"/>
        <v>6.6006600660073467E-4</v>
      </c>
      <c r="G127" s="1">
        <f t="shared" si="3"/>
        <v>6.1177152797913248E-3</v>
      </c>
      <c r="H127" s="1">
        <f t="shared" si="3"/>
        <v>1.4450867052022698E-3</v>
      </c>
      <c r="R127">
        <f t="shared" si="4"/>
        <v>2.8556211850770509E-3</v>
      </c>
    </row>
    <row r="128" spans="1:18" x14ac:dyDescent="0.25">
      <c r="A128" s="4">
        <v>45476.705555555556</v>
      </c>
      <c r="B128" s="1">
        <v>122.12</v>
      </c>
      <c r="C128" s="1">
        <v>342</v>
      </c>
      <c r="D128" s="1">
        <v>13.81</v>
      </c>
      <c r="F128" s="1">
        <f t="shared" si="3"/>
        <v>6.926121372031746E-3</v>
      </c>
      <c r="G128" s="1">
        <f t="shared" si="3"/>
        <v>-1.4437624275957406E-2</v>
      </c>
      <c r="H128" s="1">
        <f t="shared" si="3"/>
        <v>-3.6075036075035039E-3</v>
      </c>
      <c r="R128">
        <f t="shared" si="4"/>
        <v>-3.3653515223206142E-3</v>
      </c>
    </row>
    <row r="129" spans="1:18" x14ac:dyDescent="0.25">
      <c r="A129" s="4">
        <v>45477.705555555556</v>
      </c>
      <c r="B129" s="1">
        <v>122.61</v>
      </c>
      <c r="C129" s="1">
        <v>337.92</v>
      </c>
      <c r="D129" s="1">
        <v>13.66</v>
      </c>
      <c r="F129" s="1">
        <f t="shared" si="3"/>
        <v>4.0124467736653013E-3</v>
      </c>
      <c r="G129" s="1">
        <f t="shared" si="3"/>
        <v>-1.1929824561403457E-2</v>
      </c>
      <c r="H129" s="1">
        <f t="shared" si="3"/>
        <v>-1.086169442433027E-2</v>
      </c>
      <c r="R129">
        <f t="shared" si="4"/>
        <v>-4.2531205575282892E-3</v>
      </c>
    </row>
    <row r="130" spans="1:18" x14ac:dyDescent="0.25">
      <c r="A130" s="4">
        <v>45478.705555555556</v>
      </c>
      <c r="B130" s="1">
        <v>122.72</v>
      </c>
      <c r="C130" s="1">
        <v>338.51</v>
      </c>
      <c r="D130" s="1">
        <v>13.7</v>
      </c>
      <c r="F130" s="1">
        <f t="shared" si="3"/>
        <v>8.9715357638042725E-4</v>
      </c>
      <c r="G130" s="1">
        <f t="shared" si="3"/>
        <v>1.7459753787878451E-3</v>
      </c>
      <c r="H130" s="1">
        <f t="shared" si="3"/>
        <v>2.9282576866762611E-3</v>
      </c>
      <c r="R130">
        <f t="shared" si="4"/>
        <v>1.3500773507349351E-3</v>
      </c>
    </row>
    <row r="131" spans="1:18" x14ac:dyDescent="0.25">
      <c r="A131" s="4">
        <v>45481.705555555556</v>
      </c>
      <c r="B131" s="1">
        <v>122.99</v>
      </c>
      <c r="C131" s="1">
        <v>339.67</v>
      </c>
      <c r="D131" s="1">
        <v>13.58</v>
      </c>
      <c r="F131" s="1">
        <f t="shared" si="3"/>
        <v>2.2001303780965209E-3</v>
      </c>
      <c r="G131" s="1">
        <f t="shared" si="3"/>
        <v>3.4267820743849597E-3</v>
      </c>
      <c r="H131" s="1">
        <f t="shared" si="3"/>
        <v>-8.7591240875911636E-3</v>
      </c>
      <c r="R131">
        <f t="shared" si="4"/>
        <v>1.3748525722334763E-3</v>
      </c>
    </row>
    <row r="132" spans="1:18" x14ac:dyDescent="0.25">
      <c r="A132" s="4">
        <v>45482.705555555556</v>
      </c>
      <c r="B132" s="1">
        <v>123.53</v>
      </c>
      <c r="C132" s="1">
        <v>336.22</v>
      </c>
      <c r="D132" s="1">
        <v>13.46</v>
      </c>
      <c r="F132" s="1">
        <f t="shared" ref="F132:H195" si="5">(B132/B131)-1</f>
        <v>4.3906008618588288E-3</v>
      </c>
      <c r="G132" s="1">
        <f t="shared" si="5"/>
        <v>-1.0156917007683841E-2</v>
      </c>
      <c r="H132" s="1">
        <f t="shared" si="5"/>
        <v>-8.8365243004417948E-3</v>
      </c>
      <c r="R132">
        <f t="shared" si="4"/>
        <v>-3.1901788883741842E-3</v>
      </c>
    </row>
    <row r="133" spans="1:18" x14ac:dyDescent="0.25">
      <c r="A133" s="4">
        <v>45483.705555555556</v>
      </c>
      <c r="B133" s="1">
        <v>123.65</v>
      </c>
      <c r="C133" s="1">
        <v>339.65</v>
      </c>
      <c r="D133" s="1">
        <v>13.49</v>
      </c>
      <c r="F133" s="1">
        <f t="shared" si="5"/>
        <v>9.7142394560023604E-4</v>
      </c>
      <c r="G133" s="1">
        <f t="shared" si="5"/>
        <v>1.02016536791385E-2</v>
      </c>
      <c r="H133" s="1">
        <f t="shared" si="5"/>
        <v>2.2288261515601704E-3</v>
      </c>
      <c r="R133">
        <f t="shared" ref="R133:R196" si="6">$L$2*F133+G133*$L$3+H133*$L$4</f>
        <v>4.6921136650515125E-3</v>
      </c>
    </row>
    <row r="134" spans="1:18" x14ac:dyDescent="0.25">
      <c r="A134" s="4">
        <v>45484.705555555556</v>
      </c>
      <c r="B134" s="1">
        <v>124.67</v>
      </c>
      <c r="C134" s="1">
        <v>338.5</v>
      </c>
      <c r="D134" s="1">
        <v>13.8</v>
      </c>
      <c r="F134" s="1">
        <f t="shared" si="5"/>
        <v>8.249090173877871E-3</v>
      </c>
      <c r="G134" s="1">
        <f t="shared" si="5"/>
        <v>-3.3858383630206434E-3</v>
      </c>
      <c r="H134" s="1">
        <f t="shared" si="5"/>
        <v>2.2979985174203188E-2</v>
      </c>
      <c r="R134">
        <f t="shared" si="6"/>
        <v>4.2432992417632091E-3</v>
      </c>
    </row>
    <row r="135" spans="1:18" x14ac:dyDescent="0.25">
      <c r="A135" s="4">
        <v>45485.705555555556</v>
      </c>
      <c r="B135" s="1">
        <v>125.27</v>
      </c>
      <c r="C135" s="1">
        <v>339.87</v>
      </c>
      <c r="D135" s="1">
        <v>13.77</v>
      </c>
      <c r="F135" s="1">
        <f t="shared" si="5"/>
        <v>4.8127055426325782E-3</v>
      </c>
      <c r="G135" s="1">
        <f t="shared" si="5"/>
        <v>4.0472673559823757E-3</v>
      </c>
      <c r="H135" s="1">
        <f t="shared" si="5"/>
        <v>-2.1739130434783593E-3</v>
      </c>
      <c r="R135">
        <f t="shared" si="6"/>
        <v>3.3265978550981457E-3</v>
      </c>
    </row>
    <row r="136" spans="1:18" x14ac:dyDescent="0.25">
      <c r="A136" s="4">
        <v>45488.705555555556</v>
      </c>
      <c r="B136" s="1">
        <v>125.69</v>
      </c>
      <c r="C136" s="1">
        <v>341.44</v>
      </c>
      <c r="D136" s="1">
        <v>13.85</v>
      </c>
      <c r="F136" s="1">
        <f t="shared" si="5"/>
        <v>3.3527580426280235E-3</v>
      </c>
      <c r="G136" s="1">
        <f t="shared" si="5"/>
        <v>4.6194133050871944E-3</v>
      </c>
      <c r="H136" s="1">
        <f t="shared" si="5"/>
        <v>5.8097312999274564E-3</v>
      </c>
      <c r="R136">
        <f t="shared" si="6"/>
        <v>3.769841669078833E-3</v>
      </c>
    </row>
    <row r="137" spans="1:18" x14ac:dyDescent="0.25">
      <c r="A137" s="4">
        <v>45489.705555555556</v>
      </c>
      <c r="B137" s="1">
        <v>125.49</v>
      </c>
      <c r="C137" s="1">
        <v>342.76</v>
      </c>
      <c r="D137" s="1">
        <v>14.1</v>
      </c>
      <c r="F137" s="1">
        <f t="shared" si="5"/>
        <v>-1.5912164850028221E-3</v>
      </c>
      <c r="G137" s="1">
        <f t="shared" si="5"/>
        <v>3.8659793814432852E-3</v>
      </c>
      <c r="H137" s="1">
        <f t="shared" si="5"/>
        <v>1.8050541516245522E-2</v>
      </c>
      <c r="R137">
        <f t="shared" si="6"/>
        <v>2.7149593102007369E-3</v>
      </c>
    </row>
    <row r="138" spans="1:18" x14ac:dyDescent="0.25">
      <c r="A138" s="4">
        <v>45490.705555555556</v>
      </c>
      <c r="B138" s="1">
        <v>125.82</v>
      </c>
      <c r="C138" s="1">
        <v>341.3</v>
      </c>
      <c r="D138" s="1">
        <v>14.16</v>
      </c>
      <c r="F138" s="1">
        <f t="shared" si="5"/>
        <v>2.6296916088930367E-3</v>
      </c>
      <c r="G138" s="1">
        <f t="shared" si="5"/>
        <v>-4.2595402030575213E-3</v>
      </c>
      <c r="H138" s="1">
        <f t="shared" si="5"/>
        <v>4.2553191489362874E-3</v>
      </c>
      <c r="R138">
        <f t="shared" si="6"/>
        <v>-2.2640752277216543E-4</v>
      </c>
    </row>
    <row r="139" spans="1:18" x14ac:dyDescent="0.25">
      <c r="A139" s="4">
        <v>45491.705555555556</v>
      </c>
      <c r="B139" s="1">
        <v>124.1</v>
      </c>
      <c r="C139" s="1">
        <v>344.9</v>
      </c>
      <c r="D139" s="1">
        <v>14.32</v>
      </c>
      <c r="F139" s="1">
        <f t="shared" si="5"/>
        <v>-1.3670322683198233E-2</v>
      </c>
      <c r="G139" s="1">
        <f t="shared" si="5"/>
        <v>1.0547905068854391E-2</v>
      </c>
      <c r="H139" s="1">
        <f t="shared" si="5"/>
        <v>1.1299435028248705E-2</v>
      </c>
      <c r="R139">
        <f t="shared" si="6"/>
        <v>-1.1902354291266687E-4</v>
      </c>
    </row>
    <row r="140" spans="1:18" x14ac:dyDescent="0.25">
      <c r="A140" s="4">
        <v>45492.705555555556</v>
      </c>
      <c r="B140" s="1">
        <v>124.04</v>
      </c>
      <c r="C140" s="1">
        <v>343.76</v>
      </c>
      <c r="D140" s="1">
        <v>14.13</v>
      </c>
      <c r="F140" s="1">
        <f t="shared" si="5"/>
        <v>-4.8348106365825316E-4</v>
      </c>
      <c r="G140" s="1">
        <f t="shared" si="5"/>
        <v>-3.3053058857639428E-3</v>
      </c>
      <c r="H140" s="1">
        <f t="shared" si="5"/>
        <v>-1.3268156424581012E-2</v>
      </c>
      <c r="R140">
        <f t="shared" si="6"/>
        <v>-2.8423304222269796E-3</v>
      </c>
    </row>
    <row r="141" spans="1:18" x14ac:dyDescent="0.25">
      <c r="A141" s="4">
        <v>45495.705555555556</v>
      </c>
      <c r="B141" s="1">
        <v>124.27</v>
      </c>
      <c r="C141" s="1">
        <v>345.27</v>
      </c>
      <c r="D141" s="1">
        <v>14.05</v>
      </c>
      <c r="F141" s="1">
        <f t="shared" si="5"/>
        <v>1.8542405675587847E-3</v>
      </c>
      <c r="G141" s="1">
        <f t="shared" si="5"/>
        <v>4.3925994880149588E-3</v>
      </c>
      <c r="H141" s="1">
        <f t="shared" si="5"/>
        <v>-5.6617126680821306E-3</v>
      </c>
      <c r="R141">
        <f t="shared" si="6"/>
        <v>1.9325647554212845E-3</v>
      </c>
    </row>
    <row r="142" spans="1:18" x14ac:dyDescent="0.25">
      <c r="A142" s="4">
        <v>45496.705555555556</v>
      </c>
      <c r="B142" s="1">
        <v>123.06</v>
      </c>
      <c r="C142" s="1">
        <v>345.5</v>
      </c>
      <c r="D142" s="1">
        <v>14.13</v>
      </c>
      <c r="F142" s="1">
        <f t="shared" si="5"/>
        <v>-9.7368632815643119E-3</v>
      </c>
      <c r="G142" s="1">
        <f t="shared" si="5"/>
        <v>6.6614533553455146E-4</v>
      </c>
      <c r="H142" s="1">
        <f t="shared" si="5"/>
        <v>5.693950177936058E-3</v>
      </c>
      <c r="R142">
        <f t="shared" si="6"/>
        <v>-3.0588921606182987E-3</v>
      </c>
    </row>
    <row r="143" spans="1:18" x14ac:dyDescent="0.25">
      <c r="A143" s="4">
        <v>45497.705555555556</v>
      </c>
      <c r="B143" s="1">
        <v>122.88</v>
      </c>
      <c r="C143" s="1">
        <v>342.5</v>
      </c>
      <c r="D143" s="1">
        <v>14.25</v>
      </c>
      <c r="F143" s="1">
        <f t="shared" si="5"/>
        <v>-1.4627011214042307E-3</v>
      </c>
      <c r="G143" s="1">
        <f t="shared" si="5"/>
        <v>-8.6830680173661801E-3</v>
      </c>
      <c r="H143" s="1">
        <f t="shared" si="5"/>
        <v>8.4925690021231404E-3</v>
      </c>
      <c r="R143">
        <f t="shared" si="6"/>
        <v>-3.2090507552958508E-3</v>
      </c>
    </row>
    <row r="144" spans="1:18" x14ac:dyDescent="0.25">
      <c r="A144" s="4">
        <v>45498.705555555556</v>
      </c>
      <c r="B144" s="1">
        <v>122.42</v>
      </c>
      <c r="C144" s="1">
        <v>339.9</v>
      </c>
      <c r="D144" s="1">
        <v>14.06</v>
      </c>
      <c r="F144" s="1">
        <f t="shared" si="5"/>
        <v>-3.7434895833332593E-3</v>
      </c>
      <c r="G144" s="1">
        <f t="shared" si="5"/>
        <v>-7.5912408759124528E-3</v>
      </c>
      <c r="H144" s="1">
        <f t="shared" si="5"/>
        <v>-1.3333333333333308E-2</v>
      </c>
      <c r="R144">
        <f t="shared" si="6"/>
        <v>-5.8672255170316157E-3</v>
      </c>
    </row>
    <row r="145" spans="1:18" x14ac:dyDescent="0.25">
      <c r="A145" s="4">
        <v>45499.705555555556</v>
      </c>
      <c r="B145" s="1">
        <v>123.89</v>
      </c>
      <c r="C145" s="1">
        <v>343.9</v>
      </c>
      <c r="D145" s="1">
        <v>14.18</v>
      </c>
      <c r="F145" s="1">
        <f t="shared" si="5"/>
        <v>1.2007841855905976E-2</v>
      </c>
      <c r="G145" s="1">
        <f t="shared" si="5"/>
        <v>1.1768167107973015E-2</v>
      </c>
      <c r="H145" s="1">
        <f t="shared" si="5"/>
        <v>8.5348506401137225E-3</v>
      </c>
      <c r="R145">
        <f t="shared" si="6"/>
        <v>1.0363888649562969E-2</v>
      </c>
    </row>
    <row r="146" spans="1:18" x14ac:dyDescent="0.25">
      <c r="A146" s="4">
        <v>45502.705555555556</v>
      </c>
      <c r="B146" s="1">
        <v>123.4</v>
      </c>
      <c r="C146" s="1">
        <v>342.25</v>
      </c>
      <c r="D146" s="1">
        <v>14.09</v>
      </c>
      <c r="F146" s="1">
        <f t="shared" si="5"/>
        <v>-3.9551214787311162E-3</v>
      </c>
      <c r="G146" s="1">
        <f t="shared" si="5"/>
        <v>-4.7979063681301559E-3</v>
      </c>
      <c r="H146" s="1">
        <f t="shared" si="5"/>
        <v>-6.3469675599435726E-3</v>
      </c>
      <c r="R146">
        <f t="shared" si="6"/>
        <v>-4.1359078947388658E-3</v>
      </c>
    </row>
    <row r="147" spans="1:18" x14ac:dyDescent="0.25">
      <c r="A147" s="4">
        <v>45503.705555555556</v>
      </c>
      <c r="B147" s="1">
        <v>122.63</v>
      </c>
      <c r="C147" s="1">
        <v>339.5</v>
      </c>
      <c r="D147" s="1">
        <v>14.22</v>
      </c>
      <c r="F147" s="1">
        <f t="shared" si="5"/>
        <v>-6.239870340356668E-3</v>
      </c>
      <c r="G147" s="1">
        <f t="shared" si="5"/>
        <v>-8.0350620891161961E-3</v>
      </c>
      <c r="H147" s="1">
        <f t="shared" si="5"/>
        <v>9.2264017033356627E-3</v>
      </c>
      <c r="R147">
        <f t="shared" si="6"/>
        <v>-4.7873328014555799E-3</v>
      </c>
    </row>
    <row r="148" spans="1:18" x14ac:dyDescent="0.25">
      <c r="A148" s="4">
        <v>45504.705555555556</v>
      </c>
      <c r="B148" s="1">
        <v>124.05</v>
      </c>
      <c r="C148" s="1">
        <v>347.7</v>
      </c>
      <c r="D148" s="1">
        <v>14.56</v>
      </c>
      <c r="F148" s="1">
        <f t="shared" si="5"/>
        <v>1.1579548234526671E-2</v>
      </c>
      <c r="G148" s="1">
        <f t="shared" si="5"/>
        <v>2.4153166421207573E-2</v>
      </c>
      <c r="H148" s="1">
        <f t="shared" si="5"/>
        <v>2.3909985935302469E-2</v>
      </c>
      <c r="R148">
        <f t="shared" si="6"/>
        <v>1.6684084455823946E-2</v>
      </c>
    </row>
    <row r="149" spans="1:18" x14ac:dyDescent="0.25">
      <c r="A149" s="4">
        <v>45505.705555555556</v>
      </c>
      <c r="B149" s="1">
        <v>123.93</v>
      </c>
      <c r="C149" s="1">
        <v>347.5</v>
      </c>
      <c r="D149" s="1">
        <v>14.75</v>
      </c>
      <c r="F149" s="1">
        <f t="shared" si="5"/>
        <v>-9.6735187424412672E-4</v>
      </c>
      <c r="G149" s="1">
        <f t="shared" si="5"/>
        <v>-5.7520851308601184E-4</v>
      </c>
      <c r="H149" s="1">
        <f t="shared" si="5"/>
        <v>1.3049450549450503E-2</v>
      </c>
      <c r="R149">
        <f t="shared" si="6"/>
        <v>6.8792090001299465E-4</v>
      </c>
    </row>
    <row r="150" spans="1:18" x14ac:dyDescent="0.25">
      <c r="A150" s="4">
        <v>45506.705555555556</v>
      </c>
      <c r="B150" s="1">
        <v>122.35</v>
      </c>
      <c r="C150" s="1">
        <v>339.73</v>
      </c>
      <c r="D150" s="1">
        <v>14.63</v>
      </c>
      <c r="F150" s="1">
        <f t="shared" si="5"/>
        <v>-1.2749132574840782E-2</v>
      </c>
      <c r="G150" s="1">
        <f t="shared" si="5"/>
        <v>-2.2359712230215822E-2</v>
      </c>
      <c r="H150" s="1">
        <f t="shared" si="5"/>
        <v>-8.1355932203389658E-3</v>
      </c>
      <c r="R150">
        <f t="shared" si="6"/>
        <v>-1.4857097244056539E-2</v>
      </c>
    </row>
    <row r="151" spans="1:18" x14ac:dyDescent="0.25">
      <c r="A151" s="4">
        <v>45509.705555555556</v>
      </c>
      <c r="B151" s="1">
        <v>121.68</v>
      </c>
      <c r="C151" s="1">
        <v>332</v>
      </c>
      <c r="D151" s="1">
        <v>14.52</v>
      </c>
      <c r="F151" s="1">
        <f t="shared" si="5"/>
        <v>-5.4760931753166098E-3</v>
      </c>
      <c r="G151" s="1">
        <f t="shared" si="5"/>
        <v>-2.2753362964707313E-2</v>
      </c>
      <c r="H151" s="1">
        <f t="shared" si="5"/>
        <v>-7.5187969924812581E-3</v>
      </c>
      <c r="R151">
        <f t="shared" si="6"/>
        <v>-1.2043662155257696E-2</v>
      </c>
    </row>
    <row r="152" spans="1:18" x14ac:dyDescent="0.25">
      <c r="A152" s="4">
        <v>45510.705555555556</v>
      </c>
      <c r="B152" s="1">
        <v>122.79</v>
      </c>
      <c r="C152" s="1">
        <v>329.72</v>
      </c>
      <c r="D152" s="1">
        <v>14.21</v>
      </c>
      <c r="F152" s="1">
        <f t="shared" si="5"/>
        <v>9.1222879684418334E-3</v>
      </c>
      <c r="G152" s="1">
        <f t="shared" si="5"/>
        <v>-6.8674698795180289E-3</v>
      </c>
      <c r="H152" s="1">
        <f t="shared" si="5"/>
        <v>-2.1349862258953078E-2</v>
      </c>
      <c r="R152">
        <f t="shared" si="6"/>
        <v>-1.2330589903257858E-3</v>
      </c>
    </row>
    <row r="153" spans="1:18" x14ac:dyDescent="0.25">
      <c r="A153" s="4">
        <v>45511.705555555556</v>
      </c>
      <c r="B153" s="1">
        <v>124</v>
      </c>
      <c r="C153" s="1">
        <v>325.81</v>
      </c>
      <c r="D153" s="1">
        <v>14.1</v>
      </c>
      <c r="F153" s="1">
        <f t="shared" si="5"/>
        <v>9.8542226565681013E-3</v>
      </c>
      <c r="G153" s="1">
        <f t="shared" si="5"/>
        <v>-1.185854664563879E-2</v>
      </c>
      <c r="H153" s="1">
        <f t="shared" si="5"/>
        <v>-7.7410274454610128E-3</v>
      </c>
      <c r="R153">
        <f t="shared" si="6"/>
        <v>-1.5758323401743762E-3</v>
      </c>
    </row>
    <row r="154" spans="1:18" x14ac:dyDescent="0.25">
      <c r="A154" s="4">
        <v>45512.705555555556</v>
      </c>
      <c r="B154" s="1">
        <v>125.12</v>
      </c>
      <c r="C154" s="1">
        <v>330.72</v>
      </c>
      <c r="D154" s="1">
        <v>14.2</v>
      </c>
      <c r="F154" s="1">
        <f t="shared" si="5"/>
        <v>9.0322580645161299E-3</v>
      </c>
      <c r="G154" s="1">
        <f t="shared" si="5"/>
        <v>1.5070132899542843E-2</v>
      </c>
      <c r="H154" s="1">
        <f t="shared" si="5"/>
        <v>7.0921985815601829E-3</v>
      </c>
      <c r="R154">
        <f t="shared" si="6"/>
        <v>1.0350176243779607E-2</v>
      </c>
    </row>
    <row r="155" spans="1:18" x14ac:dyDescent="0.25">
      <c r="A155" s="4">
        <v>45513.705555555556</v>
      </c>
      <c r="B155" s="1">
        <v>127.01</v>
      </c>
      <c r="C155" s="1">
        <v>327.9</v>
      </c>
      <c r="D155" s="1">
        <v>14.08</v>
      </c>
      <c r="F155" s="1">
        <f t="shared" si="5"/>
        <v>1.5105498721227573E-2</v>
      </c>
      <c r="G155" s="1">
        <f t="shared" si="5"/>
        <v>-8.5268505079827417E-3</v>
      </c>
      <c r="H155" s="1">
        <f t="shared" si="5"/>
        <v>-8.4507042253521014E-3</v>
      </c>
      <c r="R155">
        <f t="shared" si="6"/>
        <v>1.7863888627627231E-3</v>
      </c>
    </row>
    <row r="156" spans="1:18" x14ac:dyDescent="0.25">
      <c r="A156" s="4">
        <v>45516.705555555556</v>
      </c>
      <c r="B156" s="1">
        <v>127.53</v>
      </c>
      <c r="C156" s="1">
        <v>327.45</v>
      </c>
      <c r="D156" s="1">
        <v>14.28</v>
      </c>
      <c r="F156" s="1">
        <f t="shared" si="5"/>
        <v>4.0941658137154668E-3</v>
      </c>
      <c r="G156" s="1">
        <f t="shared" si="5"/>
        <v>-1.3723696248856276E-3</v>
      </c>
      <c r="H156" s="1">
        <f t="shared" si="5"/>
        <v>1.4204545454545414E-2</v>
      </c>
      <c r="R156">
        <f t="shared" si="6"/>
        <v>2.5091730209864768E-3</v>
      </c>
    </row>
    <row r="157" spans="1:18" x14ac:dyDescent="0.25">
      <c r="A157" s="4">
        <v>45517.705555555556</v>
      </c>
      <c r="B157" s="1">
        <v>128.76</v>
      </c>
      <c r="C157" s="1">
        <v>329.9</v>
      </c>
      <c r="D157" s="1">
        <v>14.13</v>
      </c>
      <c r="F157" s="1">
        <f t="shared" si="5"/>
        <v>9.6447894613032048E-3</v>
      </c>
      <c r="G157" s="1">
        <f t="shared" si="5"/>
        <v>7.4820583295158727E-3</v>
      </c>
      <c r="H157" s="1">
        <f t="shared" si="5"/>
        <v>-1.0504201680672121E-2</v>
      </c>
      <c r="R157">
        <f t="shared" si="6"/>
        <v>5.8003189482604195E-3</v>
      </c>
    </row>
    <row r="158" spans="1:18" x14ac:dyDescent="0.25">
      <c r="A158" s="4">
        <v>45518.705555555556</v>
      </c>
      <c r="B158" s="1">
        <v>129.66</v>
      </c>
      <c r="C158" s="1">
        <v>332.49</v>
      </c>
      <c r="D158" s="1">
        <v>14.05</v>
      </c>
      <c r="F158" s="1">
        <f t="shared" si="5"/>
        <v>6.9897483690588569E-3</v>
      </c>
      <c r="G158" s="1">
        <f t="shared" si="5"/>
        <v>7.8508638981511503E-3</v>
      </c>
      <c r="H158" s="1">
        <f t="shared" si="5"/>
        <v>-5.6617126680821306E-3</v>
      </c>
      <c r="R158">
        <f t="shared" si="6"/>
        <v>5.3700736400757905E-3</v>
      </c>
    </row>
    <row r="159" spans="1:18" x14ac:dyDescent="0.25">
      <c r="A159" s="4">
        <v>45519.705555555556</v>
      </c>
      <c r="B159" s="1">
        <v>130.47</v>
      </c>
      <c r="C159" s="1">
        <v>338.84</v>
      </c>
      <c r="D159" s="1">
        <v>14.15</v>
      </c>
      <c r="F159" s="1">
        <f t="shared" si="5"/>
        <v>6.2471078204535679E-3</v>
      </c>
      <c r="G159" s="1">
        <f t="shared" si="5"/>
        <v>1.9098318746428422E-2</v>
      </c>
      <c r="H159" s="1">
        <f t="shared" si="5"/>
        <v>7.1174377224199059E-3</v>
      </c>
      <c r="R159">
        <f t="shared" si="6"/>
        <v>1.0849914398994787E-2</v>
      </c>
    </row>
    <row r="160" spans="1:18" x14ac:dyDescent="0.25">
      <c r="A160" s="4">
        <v>45520.705555555556</v>
      </c>
      <c r="B160" s="1">
        <v>130.30000000000001</v>
      </c>
      <c r="C160" s="1">
        <v>338.35</v>
      </c>
      <c r="D160" s="1">
        <v>14.43</v>
      </c>
      <c r="F160" s="1">
        <f t="shared" si="5"/>
        <v>-1.3029815283206458E-3</v>
      </c>
      <c r="G160" s="1">
        <f t="shared" si="5"/>
        <v>-1.4461102585289209E-3</v>
      </c>
      <c r="H160" s="1">
        <f t="shared" si="5"/>
        <v>1.9787985865724389E-2</v>
      </c>
      <c r="R160">
        <f t="shared" si="6"/>
        <v>8.7916187183261179E-4</v>
      </c>
    </row>
    <row r="161" spans="1:18" x14ac:dyDescent="0.25">
      <c r="A161" s="4">
        <v>45523.705555555556</v>
      </c>
      <c r="B161" s="1">
        <v>132.03</v>
      </c>
      <c r="C161" s="1">
        <v>338.08</v>
      </c>
      <c r="D161" s="1">
        <v>14.25</v>
      </c>
      <c r="F161" s="1">
        <f t="shared" si="5"/>
        <v>1.3277052954719704E-2</v>
      </c>
      <c r="G161" s="1">
        <f t="shared" si="5"/>
        <v>-7.9799024678595121E-4</v>
      </c>
      <c r="H161" s="1">
        <f t="shared" si="5"/>
        <v>-1.2474012474012475E-2</v>
      </c>
      <c r="R161">
        <f t="shared" si="6"/>
        <v>3.744223835772254E-3</v>
      </c>
    </row>
    <row r="162" spans="1:18" x14ac:dyDescent="0.25">
      <c r="A162" s="4">
        <v>45524.705555555556</v>
      </c>
      <c r="B162" s="1">
        <v>132.37</v>
      </c>
      <c r="C162" s="1">
        <v>342.17</v>
      </c>
      <c r="D162" s="1">
        <v>14.47</v>
      </c>
      <c r="F162" s="1">
        <f t="shared" si="5"/>
        <v>2.5751723093236922E-3</v>
      </c>
      <c r="G162" s="1">
        <f t="shared" si="5"/>
        <v>1.2097728348320125E-2</v>
      </c>
      <c r="H162" s="1">
        <f t="shared" si="5"/>
        <v>1.5438596491228029E-2</v>
      </c>
      <c r="R162">
        <f t="shared" si="6"/>
        <v>7.4130199121803294E-3</v>
      </c>
    </row>
    <row r="163" spans="1:18" x14ac:dyDescent="0.25">
      <c r="A163" s="4">
        <v>45525.705555555556</v>
      </c>
      <c r="B163" s="1">
        <v>132.71</v>
      </c>
      <c r="C163" s="1">
        <v>343.25</v>
      </c>
      <c r="D163" s="1">
        <v>14.48</v>
      </c>
      <c r="F163" s="1">
        <f t="shared" si="5"/>
        <v>2.5685578303240586E-3</v>
      </c>
      <c r="G163" s="1">
        <f t="shared" si="5"/>
        <v>3.1563258029634333E-3</v>
      </c>
      <c r="H163" s="1">
        <f t="shared" si="5"/>
        <v>6.9108500345538282E-4</v>
      </c>
      <c r="R163">
        <f t="shared" si="6"/>
        <v>2.3590619536605351E-3</v>
      </c>
    </row>
    <row r="164" spans="1:18" x14ac:dyDescent="0.25">
      <c r="A164" s="4">
        <v>45526.705555555556</v>
      </c>
      <c r="B164" s="1">
        <v>131.55000000000001</v>
      </c>
      <c r="C164" s="1">
        <v>347.31</v>
      </c>
      <c r="D164" s="1">
        <v>14.55</v>
      </c>
      <c r="F164" s="1">
        <f t="shared" si="5"/>
        <v>-8.7408635370356258E-3</v>
      </c>
      <c r="G164" s="1">
        <f t="shared" si="5"/>
        <v>1.1828113619810621E-2</v>
      </c>
      <c r="H164" s="1">
        <f t="shared" si="5"/>
        <v>4.8342541436463549E-3</v>
      </c>
      <c r="R164">
        <f t="shared" si="6"/>
        <v>1.7183254474746334E-3</v>
      </c>
    </row>
    <row r="165" spans="1:18" x14ac:dyDescent="0.25">
      <c r="A165" s="4">
        <v>45527.705555555556</v>
      </c>
      <c r="B165" s="1">
        <v>131.93</v>
      </c>
      <c r="C165" s="1">
        <v>344.48</v>
      </c>
      <c r="D165" s="1">
        <v>14.46</v>
      </c>
      <c r="F165" s="1">
        <f t="shared" si="5"/>
        <v>2.8886354998098884E-3</v>
      </c>
      <c r="G165" s="1">
        <f t="shared" si="5"/>
        <v>-8.1483400996227306E-3</v>
      </c>
      <c r="H165" s="1">
        <f t="shared" si="5"/>
        <v>-6.1855670103092564E-3</v>
      </c>
      <c r="R165">
        <f t="shared" si="6"/>
        <v>-2.7224385409560627E-3</v>
      </c>
    </row>
    <row r="166" spans="1:18" x14ac:dyDescent="0.25">
      <c r="A166" s="4">
        <v>45530.705555555556</v>
      </c>
      <c r="B166" s="1">
        <v>133.16</v>
      </c>
      <c r="C166" s="1">
        <v>343.9</v>
      </c>
      <c r="D166" s="1">
        <v>14.55</v>
      </c>
      <c r="F166" s="1">
        <f t="shared" si="5"/>
        <v>9.3231259000985389E-3</v>
      </c>
      <c r="G166" s="1">
        <f t="shared" si="5"/>
        <v>-1.6836971667442135E-3</v>
      </c>
      <c r="H166" s="1">
        <f t="shared" si="5"/>
        <v>6.2240663900414717E-3</v>
      </c>
      <c r="R166">
        <f t="shared" si="6"/>
        <v>3.6781781323458776E-3</v>
      </c>
    </row>
    <row r="167" spans="1:18" x14ac:dyDescent="0.25">
      <c r="A167" s="4">
        <v>45531.705555555556</v>
      </c>
      <c r="B167" s="1">
        <v>133.08000000000001</v>
      </c>
      <c r="C167" s="1">
        <v>345.58</v>
      </c>
      <c r="D167" s="1">
        <v>14.62</v>
      </c>
      <c r="F167" s="1">
        <f t="shared" si="5"/>
        <v>-6.0078101531979566E-4</v>
      </c>
      <c r="G167" s="1">
        <f t="shared" si="5"/>
        <v>4.8851410293691E-3</v>
      </c>
      <c r="H167" s="1">
        <f t="shared" si="5"/>
        <v>4.8109965635738661E-3</v>
      </c>
      <c r="R167">
        <f t="shared" si="6"/>
        <v>2.1948436619771083E-3</v>
      </c>
    </row>
    <row r="168" spans="1:18" x14ac:dyDescent="0.25">
      <c r="A168" s="4">
        <v>45532.705555555556</v>
      </c>
      <c r="B168" s="1">
        <v>133.62</v>
      </c>
      <c r="C168" s="1">
        <v>346.55</v>
      </c>
      <c r="D168" s="1">
        <v>14.62</v>
      </c>
      <c r="F168" s="1">
        <f t="shared" si="5"/>
        <v>4.0577096483318531E-3</v>
      </c>
      <c r="G168" s="1">
        <f t="shared" si="5"/>
        <v>2.8068753978818251E-3</v>
      </c>
      <c r="H168" s="1">
        <f t="shared" si="5"/>
        <v>0</v>
      </c>
      <c r="R168">
        <f t="shared" si="6"/>
        <v>2.7458340184854713E-3</v>
      </c>
    </row>
    <row r="169" spans="1:18" x14ac:dyDescent="0.25">
      <c r="A169" s="4">
        <v>45533.705555555556</v>
      </c>
      <c r="B169" s="1">
        <v>132.38999999999999</v>
      </c>
      <c r="C169" s="1">
        <v>351.1</v>
      </c>
      <c r="D169" s="1">
        <v>14.94</v>
      </c>
      <c r="F169" s="1">
        <f t="shared" si="5"/>
        <v>-9.2052088010777799E-3</v>
      </c>
      <c r="G169" s="1">
        <f t="shared" si="5"/>
        <v>1.3129418554321148E-2</v>
      </c>
      <c r="H169" s="1">
        <f t="shared" si="5"/>
        <v>2.188782489740082E-2</v>
      </c>
      <c r="R169">
        <f t="shared" si="6"/>
        <v>3.7584663910374288E-3</v>
      </c>
    </row>
    <row r="170" spans="1:18" x14ac:dyDescent="0.25">
      <c r="A170" s="4">
        <v>45534.705555555556</v>
      </c>
      <c r="B170" s="1">
        <v>132.29</v>
      </c>
      <c r="C170" s="1">
        <v>354.85</v>
      </c>
      <c r="D170" s="1">
        <v>14.82</v>
      </c>
      <c r="F170" s="1">
        <f t="shared" si="5"/>
        <v>-7.553440592189542E-4</v>
      </c>
      <c r="G170" s="1">
        <f t="shared" si="5"/>
        <v>1.0680717744232515E-2</v>
      </c>
      <c r="H170" s="1">
        <f t="shared" si="5"/>
        <v>-8.0321285140562138E-3</v>
      </c>
      <c r="R170">
        <f t="shared" si="6"/>
        <v>3.1669366225998033E-3</v>
      </c>
    </row>
    <row r="171" spans="1:18" x14ac:dyDescent="0.25">
      <c r="A171" s="4">
        <v>45537.705555555556</v>
      </c>
      <c r="B171" s="1">
        <v>131.28</v>
      </c>
      <c r="C171" s="1">
        <v>354.5</v>
      </c>
      <c r="D171" s="1">
        <v>14.9</v>
      </c>
      <c r="F171" s="1">
        <f t="shared" si="5"/>
        <v>-7.6347418550154478E-3</v>
      </c>
      <c r="G171" s="1">
        <f t="shared" si="5"/>
        <v>-9.8633225306477001E-4</v>
      </c>
      <c r="H171" s="1">
        <f t="shared" si="5"/>
        <v>5.3981106612686069E-3</v>
      </c>
      <c r="R171">
        <f t="shared" si="6"/>
        <v>-2.9086185771052264E-3</v>
      </c>
    </row>
    <row r="172" spans="1:18" x14ac:dyDescent="0.25">
      <c r="A172" s="4">
        <v>45538.705555555556</v>
      </c>
      <c r="B172" s="1">
        <v>130.72</v>
      </c>
      <c r="C172" s="1">
        <v>347.78</v>
      </c>
      <c r="D172" s="1">
        <v>14.77</v>
      </c>
      <c r="F172" s="1">
        <f t="shared" si="5"/>
        <v>-4.2656916514320908E-3</v>
      </c>
      <c r="G172" s="1">
        <f t="shared" si="5"/>
        <v>-1.8956276445698195E-2</v>
      </c>
      <c r="H172" s="1">
        <f t="shared" si="5"/>
        <v>-8.7248322147651658E-3</v>
      </c>
      <c r="R172">
        <f t="shared" si="6"/>
        <v>-1.0161270460328631E-2</v>
      </c>
    </row>
    <row r="173" spans="1:18" x14ac:dyDescent="0.25">
      <c r="A173" s="4">
        <v>45539.705555555556</v>
      </c>
      <c r="B173" s="1">
        <v>132.35</v>
      </c>
      <c r="C173" s="1">
        <v>347</v>
      </c>
      <c r="D173" s="1">
        <v>14.78</v>
      </c>
      <c r="F173" s="1">
        <f t="shared" si="5"/>
        <v>1.2469400244798035E-2</v>
      </c>
      <c r="G173" s="1">
        <f t="shared" si="5"/>
        <v>-2.2427971706250327E-3</v>
      </c>
      <c r="H173" s="1">
        <f t="shared" si="5"/>
        <v>6.7704807041302217E-4</v>
      </c>
      <c r="R173">
        <f t="shared" si="6"/>
        <v>4.158346036710503E-3</v>
      </c>
    </row>
    <row r="174" spans="1:18" x14ac:dyDescent="0.25">
      <c r="A174" s="4">
        <v>45540.705555555556</v>
      </c>
      <c r="B174" s="1">
        <v>132.80000000000001</v>
      </c>
      <c r="C174" s="1">
        <v>342.39</v>
      </c>
      <c r="D174" s="1">
        <v>14.73</v>
      </c>
      <c r="F174" s="1">
        <f t="shared" si="5"/>
        <v>3.4000755572347607E-3</v>
      </c>
      <c r="G174" s="1">
        <f t="shared" si="5"/>
        <v>-1.3285302593660009E-2</v>
      </c>
      <c r="H174" s="1">
        <f t="shared" si="5"/>
        <v>-3.3829499323408951E-3</v>
      </c>
      <c r="R174">
        <f t="shared" si="6"/>
        <v>-4.2923858078041891E-3</v>
      </c>
    </row>
    <row r="175" spans="1:18" x14ac:dyDescent="0.25">
      <c r="A175" s="4">
        <v>45541.705555555556</v>
      </c>
      <c r="B175" s="1">
        <v>130.96</v>
      </c>
      <c r="C175" s="1">
        <v>337.95</v>
      </c>
      <c r="D175" s="1">
        <v>14.68</v>
      </c>
      <c r="F175" s="1">
        <f t="shared" si="5"/>
        <v>-1.3855421686747027E-2</v>
      </c>
      <c r="G175" s="1">
        <f t="shared" si="5"/>
        <v>-1.2967668448260694E-2</v>
      </c>
      <c r="H175" s="1">
        <f t="shared" si="5"/>
        <v>-3.3944331296673624E-3</v>
      </c>
      <c r="R175">
        <f t="shared" si="6"/>
        <v>-1.1068679366969826E-2</v>
      </c>
    </row>
    <row r="176" spans="1:18" x14ac:dyDescent="0.25">
      <c r="A176" s="4">
        <v>45544.705555555556</v>
      </c>
      <c r="B176" s="1">
        <v>131.09</v>
      </c>
      <c r="C176" s="1">
        <v>340.45</v>
      </c>
      <c r="D176" s="1">
        <v>14.68</v>
      </c>
      <c r="F176" s="1">
        <f t="shared" si="5"/>
        <v>9.9266951740983878E-4</v>
      </c>
      <c r="G176" s="1">
        <f t="shared" si="5"/>
        <v>7.3975440153868366E-3</v>
      </c>
      <c r="H176" s="1">
        <f t="shared" si="5"/>
        <v>0</v>
      </c>
      <c r="R176">
        <f t="shared" si="6"/>
        <v>3.3560854131186703E-3</v>
      </c>
    </row>
    <row r="177" spans="1:18" x14ac:dyDescent="0.25">
      <c r="A177" s="4">
        <v>45545.705555555556</v>
      </c>
      <c r="B177" s="1">
        <v>130.69</v>
      </c>
      <c r="C177" s="1">
        <v>346.45</v>
      </c>
      <c r="D177" s="1">
        <v>14.94</v>
      </c>
      <c r="F177" s="1">
        <f t="shared" si="5"/>
        <v>-3.051338774887502E-3</v>
      </c>
      <c r="G177" s="1">
        <f t="shared" si="5"/>
        <v>1.7623733294169552E-2</v>
      </c>
      <c r="H177" s="1">
        <f t="shared" si="5"/>
        <v>1.7711171662125436E-2</v>
      </c>
      <c r="R177">
        <f t="shared" si="6"/>
        <v>7.6000749739253632E-3</v>
      </c>
    </row>
    <row r="178" spans="1:18" x14ac:dyDescent="0.25">
      <c r="A178" s="4">
        <v>45546.705555555556</v>
      </c>
      <c r="B178" s="1">
        <v>131</v>
      </c>
      <c r="C178" s="1">
        <v>349.67</v>
      </c>
      <c r="D178" s="1">
        <v>14.92</v>
      </c>
      <c r="F178" s="1">
        <f t="shared" si="5"/>
        <v>2.3720254036270205E-3</v>
      </c>
      <c r="G178" s="1">
        <f t="shared" si="5"/>
        <v>9.2942704574976442E-3</v>
      </c>
      <c r="H178" s="1">
        <f t="shared" si="5"/>
        <v>-1.3386880856760541E-3</v>
      </c>
      <c r="R178">
        <f t="shared" si="6"/>
        <v>4.5326495358822601E-3</v>
      </c>
    </row>
    <row r="179" spans="1:18" x14ac:dyDescent="0.25">
      <c r="A179" s="4">
        <v>45547.705555555556</v>
      </c>
      <c r="B179" s="1">
        <v>130.44999999999999</v>
      </c>
      <c r="C179" s="1">
        <v>350.81</v>
      </c>
      <c r="D179" s="1">
        <v>15.1</v>
      </c>
      <c r="F179" s="1">
        <f t="shared" si="5"/>
        <v>-4.1984732824428272E-3</v>
      </c>
      <c r="G179" s="1">
        <f t="shared" si="5"/>
        <v>3.2602167758171152E-3</v>
      </c>
      <c r="H179" s="1">
        <f t="shared" si="5"/>
        <v>1.2064343163538771E-2</v>
      </c>
      <c r="R179">
        <f t="shared" si="6"/>
        <v>8.3113171370359203E-4</v>
      </c>
    </row>
    <row r="180" spans="1:18" x14ac:dyDescent="0.25">
      <c r="A180" s="4">
        <v>45548.705555555556</v>
      </c>
      <c r="B180" s="1">
        <v>131.19999999999999</v>
      </c>
      <c r="C180" s="1">
        <v>349.75</v>
      </c>
      <c r="D180" s="1">
        <v>15.11</v>
      </c>
      <c r="F180" s="1">
        <f t="shared" si="5"/>
        <v>5.7493292449213307E-3</v>
      </c>
      <c r="G180" s="1">
        <f t="shared" si="5"/>
        <v>-3.0215786323081195E-3</v>
      </c>
      <c r="H180" s="1">
        <f t="shared" si="5"/>
        <v>6.6225165562916466E-4</v>
      </c>
      <c r="R180">
        <f t="shared" si="6"/>
        <v>1.1573254106082011E-3</v>
      </c>
    </row>
    <row r="181" spans="1:18" x14ac:dyDescent="0.25">
      <c r="A181" s="4">
        <v>45551.705555555556</v>
      </c>
      <c r="B181" s="1">
        <v>131.46</v>
      </c>
      <c r="C181" s="1">
        <v>346.75</v>
      </c>
      <c r="D181" s="1">
        <v>14.94</v>
      </c>
      <c r="F181" s="1">
        <f t="shared" si="5"/>
        <v>1.9817073170733668E-3</v>
      </c>
      <c r="G181" s="1">
        <f t="shared" si="5"/>
        <v>-8.5775553967119E-3</v>
      </c>
      <c r="H181" s="1">
        <f t="shared" si="5"/>
        <v>-1.1250827266710783E-2</v>
      </c>
      <c r="R181">
        <f t="shared" si="6"/>
        <v>-3.763421958526492E-3</v>
      </c>
    </row>
    <row r="182" spans="1:18" x14ac:dyDescent="0.25">
      <c r="A182" s="4">
        <v>45552.705555555556</v>
      </c>
      <c r="B182" s="1">
        <v>131.32</v>
      </c>
      <c r="C182" s="1">
        <v>345.15</v>
      </c>
      <c r="D182" s="1">
        <v>14.81</v>
      </c>
      <c r="F182" s="1">
        <f t="shared" si="5"/>
        <v>-1.0649627263047412E-3</v>
      </c>
      <c r="G182" s="1">
        <f t="shared" si="5"/>
        <v>-4.6142754145638287E-3</v>
      </c>
      <c r="H182" s="1">
        <f t="shared" si="5"/>
        <v>-8.7014725568941298E-3</v>
      </c>
      <c r="R182">
        <f t="shared" si="6"/>
        <v>-3.141842512036841E-3</v>
      </c>
    </row>
    <row r="183" spans="1:18" x14ac:dyDescent="0.25">
      <c r="A183" s="4">
        <v>45553.705555555556</v>
      </c>
      <c r="B183" s="1">
        <v>130.15</v>
      </c>
      <c r="C183" s="1">
        <v>342.15</v>
      </c>
      <c r="D183" s="1">
        <v>14.61</v>
      </c>
      <c r="F183" s="1">
        <f t="shared" si="5"/>
        <v>-8.9095339628387782E-3</v>
      </c>
      <c r="G183" s="1">
        <f t="shared" si="5"/>
        <v>-8.6918730986527137E-3</v>
      </c>
      <c r="H183" s="1">
        <f t="shared" si="5"/>
        <v>-1.3504388926401156E-2</v>
      </c>
      <c r="R183">
        <f t="shared" si="6"/>
        <v>-8.3910017172367131E-3</v>
      </c>
    </row>
    <row r="184" spans="1:18" x14ac:dyDescent="0.25">
      <c r="A184" s="4">
        <v>45554.705555555556</v>
      </c>
      <c r="B184" s="1">
        <v>129.54</v>
      </c>
      <c r="C184" s="1">
        <v>346.02</v>
      </c>
      <c r="D184" s="1">
        <v>14.76</v>
      </c>
      <c r="F184" s="1">
        <f t="shared" si="5"/>
        <v>-4.6868997310796079E-3</v>
      </c>
      <c r="G184" s="1">
        <f t="shared" si="5"/>
        <v>1.1310828583954491E-2</v>
      </c>
      <c r="H184" s="1">
        <f t="shared" si="5"/>
        <v>1.0266940451745477E-2</v>
      </c>
      <c r="R184">
        <f t="shared" si="6"/>
        <v>3.6762655863245008E-3</v>
      </c>
    </row>
    <row r="185" spans="1:18" x14ac:dyDescent="0.25">
      <c r="A185" s="4">
        <v>45555.705555555556</v>
      </c>
      <c r="B185" s="1">
        <v>127.58</v>
      </c>
      <c r="C185" s="1">
        <v>351.53</v>
      </c>
      <c r="D185" s="1">
        <v>15.2</v>
      </c>
      <c r="F185" s="1">
        <f t="shared" si="5"/>
        <v>-1.5130461633472203E-2</v>
      </c>
      <c r="G185" s="1">
        <f t="shared" si="5"/>
        <v>1.5923935032656988E-2</v>
      </c>
      <c r="H185" s="1">
        <f t="shared" si="5"/>
        <v>2.9810298102981081E-2</v>
      </c>
      <c r="R185">
        <f t="shared" si="6"/>
        <v>3.2984191699720216E-3</v>
      </c>
    </row>
    <row r="186" spans="1:18" x14ac:dyDescent="0.25">
      <c r="A186" s="4">
        <v>45558.705555555556</v>
      </c>
      <c r="B186" s="1">
        <v>127.06</v>
      </c>
      <c r="C186" s="1">
        <v>353.12</v>
      </c>
      <c r="D186" s="1">
        <v>15.24</v>
      </c>
      <c r="F186" s="1">
        <f t="shared" si="5"/>
        <v>-4.0758739614359385E-3</v>
      </c>
      <c r="G186" s="1">
        <f t="shared" si="5"/>
        <v>4.523084800728272E-3</v>
      </c>
      <c r="H186" s="1">
        <f t="shared" si="5"/>
        <v>2.6315789473685403E-3</v>
      </c>
      <c r="R186">
        <f t="shared" si="6"/>
        <v>4.420422304537872E-4</v>
      </c>
    </row>
    <row r="187" spans="1:18" x14ac:dyDescent="0.25">
      <c r="A187" s="4">
        <v>45559.705555555556</v>
      </c>
      <c r="B187" s="1">
        <v>128.58000000000001</v>
      </c>
      <c r="C187" s="1">
        <v>349.77</v>
      </c>
      <c r="D187" s="1">
        <v>15.25</v>
      </c>
      <c r="F187" s="1">
        <f t="shared" si="5"/>
        <v>1.1962852195813056E-2</v>
      </c>
      <c r="G187" s="1">
        <f t="shared" si="5"/>
        <v>-9.4868599909380125E-3</v>
      </c>
      <c r="H187" s="1">
        <f t="shared" si="5"/>
        <v>6.5616797900269752E-4</v>
      </c>
      <c r="R187">
        <f t="shared" si="6"/>
        <v>1.0560136798502874E-3</v>
      </c>
    </row>
    <row r="188" spans="1:18" x14ac:dyDescent="0.25">
      <c r="A188" s="4">
        <v>45560.705555555556</v>
      </c>
      <c r="B188" s="1">
        <v>128.06</v>
      </c>
      <c r="C188" s="1">
        <v>349.3</v>
      </c>
      <c r="D188" s="1">
        <v>15.29</v>
      </c>
      <c r="F188" s="1">
        <f t="shared" si="5"/>
        <v>-4.0441748327889604E-3</v>
      </c>
      <c r="G188" s="1">
        <f t="shared" si="5"/>
        <v>-1.3437401721130282E-3</v>
      </c>
      <c r="H188" s="1">
        <f t="shared" si="5"/>
        <v>2.6229508196720097E-3</v>
      </c>
      <c r="R188">
        <f t="shared" si="6"/>
        <v>-1.8928709199935948E-3</v>
      </c>
    </row>
    <row r="189" spans="1:18" x14ac:dyDescent="0.25">
      <c r="A189" s="4">
        <v>45561.705555555556</v>
      </c>
      <c r="B189" s="1">
        <v>129.41999999999999</v>
      </c>
      <c r="C189" s="1">
        <v>348.62</v>
      </c>
      <c r="D189" s="1">
        <v>15.27</v>
      </c>
      <c r="F189" s="1">
        <f t="shared" si="5"/>
        <v>1.062002186475075E-2</v>
      </c>
      <c r="G189" s="1">
        <f t="shared" si="5"/>
        <v>-1.9467506441454008E-3</v>
      </c>
      <c r="H189" s="1">
        <f t="shared" si="5"/>
        <v>-1.3080444735120711E-3</v>
      </c>
      <c r="R189">
        <f t="shared" si="6"/>
        <v>3.3385040408909325E-3</v>
      </c>
    </row>
    <row r="190" spans="1:18" x14ac:dyDescent="0.25">
      <c r="A190" s="4">
        <v>45562.705555555556</v>
      </c>
      <c r="B190" s="1">
        <v>129.18</v>
      </c>
      <c r="C190" s="1">
        <v>347.52</v>
      </c>
      <c r="D190" s="1">
        <v>15.13</v>
      </c>
      <c r="F190" s="1">
        <f t="shared" si="5"/>
        <v>-1.8544274455259968E-3</v>
      </c>
      <c r="G190" s="1">
        <f t="shared" si="5"/>
        <v>-3.1552980322414603E-3</v>
      </c>
      <c r="H190" s="1">
        <f t="shared" si="5"/>
        <v>-9.1683038637850878E-3</v>
      </c>
      <c r="R190">
        <f t="shared" si="6"/>
        <v>-2.9207205774854916E-3</v>
      </c>
    </row>
    <row r="191" spans="1:18" x14ac:dyDescent="0.25">
      <c r="A191" s="4">
        <v>45565.705555555556</v>
      </c>
      <c r="B191" s="1">
        <v>128.30000000000001</v>
      </c>
      <c r="C191" s="1">
        <v>349.8</v>
      </c>
      <c r="D191" s="1">
        <v>15.05</v>
      </c>
      <c r="F191" s="1">
        <f t="shared" si="5"/>
        <v>-6.8122000309644992E-3</v>
      </c>
      <c r="G191" s="1">
        <f t="shared" si="5"/>
        <v>6.5607734806629736E-3</v>
      </c>
      <c r="H191" s="1">
        <f t="shared" si="5"/>
        <v>-5.2875082617316327E-3</v>
      </c>
      <c r="R191">
        <f t="shared" si="6"/>
        <v>-6.2932144629377327E-4</v>
      </c>
    </row>
    <row r="192" spans="1:18" x14ac:dyDescent="0.25">
      <c r="A192" s="4">
        <v>45566.705555555556</v>
      </c>
      <c r="B192" s="1">
        <v>128.94999999999999</v>
      </c>
      <c r="C192" s="1">
        <v>347.6</v>
      </c>
      <c r="D192" s="1">
        <v>15.25</v>
      </c>
      <c r="F192" s="1">
        <f t="shared" si="5"/>
        <v>5.0662509742789297E-3</v>
      </c>
      <c r="G192" s="1">
        <f t="shared" si="5"/>
        <v>-6.2893081761006275E-3</v>
      </c>
      <c r="H192" s="1">
        <f t="shared" si="5"/>
        <v>1.3289036544850363E-2</v>
      </c>
      <c r="R192">
        <f t="shared" si="6"/>
        <v>8.3968077375635715E-4</v>
      </c>
    </row>
    <row r="193" spans="1:18" x14ac:dyDescent="0.25">
      <c r="A193" s="4">
        <v>45567.705555555556</v>
      </c>
      <c r="B193" s="1">
        <v>129.93</v>
      </c>
      <c r="C193" s="1">
        <v>346.4</v>
      </c>
      <c r="D193" s="1">
        <v>15.19</v>
      </c>
      <c r="F193" s="1">
        <f t="shared" si="5"/>
        <v>7.5998449011245306E-3</v>
      </c>
      <c r="G193" s="1">
        <f t="shared" si="5"/>
        <v>-3.4522439585732423E-3</v>
      </c>
      <c r="H193" s="1">
        <f t="shared" si="5"/>
        <v>-3.9344262295082366E-3</v>
      </c>
      <c r="R193">
        <f t="shared" si="6"/>
        <v>1.2655977540696919E-3</v>
      </c>
    </row>
    <row r="194" spans="1:18" x14ac:dyDescent="0.25">
      <c r="A194" s="4">
        <v>45568.705555555556</v>
      </c>
      <c r="B194" s="1">
        <v>128.19</v>
      </c>
      <c r="C194" s="1">
        <v>347.8</v>
      </c>
      <c r="D194" s="1">
        <v>15.33</v>
      </c>
      <c r="F194" s="1">
        <f t="shared" si="5"/>
        <v>-1.3391826368044368E-2</v>
      </c>
      <c r="G194" s="1">
        <f t="shared" si="5"/>
        <v>4.041570438799269E-3</v>
      </c>
      <c r="H194" s="1">
        <f t="shared" si="5"/>
        <v>9.2165898617511122E-3</v>
      </c>
      <c r="R194">
        <f t="shared" si="6"/>
        <v>-2.818443385522929E-3</v>
      </c>
    </row>
    <row r="195" spans="1:18" x14ac:dyDescent="0.25">
      <c r="A195" s="4">
        <v>45569.705555555556</v>
      </c>
      <c r="B195" s="1">
        <v>128.27000000000001</v>
      </c>
      <c r="C195" s="1">
        <v>349.83</v>
      </c>
      <c r="D195" s="1">
        <v>15.2</v>
      </c>
      <c r="F195" s="1">
        <f t="shared" si="5"/>
        <v>6.2407364068972626E-4</v>
      </c>
      <c r="G195" s="1">
        <f t="shared" si="5"/>
        <v>5.8366877515811932E-3</v>
      </c>
      <c r="H195" s="1">
        <f t="shared" si="5"/>
        <v>-8.4801043705153845E-3</v>
      </c>
      <c r="R195">
        <f t="shared" si="6"/>
        <v>1.7362941198568295E-3</v>
      </c>
    </row>
    <row r="196" spans="1:18" x14ac:dyDescent="0.25">
      <c r="A196" s="4">
        <v>45572.705555555556</v>
      </c>
      <c r="B196" s="1">
        <v>128.49</v>
      </c>
      <c r="C196" s="1">
        <v>348.57</v>
      </c>
      <c r="D196" s="1">
        <v>15.22</v>
      </c>
      <c r="F196" s="1">
        <f t="shared" ref="F196:H259" si="7">(B196/B195)-1</f>
        <v>1.715132143135456E-3</v>
      </c>
      <c r="G196" s="1">
        <f t="shared" si="7"/>
        <v>-3.6017494211474377E-3</v>
      </c>
      <c r="H196" s="1">
        <f t="shared" si="7"/>
        <v>1.3157894736843812E-3</v>
      </c>
      <c r="R196">
        <f t="shared" si="6"/>
        <v>-6.2306796383635463E-4</v>
      </c>
    </row>
    <row r="197" spans="1:18" x14ac:dyDescent="0.25">
      <c r="A197" s="4">
        <v>45573.705555555556</v>
      </c>
      <c r="B197" s="1">
        <v>128.01</v>
      </c>
      <c r="C197" s="1">
        <v>354.59</v>
      </c>
      <c r="D197" s="1">
        <v>15.22</v>
      </c>
      <c r="F197" s="1">
        <f t="shared" si="7"/>
        <v>-3.7356992762084262E-3</v>
      </c>
      <c r="G197" s="1">
        <f t="shared" si="7"/>
        <v>1.7270562584272842E-2</v>
      </c>
      <c r="H197" s="1">
        <f t="shared" si="7"/>
        <v>0</v>
      </c>
      <c r="R197">
        <f t="shared" ref="R197:R260" si="8">$L$2*F197+G197*$L$3+H197*$L$4</f>
        <v>5.4139453232257663E-3</v>
      </c>
    </row>
    <row r="198" spans="1:18" x14ac:dyDescent="0.25">
      <c r="A198" s="4">
        <v>45574.705555555556</v>
      </c>
      <c r="B198" s="1">
        <v>126.52</v>
      </c>
      <c r="C198" s="1">
        <v>360.95</v>
      </c>
      <c r="D198" s="1">
        <v>15.31</v>
      </c>
      <c r="F198" s="1">
        <f t="shared" si="7"/>
        <v>-1.1639715647214999E-2</v>
      </c>
      <c r="G198" s="1">
        <f t="shared" si="7"/>
        <v>1.7936208014890376E-2</v>
      </c>
      <c r="H198" s="1">
        <f t="shared" si="7"/>
        <v>5.9132720105123937E-3</v>
      </c>
      <c r="R198">
        <f t="shared" si="8"/>
        <v>3.1099241481213893E-3</v>
      </c>
    </row>
    <row r="199" spans="1:18" x14ac:dyDescent="0.25">
      <c r="A199" s="4">
        <v>45575.705555555556</v>
      </c>
      <c r="B199" s="1">
        <v>126.87</v>
      </c>
      <c r="C199" s="1">
        <v>359.85</v>
      </c>
      <c r="D199" s="1">
        <v>15.43</v>
      </c>
      <c r="F199" s="1">
        <f t="shared" si="7"/>
        <v>2.7663610496364566E-3</v>
      </c>
      <c r="G199" s="1">
        <f t="shared" si="7"/>
        <v>-3.047513506025723E-3</v>
      </c>
      <c r="H199" s="1">
        <f t="shared" si="7"/>
        <v>7.8380143696930027E-3</v>
      </c>
      <c r="R199">
        <f t="shared" si="8"/>
        <v>6.7134045441359343E-4</v>
      </c>
    </row>
    <row r="200" spans="1:18" x14ac:dyDescent="0.25">
      <c r="A200" s="4">
        <v>45576.705555555556</v>
      </c>
      <c r="B200" s="1">
        <v>126.53</v>
      </c>
      <c r="C200" s="1">
        <v>364.05</v>
      </c>
      <c r="D200" s="1">
        <v>15.64</v>
      </c>
      <c r="F200" s="1">
        <f t="shared" si="7"/>
        <v>-2.6799085678254064E-3</v>
      </c>
      <c r="G200" s="1">
        <f t="shared" si="7"/>
        <v>1.1671529804085035E-2</v>
      </c>
      <c r="H200" s="1">
        <f t="shared" si="7"/>
        <v>1.3609850939727774E-2</v>
      </c>
      <c r="R200">
        <f t="shared" si="8"/>
        <v>4.9576335884766289E-3</v>
      </c>
    </row>
    <row r="201" spans="1:18" x14ac:dyDescent="0.25">
      <c r="A201" s="4">
        <v>45579.705555555556</v>
      </c>
      <c r="B201" s="1">
        <v>127.49</v>
      </c>
      <c r="C201" s="1">
        <v>364.85</v>
      </c>
      <c r="D201" s="1">
        <v>15.56</v>
      </c>
      <c r="F201" s="1">
        <f t="shared" si="7"/>
        <v>7.5871334861297157E-3</v>
      </c>
      <c r="G201" s="1">
        <f t="shared" si="7"/>
        <v>2.1975003433594154E-3</v>
      </c>
      <c r="H201" s="1">
        <f t="shared" si="7"/>
        <v>-5.1150895140664732E-3</v>
      </c>
      <c r="R201">
        <f t="shared" si="8"/>
        <v>3.4023445803890058E-3</v>
      </c>
    </row>
    <row r="202" spans="1:18" x14ac:dyDescent="0.25">
      <c r="A202" s="4">
        <v>45580.705555555556</v>
      </c>
      <c r="B202" s="1">
        <v>127.54</v>
      </c>
      <c r="C202" s="1">
        <v>367.17</v>
      </c>
      <c r="D202" s="1">
        <v>15.79</v>
      </c>
      <c r="F202" s="1">
        <f t="shared" si="7"/>
        <v>3.921876225587706E-4</v>
      </c>
      <c r="G202" s="1">
        <f t="shared" si="7"/>
        <v>6.3587775798272794E-3</v>
      </c>
      <c r="H202" s="1">
        <f t="shared" si="7"/>
        <v>1.4781491002570535E-2</v>
      </c>
      <c r="R202">
        <f t="shared" si="8"/>
        <v>4.1785351812114735E-3</v>
      </c>
    </row>
    <row r="203" spans="1:18" x14ac:dyDescent="0.25">
      <c r="A203" s="4">
        <v>45581.705555555556</v>
      </c>
      <c r="B203" s="1">
        <v>128.22</v>
      </c>
      <c r="C203" s="1">
        <v>369</v>
      </c>
      <c r="D203" s="1">
        <v>15.9</v>
      </c>
      <c r="F203" s="1">
        <f t="shared" si="7"/>
        <v>5.331660655480519E-3</v>
      </c>
      <c r="G203" s="1">
        <f t="shared" si="7"/>
        <v>4.9840673257619539E-3</v>
      </c>
      <c r="H203" s="1">
        <f t="shared" si="7"/>
        <v>6.966434452184922E-3</v>
      </c>
      <c r="R203">
        <f t="shared" si="8"/>
        <v>4.8229346377154812E-3</v>
      </c>
    </row>
    <row r="204" spans="1:18" x14ac:dyDescent="0.25">
      <c r="A204" s="4">
        <v>45582.705555555556</v>
      </c>
      <c r="B204" s="1">
        <v>127.31</v>
      </c>
      <c r="C204" s="1">
        <v>368.7</v>
      </c>
      <c r="D204" s="1">
        <v>16</v>
      </c>
      <c r="F204" s="1">
        <f t="shared" si="7"/>
        <v>-7.0971767274995434E-3</v>
      </c>
      <c r="G204" s="1">
        <f t="shared" si="7"/>
        <v>-8.1300813008133854E-4</v>
      </c>
      <c r="H204" s="1">
        <f t="shared" si="7"/>
        <v>6.2893081761006275E-3</v>
      </c>
      <c r="R204">
        <f t="shared" si="8"/>
        <v>-2.5351431254222903E-3</v>
      </c>
    </row>
    <row r="205" spans="1:18" x14ac:dyDescent="0.25">
      <c r="A205" s="4">
        <v>45583.705555555556</v>
      </c>
      <c r="B205" s="1">
        <v>127.02</v>
      </c>
      <c r="C205" s="1">
        <v>372.55</v>
      </c>
      <c r="D205" s="1">
        <v>16.260000000000002</v>
      </c>
      <c r="F205" s="1">
        <f t="shared" si="7"/>
        <v>-2.277904328018221E-3</v>
      </c>
      <c r="G205" s="1">
        <f t="shared" si="7"/>
        <v>1.0442093843233025E-2</v>
      </c>
      <c r="H205" s="1">
        <f t="shared" si="7"/>
        <v>1.6250000000000098E-2</v>
      </c>
      <c r="R205">
        <f t="shared" si="8"/>
        <v>4.8906758060859312E-3</v>
      </c>
    </row>
    <row r="206" spans="1:18" x14ac:dyDescent="0.25">
      <c r="A206" s="4">
        <v>45586.705555555556</v>
      </c>
      <c r="B206" s="1">
        <v>126.88</v>
      </c>
      <c r="C206" s="1">
        <v>371.64</v>
      </c>
      <c r="D206" s="1">
        <v>16.25</v>
      </c>
      <c r="F206" s="1">
        <f t="shared" si="7"/>
        <v>-1.1021886317115204E-3</v>
      </c>
      <c r="G206" s="1">
        <f t="shared" si="7"/>
        <v>-2.4426251509864771E-3</v>
      </c>
      <c r="H206" s="1">
        <f t="shared" si="7"/>
        <v>-6.1500615006160331E-4</v>
      </c>
      <c r="R206">
        <f t="shared" si="8"/>
        <v>-1.4794261280853594E-3</v>
      </c>
    </row>
    <row r="207" spans="1:18" x14ac:dyDescent="0.25">
      <c r="A207" s="4">
        <v>45587.705555555556</v>
      </c>
      <c r="B207" s="1">
        <v>126.49</v>
      </c>
      <c r="C207" s="1">
        <v>372</v>
      </c>
      <c r="D207" s="1">
        <v>16.440000000000001</v>
      </c>
      <c r="F207" s="1">
        <f t="shared" si="7"/>
        <v>-3.0737704918032405E-3</v>
      </c>
      <c r="G207" s="1">
        <f t="shared" si="7"/>
        <v>9.686793671295213E-4</v>
      </c>
      <c r="H207" s="1">
        <f t="shared" si="7"/>
        <v>1.1692307692307669E-2</v>
      </c>
      <c r="R207">
        <f t="shared" si="8"/>
        <v>3.2719431936127901E-4</v>
      </c>
    </row>
    <row r="208" spans="1:18" x14ac:dyDescent="0.25">
      <c r="A208" s="4">
        <v>45588.705555555556</v>
      </c>
      <c r="B208" s="1">
        <v>125.79</v>
      </c>
      <c r="C208" s="1">
        <v>368.01</v>
      </c>
      <c r="D208" s="1">
        <v>16.239999999999998</v>
      </c>
      <c r="F208" s="1">
        <f t="shared" si="7"/>
        <v>-5.5340343110126256E-3</v>
      </c>
      <c r="G208" s="1">
        <f t="shared" si="7"/>
        <v>-1.0725806451612918E-2</v>
      </c>
      <c r="H208" s="1">
        <f t="shared" si="7"/>
        <v>-1.2165450121654708E-2</v>
      </c>
      <c r="R208">
        <f t="shared" si="8"/>
        <v>-7.7204813172156881E-3</v>
      </c>
    </row>
    <row r="209" spans="1:18" x14ac:dyDescent="0.25">
      <c r="A209" s="4">
        <v>45589.705555555556</v>
      </c>
      <c r="B209" s="1">
        <v>126.68</v>
      </c>
      <c r="C209" s="1">
        <v>366.8</v>
      </c>
      <c r="D209" s="1">
        <v>16.27</v>
      </c>
      <c r="F209" s="1">
        <f t="shared" si="7"/>
        <v>7.0752842038317443E-3</v>
      </c>
      <c r="G209" s="1">
        <f t="shared" si="7"/>
        <v>-3.2879541316811478E-3</v>
      </c>
      <c r="H209" s="1">
        <f t="shared" si="7"/>
        <v>1.847290640394128E-3</v>
      </c>
      <c r="R209">
        <f t="shared" si="8"/>
        <v>1.6996610928996514E-3</v>
      </c>
    </row>
    <row r="210" spans="1:18" x14ac:dyDescent="0.25">
      <c r="A210" s="4">
        <v>45590.705555555556</v>
      </c>
      <c r="B210" s="1">
        <v>126.43</v>
      </c>
      <c r="C210" s="1">
        <v>369.43</v>
      </c>
      <c r="D210" s="1">
        <v>16.43</v>
      </c>
      <c r="F210" s="1">
        <f t="shared" si="7"/>
        <v>-1.9734764761604184E-3</v>
      </c>
      <c r="G210" s="1">
        <f t="shared" si="7"/>
        <v>7.1701199563793949E-3</v>
      </c>
      <c r="H210" s="1">
        <f t="shared" si="7"/>
        <v>9.8340503995082429E-3</v>
      </c>
      <c r="R210">
        <f t="shared" si="8"/>
        <v>3.062062432038415E-3</v>
      </c>
    </row>
    <row r="211" spans="1:18" x14ac:dyDescent="0.25">
      <c r="A211" s="4">
        <v>45593.705555555556</v>
      </c>
      <c r="B211" s="1">
        <v>127.69</v>
      </c>
      <c r="C211" s="1">
        <v>370.8</v>
      </c>
      <c r="D211" s="1">
        <v>16.420000000000002</v>
      </c>
      <c r="F211" s="1">
        <f t="shared" si="7"/>
        <v>9.9659890848691202E-3</v>
      </c>
      <c r="G211" s="1">
        <f t="shared" si="7"/>
        <v>3.7084156673794499E-3</v>
      </c>
      <c r="H211" s="1">
        <f t="shared" si="7"/>
        <v>-6.0864272671934394E-4</v>
      </c>
      <c r="R211">
        <f t="shared" si="8"/>
        <v>5.4088976282274936E-3</v>
      </c>
    </row>
    <row r="212" spans="1:18" x14ac:dyDescent="0.25">
      <c r="A212" s="4">
        <v>45594.705555555556</v>
      </c>
      <c r="B212" s="1">
        <v>127.25</v>
      </c>
      <c r="C212" s="1">
        <v>375.55</v>
      </c>
      <c r="D212" s="1">
        <v>16.420000000000002</v>
      </c>
      <c r="F212" s="1">
        <f t="shared" si="7"/>
        <v>-3.445845406844672E-3</v>
      </c>
      <c r="G212" s="1">
        <f t="shared" si="7"/>
        <v>1.281014023732463E-2</v>
      </c>
      <c r="H212" s="1">
        <f t="shared" si="7"/>
        <v>0</v>
      </c>
      <c r="R212">
        <f t="shared" si="8"/>
        <v>3.7457179321919833E-3</v>
      </c>
    </row>
    <row r="213" spans="1:18" x14ac:dyDescent="0.25">
      <c r="A213" s="4">
        <v>45595.705555555556</v>
      </c>
      <c r="B213" s="1">
        <v>127.15</v>
      </c>
      <c r="C213" s="1">
        <v>373.6</v>
      </c>
      <c r="D213" s="1">
        <v>16.86</v>
      </c>
      <c r="F213" s="1">
        <f t="shared" si="7"/>
        <v>-7.8585461689584246E-4</v>
      </c>
      <c r="G213" s="1">
        <f t="shared" si="7"/>
        <v>-5.192384502729297E-3</v>
      </c>
      <c r="H213" s="1">
        <f t="shared" si="7"/>
        <v>2.6796589524969328E-2</v>
      </c>
      <c r="R213">
        <f t="shared" si="8"/>
        <v>2.8836330464687612E-4</v>
      </c>
    </row>
    <row r="214" spans="1:18" x14ac:dyDescent="0.25">
      <c r="A214" s="4">
        <v>45596.705555555556</v>
      </c>
      <c r="B214" s="1">
        <v>126.26</v>
      </c>
      <c r="C214" s="1">
        <v>368.58</v>
      </c>
      <c r="D214" s="1">
        <v>16.670000000000002</v>
      </c>
      <c r="F214" s="1">
        <f t="shared" si="7"/>
        <v>-6.9996067636649562E-3</v>
      </c>
      <c r="G214" s="1">
        <f t="shared" si="7"/>
        <v>-1.343683083511793E-2</v>
      </c>
      <c r="H214" s="1">
        <f t="shared" si="7"/>
        <v>-1.1269276393831462E-2</v>
      </c>
      <c r="R214">
        <f t="shared" si="8"/>
        <v>-9.3015026788963E-3</v>
      </c>
    </row>
    <row r="215" spans="1:18" x14ac:dyDescent="0.25">
      <c r="A215" s="4">
        <v>45600.705555555556</v>
      </c>
      <c r="B215" s="1">
        <v>127</v>
      </c>
      <c r="C215" s="1">
        <v>369.07</v>
      </c>
      <c r="D215" s="1">
        <v>16.62</v>
      </c>
      <c r="F215" s="1">
        <f t="shared" si="7"/>
        <v>5.8609219071756868E-3</v>
      </c>
      <c r="G215" s="1">
        <f t="shared" si="7"/>
        <v>1.3294264474470463E-3</v>
      </c>
      <c r="H215" s="1">
        <f t="shared" si="7"/>
        <v>-2.9994001199760145E-3</v>
      </c>
      <c r="R215">
        <f t="shared" si="8"/>
        <v>2.576199329851492E-3</v>
      </c>
    </row>
    <row r="216" spans="1:18" x14ac:dyDescent="0.25">
      <c r="A216" s="4">
        <v>45601.705555555556</v>
      </c>
      <c r="B216" s="1">
        <v>127.17</v>
      </c>
      <c r="C216" s="1">
        <v>370.55</v>
      </c>
      <c r="D216" s="1">
        <v>16.55</v>
      </c>
      <c r="F216" s="1">
        <f t="shared" si="7"/>
        <v>1.3385826771654674E-3</v>
      </c>
      <c r="G216" s="1">
        <f t="shared" si="7"/>
        <v>4.0100793887338781E-3</v>
      </c>
      <c r="H216" s="1">
        <f t="shared" si="7"/>
        <v>-4.2117930204572662E-3</v>
      </c>
      <c r="R216">
        <f t="shared" si="8"/>
        <v>1.7182855243140116E-3</v>
      </c>
    </row>
    <row r="217" spans="1:18" x14ac:dyDescent="0.25">
      <c r="A217" s="4">
        <v>45602.705555555556</v>
      </c>
      <c r="B217" s="1">
        <v>126.86</v>
      </c>
      <c r="C217" s="1">
        <v>375.25</v>
      </c>
      <c r="D217" s="1">
        <v>15.83</v>
      </c>
      <c r="F217" s="1">
        <f t="shared" si="7"/>
        <v>-2.4376818432020331E-3</v>
      </c>
      <c r="G217" s="1">
        <f t="shared" si="7"/>
        <v>1.268384833355829E-2</v>
      </c>
      <c r="H217" s="1">
        <f t="shared" si="7"/>
        <v>-4.3504531722054374E-2</v>
      </c>
      <c r="R217">
        <f t="shared" si="8"/>
        <v>-2.5198657606293352E-4</v>
      </c>
    </row>
    <row r="218" spans="1:18" x14ac:dyDescent="0.25">
      <c r="A218" s="4">
        <v>45603.705555555556</v>
      </c>
      <c r="B218" s="1">
        <v>126.23</v>
      </c>
      <c r="C218" s="1">
        <v>379.7</v>
      </c>
      <c r="D218" s="1">
        <v>16.149999999999999</v>
      </c>
      <c r="F218" s="1">
        <f t="shared" si="7"/>
        <v>-4.9661043670187199E-3</v>
      </c>
      <c r="G218" s="1">
        <f t="shared" si="7"/>
        <v>1.1858760826115811E-2</v>
      </c>
      <c r="H218" s="1">
        <f t="shared" si="7"/>
        <v>2.0214782059380765E-2</v>
      </c>
      <c r="R218">
        <f t="shared" si="8"/>
        <v>4.7785407895769129E-3</v>
      </c>
    </row>
    <row r="219" spans="1:18" x14ac:dyDescent="0.25">
      <c r="A219" s="4">
        <v>45604.705555555556</v>
      </c>
      <c r="B219" s="1">
        <v>124.44</v>
      </c>
      <c r="C219" s="1">
        <v>384.2</v>
      </c>
      <c r="D219" s="1">
        <v>16.13</v>
      </c>
      <c r="F219" s="1">
        <f t="shared" si="7"/>
        <v>-1.4180464231957624E-2</v>
      </c>
      <c r="G219" s="1">
        <f t="shared" si="7"/>
        <v>1.1851461680273845E-2</v>
      </c>
      <c r="H219" s="1">
        <f t="shared" si="7"/>
        <v>-1.2383900928791824E-3</v>
      </c>
      <c r="R219">
        <f t="shared" si="8"/>
        <v>-1.0554400299614295E-3</v>
      </c>
    </row>
    <row r="220" spans="1:18" x14ac:dyDescent="0.25">
      <c r="A220" s="4">
        <v>45607.705555555556</v>
      </c>
      <c r="B220" s="1">
        <v>124.46</v>
      </c>
      <c r="C220" s="1">
        <v>385.95</v>
      </c>
      <c r="D220" s="1">
        <v>15.82</v>
      </c>
      <c r="F220" s="1">
        <f t="shared" si="7"/>
        <v>1.6072002571521082E-4</v>
      </c>
      <c r="G220" s="1">
        <f t="shared" si="7"/>
        <v>4.5549193128577858E-3</v>
      </c>
      <c r="H220" s="1">
        <f t="shared" si="7"/>
        <v>-1.9218846869187733E-2</v>
      </c>
      <c r="R220">
        <f t="shared" si="8"/>
        <v>-3.5628951489574201E-5</v>
      </c>
    </row>
    <row r="221" spans="1:18" x14ac:dyDescent="0.25">
      <c r="A221" s="4">
        <v>45608.705555555556</v>
      </c>
      <c r="B221" s="1">
        <v>124.29</v>
      </c>
      <c r="C221" s="1">
        <v>384.48</v>
      </c>
      <c r="D221" s="1">
        <v>15.67</v>
      </c>
      <c r="F221" s="1">
        <f t="shared" si="7"/>
        <v>-1.3659006909849669E-3</v>
      </c>
      <c r="G221" s="1">
        <f t="shared" si="7"/>
        <v>-3.8087835211814136E-3</v>
      </c>
      <c r="H221" s="1">
        <f t="shared" si="7"/>
        <v>-9.481668773704155E-3</v>
      </c>
      <c r="R221">
        <f t="shared" si="8"/>
        <v>-3.0180405622369675E-3</v>
      </c>
    </row>
    <row r="222" spans="1:18" x14ac:dyDescent="0.25">
      <c r="A222" s="4">
        <v>45609.705555555556</v>
      </c>
      <c r="B222" s="1">
        <v>124.33</v>
      </c>
      <c r="C222" s="1">
        <v>387.96</v>
      </c>
      <c r="D222" s="1">
        <v>15.67</v>
      </c>
      <c r="F222" s="1">
        <f t="shared" si="7"/>
        <v>3.2182798294311254E-4</v>
      </c>
      <c r="G222" s="1">
        <f t="shared" si="7"/>
        <v>9.0511860174780079E-3</v>
      </c>
      <c r="H222" s="1">
        <f t="shared" si="7"/>
        <v>0</v>
      </c>
      <c r="R222">
        <f t="shared" si="8"/>
        <v>3.7492056001684482E-3</v>
      </c>
    </row>
    <row r="223" spans="1:18" x14ac:dyDescent="0.25">
      <c r="A223" s="4">
        <v>45610.705555555556</v>
      </c>
      <c r="B223" s="1">
        <v>124.39</v>
      </c>
      <c r="C223" s="1">
        <v>384.96</v>
      </c>
      <c r="D223" s="1">
        <v>15.61</v>
      </c>
      <c r="F223" s="1">
        <f t="shared" si="7"/>
        <v>4.8258666452194454E-4</v>
      </c>
      <c r="G223" s="1">
        <f t="shared" si="7"/>
        <v>-7.7327559542220703E-3</v>
      </c>
      <c r="H223" s="1">
        <f t="shared" si="7"/>
        <v>-3.8289725590300305E-3</v>
      </c>
      <c r="R223">
        <f t="shared" si="8"/>
        <v>-3.2829649717830535E-3</v>
      </c>
    </row>
    <row r="224" spans="1:18" x14ac:dyDescent="0.25">
      <c r="A224" s="4">
        <v>45614.705555555556</v>
      </c>
      <c r="B224" s="1">
        <v>124.37</v>
      </c>
      <c r="C224" s="1">
        <v>378.55</v>
      </c>
      <c r="D224" s="1">
        <v>15.76</v>
      </c>
      <c r="F224" s="1">
        <f t="shared" si="7"/>
        <v>-1.607846289893855E-4</v>
      </c>
      <c r="G224" s="1">
        <f t="shared" si="7"/>
        <v>-1.6651080631753912E-2</v>
      </c>
      <c r="H224" s="1">
        <f t="shared" si="7"/>
        <v>9.6092248558616866E-3</v>
      </c>
      <c r="R224">
        <f t="shared" si="8"/>
        <v>-5.7638236187111513E-3</v>
      </c>
    </row>
    <row r="225" spans="1:18" x14ac:dyDescent="0.25">
      <c r="A225" s="4">
        <v>45615.705555555556</v>
      </c>
      <c r="B225" s="1">
        <v>124.78</v>
      </c>
      <c r="C225" s="1">
        <v>381.65</v>
      </c>
      <c r="D225" s="1">
        <v>15.96</v>
      </c>
      <c r="F225" s="1">
        <f t="shared" si="7"/>
        <v>3.296614939294118E-3</v>
      </c>
      <c r="G225" s="1">
        <f t="shared" si="7"/>
        <v>8.1891427816667139E-3</v>
      </c>
      <c r="H225" s="1">
        <f t="shared" si="7"/>
        <v>1.2690355329949332E-2</v>
      </c>
      <c r="R225">
        <f t="shared" si="8"/>
        <v>5.8633386213792658E-3</v>
      </c>
    </row>
    <row r="226" spans="1:18" x14ac:dyDescent="0.25">
      <c r="A226" s="4">
        <v>45617.705555555556</v>
      </c>
      <c r="B226" s="1">
        <v>123.56</v>
      </c>
      <c r="C226" s="1">
        <v>386.3</v>
      </c>
      <c r="D226" s="1">
        <v>16.3</v>
      </c>
      <c r="F226" s="1">
        <f t="shared" si="7"/>
        <v>-9.7772078858791023E-3</v>
      </c>
      <c r="G226" s="1">
        <f t="shared" si="7"/>
        <v>1.2183938163238706E-2</v>
      </c>
      <c r="H226" s="1">
        <f t="shared" si="7"/>
        <v>2.130325814536338E-2</v>
      </c>
      <c r="R226">
        <f t="shared" si="8"/>
        <v>3.0930179254801786E-3</v>
      </c>
    </row>
    <row r="227" spans="1:18" x14ac:dyDescent="0.25">
      <c r="A227" s="4">
        <v>45618.705555555556</v>
      </c>
      <c r="B227" s="1">
        <v>125.66</v>
      </c>
      <c r="C227" s="1">
        <v>387.2</v>
      </c>
      <c r="D227" s="1">
        <v>16.48</v>
      </c>
      <c r="F227" s="1">
        <f t="shared" si="7"/>
        <v>1.6995791518290559E-2</v>
      </c>
      <c r="G227" s="1">
        <f t="shared" si="7"/>
        <v>2.3297954957286482E-3</v>
      </c>
      <c r="H227" s="1">
        <f t="shared" si="7"/>
        <v>1.104294478527601E-2</v>
      </c>
      <c r="R227">
        <f t="shared" si="8"/>
        <v>8.8345292841352837E-3</v>
      </c>
    </row>
    <row r="228" spans="1:18" x14ac:dyDescent="0.25">
      <c r="A228" s="4">
        <v>45621.705555555556</v>
      </c>
      <c r="B228" s="1">
        <v>125.61</v>
      </c>
      <c r="C228" s="1">
        <v>388.75</v>
      </c>
      <c r="D228" s="1">
        <v>15.98</v>
      </c>
      <c r="F228" s="1">
        <f t="shared" si="7"/>
        <v>-3.9789909279008828E-4</v>
      </c>
      <c r="G228" s="1">
        <f t="shared" si="7"/>
        <v>4.0030991735537924E-3</v>
      </c>
      <c r="H228" s="1">
        <f t="shared" si="7"/>
        <v>-3.033980582524276E-2</v>
      </c>
      <c r="R228">
        <f t="shared" si="8"/>
        <v>-1.5919005502187935E-3</v>
      </c>
    </row>
    <row r="229" spans="1:18" x14ac:dyDescent="0.25">
      <c r="A229" s="4">
        <v>45622.705555555556</v>
      </c>
      <c r="B229" s="1">
        <v>126.47</v>
      </c>
      <c r="C229" s="1">
        <v>391.15</v>
      </c>
      <c r="D229" s="1">
        <v>16.05</v>
      </c>
      <c r="F229" s="1">
        <f t="shared" si="7"/>
        <v>6.8465886474007309E-3</v>
      </c>
      <c r="G229" s="1">
        <f t="shared" si="7"/>
        <v>6.1736334405144699E-3</v>
      </c>
      <c r="H229" s="1">
        <f t="shared" si="7"/>
        <v>4.3804755944931717E-3</v>
      </c>
      <c r="R229">
        <f t="shared" si="8"/>
        <v>5.646136394615398E-3</v>
      </c>
    </row>
    <row r="230" spans="1:18" x14ac:dyDescent="0.25">
      <c r="A230" s="4">
        <v>45623.705555555556</v>
      </c>
      <c r="B230" s="1">
        <v>124.33</v>
      </c>
      <c r="C230" s="1">
        <v>397.5</v>
      </c>
      <c r="D230" s="1">
        <v>16.399999999999999</v>
      </c>
      <c r="F230" s="1">
        <f t="shared" si="7"/>
        <v>-1.6921008934925319E-2</v>
      </c>
      <c r="G230" s="1">
        <f t="shared" si="7"/>
        <v>1.6234181260386116E-2</v>
      </c>
      <c r="H230" s="1">
        <f t="shared" si="7"/>
        <v>2.1806853582554409E-2</v>
      </c>
      <c r="R230">
        <f t="shared" si="8"/>
        <v>1.9059542884397591E-3</v>
      </c>
    </row>
    <row r="231" spans="1:18" x14ac:dyDescent="0.25">
      <c r="A231" s="4">
        <v>45624.705555555556</v>
      </c>
      <c r="B231" s="1">
        <v>121.44</v>
      </c>
      <c r="C231" s="1">
        <v>402.51</v>
      </c>
      <c r="D231" s="1">
        <v>16.55</v>
      </c>
      <c r="F231" s="1">
        <f t="shared" si="7"/>
        <v>-2.3244591007801851E-2</v>
      </c>
      <c r="G231" s="1">
        <f t="shared" si="7"/>
        <v>1.2603773584905609E-2</v>
      </c>
      <c r="H231" s="1">
        <f t="shared" si="7"/>
        <v>9.1463414634147533E-3</v>
      </c>
      <c r="R231">
        <f t="shared" si="8"/>
        <v>-3.341692822817021E-3</v>
      </c>
    </row>
    <row r="232" spans="1:18" x14ac:dyDescent="0.25">
      <c r="A232" s="4">
        <v>45625.705555555556</v>
      </c>
      <c r="B232" s="1">
        <v>122.34</v>
      </c>
      <c r="C232" s="1">
        <v>402.85</v>
      </c>
      <c r="D232" s="1">
        <v>16.670000000000002</v>
      </c>
      <c r="F232" s="1">
        <f t="shared" si="7"/>
        <v>7.4110671936760131E-3</v>
      </c>
      <c r="G232" s="1">
        <f t="shared" si="7"/>
        <v>8.4469951057131176E-4</v>
      </c>
      <c r="H232" s="1">
        <f t="shared" si="7"/>
        <v>7.2507552870091363E-3</v>
      </c>
      <c r="R232">
        <f t="shared" si="8"/>
        <v>4.0273822103998437E-3</v>
      </c>
    </row>
    <row r="233" spans="1:18" x14ac:dyDescent="0.25">
      <c r="A233" s="4">
        <v>45628.705555555556</v>
      </c>
      <c r="B233" s="1">
        <v>121.94</v>
      </c>
      <c r="C233" s="1">
        <v>410</v>
      </c>
      <c r="D233" s="1">
        <v>16.79</v>
      </c>
      <c r="F233" s="1">
        <f t="shared" si="7"/>
        <v>-3.2695765898316242E-3</v>
      </c>
      <c r="G233" s="1">
        <f t="shared" si="7"/>
        <v>1.774854164080919E-2</v>
      </c>
      <c r="H233" s="1">
        <f t="shared" si="7"/>
        <v>7.1985602879423016E-3</v>
      </c>
      <c r="R233">
        <f t="shared" si="8"/>
        <v>6.5114420491852567E-3</v>
      </c>
    </row>
    <row r="234" spans="1:18" x14ac:dyDescent="0.25">
      <c r="A234" s="4">
        <v>45629.705555555556</v>
      </c>
      <c r="B234" s="1">
        <v>122.8</v>
      </c>
      <c r="C234" s="1">
        <v>409.1</v>
      </c>
      <c r="D234" s="1">
        <v>16.760000000000002</v>
      </c>
      <c r="F234" s="1">
        <f t="shared" si="7"/>
        <v>7.0526488436937207E-3</v>
      </c>
      <c r="G234" s="1">
        <f t="shared" si="7"/>
        <v>-2.1951219512194031E-3</v>
      </c>
      <c r="H234" s="1">
        <f t="shared" si="7"/>
        <v>-1.7867778439546456E-3</v>
      </c>
      <c r="R234">
        <f t="shared" si="8"/>
        <v>1.7643329725942627E-3</v>
      </c>
    </row>
    <row r="235" spans="1:18" x14ac:dyDescent="0.25">
      <c r="A235" s="4">
        <v>45630.705555555556</v>
      </c>
      <c r="B235" s="1">
        <v>122.77</v>
      </c>
      <c r="C235" s="1">
        <v>411.2</v>
      </c>
      <c r="D235" s="1">
        <v>16.78</v>
      </c>
      <c r="F235" s="1">
        <f t="shared" si="7"/>
        <v>-2.4429967426708998E-4</v>
      </c>
      <c r="G235" s="1">
        <f t="shared" si="7"/>
        <v>5.1332192617941086E-3</v>
      </c>
      <c r="H235" s="1">
        <f t="shared" si="7"/>
        <v>1.1933174224343368E-3</v>
      </c>
      <c r="R235">
        <f t="shared" si="8"/>
        <v>2.0748995772542412E-3</v>
      </c>
    </row>
    <row r="236" spans="1:18" x14ac:dyDescent="0.25">
      <c r="A236" s="4">
        <v>45631.705555555556</v>
      </c>
      <c r="B236" s="1">
        <v>124.47</v>
      </c>
      <c r="C236" s="1">
        <v>408.19</v>
      </c>
      <c r="D236" s="1">
        <v>16.57</v>
      </c>
      <c r="F236" s="1">
        <f t="shared" si="7"/>
        <v>1.3847031033640267E-2</v>
      </c>
      <c r="G236" s="1">
        <f t="shared" si="7"/>
        <v>-7.3200389105058106E-3</v>
      </c>
      <c r="H236" s="1">
        <f t="shared" si="7"/>
        <v>-1.2514898688915421E-2</v>
      </c>
      <c r="R236">
        <f t="shared" si="8"/>
        <v>1.3593069803622404E-3</v>
      </c>
    </row>
    <row r="237" spans="1:18" x14ac:dyDescent="0.25">
      <c r="A237" s="4">
        <v>45632.705555555556</v>
      </c>
      <c r="B237" s="1">
        <v>122.67</v>
      </c>
      <c r="C237" s="1">
        <v>413.87</v>
      </c>
      <c r="D237" s="1">
        <v>16.82</v>
      </c>
      <c r="F237" s="1">
        <f t="shared" si="7"/>
        <v>-1.4461315979754086E-2</v>
      </c>
      <c r="G237" s="1">
        <f t="shared" si="7"/>
        <v>1.3915088561699207E-2</v>
      </c>
      <c r="H237" s="1">
        <f t="shared" si="7"/>
        <v>1.5087507543753764E-2</v>
      </c>
      <c r="R237">
        <f t="shared" si="8"/>
        <v>1.2902597871534251E-3</v>
      </c>
    </row>
    <row r="238" spans="1:18" x14ac:dyDescent="0.25">
      <c r="A238" s="4">
        <v>45635.705555555556</v>
      </c>
      <c r="B238" s="1">
        <v>123.85</v>
      </c>
      <c r="C238" s="1">
        <v>411.85</v>
      </c>
      <c r="D238" s="1">
        <v>16.96</v>
      </c>
      <c r="F238" s="1">
        <f t="shared" si="7"/>
        <v>9.6193038232657013E-3</v>
      </c>
      <c r="G238" s="1">
        <f t="shared" si="7"/>
        <v>-4.8807596588300584E-3</v>
      </c>
      <c r="H238" s="1">
        <f t="shared" si="7"/>
        <v>8.3234244946492897E-3</v>
      </c>
      <c r="R238">
        <f t="shared" si="8"/>
        <v>2.7277601152391859E-3</v>
      </c>
    </row>
    <row r="239" spans="1:18" x14ac:dyDescent="0.25">
      <c r="A239" s="4">
        <v>45636.705555555556</v>
      </c>
      <c r="B239" s="1">
        <v>124.86</v>
      </c>
      <c r="C239" s="1">
        <v>408.48</v>
      </c>
      <c r="D239" s="1">
        <v>17.09</v>
      </c>
      <c r="F239" s="1">
        <f t="shared" si="7"/>
        <v>8.1550262414211705E-3</v>
      </c>
      <c r="G239" s="1">
        <f t="shared" si="7"/>
        <v>-8.1825907490591376E-3</v>
      </c>
      <c r="H239" s="1">
        <f t="shared" si="7"/>
        <v>7.6650943396225912E-3</v>
      </c>
      <c r="R239">
        <f t="shared" si="8"/>
        <v>7.5548363090707196E-4</v>
      </c>
    </row>
    <row r="240" spans="1:18" x14ac:dyDescent="0.25">
      <c r="A240" s="4">
        <v>45637.705555555556</v>
      </c>
      <c r="B240" s="1">
        <v>126.19</v>
      </c>
      <c r="C240" s="1">
        <v>405.1</v>
      </c>
      <c r="D240" s="1">
        <v>17</v>
      </c>
      <c r="F240" s="1">
        <f t="shared" si="7"/>
        <v>1.065193016178112E-2</v>
      </c>
      <c r="G240" s="1">
        <f t="shared" si="7"/>
        <v>-8.2745789267528735E-3</v>
      </c>
      <c r="H240" s="1">
        <f t="shared" si="7"/>
        <v>-5.2662375658280025E-3</v>
      </c>
      <c r="R240">
        <f t="shared" si="8"/>
        <v>4.2431673742849868E-4</v>
      </c>
    </row>
    <row r="241" spans="1:18" x14ac:dyDescent="0.25">
      <c r="A241" s="4">
        <v>45638.705555555556</v>
      </c>
      <c r="B241" s="1">
        <v>122.85</v>
      </c>
      <c r="C241" s="1">
        <v>405.9</v>
      </c>
      <c r="D241" s="1">
        <v>16.829999999999998</v>
      </c>
      <c r="F241" s="1">
        <f t="shared" si="7"/>
        <v>-2.646802440763929E-2</v>
      </c>
      <c r="G241" s="1">
        <f t="shared" si="7"/>
        <v>1.9748210318439874E-3</v>
      </c>
      <c r="H241" s="1">
        <f t="shared" si="7"/>
        <v>-1.000000000000012E-2</v>
      </c>
      <c r="R241">
        <f t="shared" si="8"/>
        <v>-1.0797281350318133E-2</v>
      </c>
    </row>
    <row r="242" spans="1:18" x14ac:dyDescent="0.25">
      <c r="A242" s="4">
        <v>45639.705555555556</v>
      </c>
      <c r="B242" s="1">
        <v>121.43</v>
      </c>
      <c r="C242" s="1">
        <v>409.65</v>
      </c>
      <c r="D242" s="1">
        <v>16.8</v>
      </c>
      <c r="F242" s="1">
        <f t="shared" si="7"/>
        <v>-1.1558811558811444E-2</v>
      </c>
      <c r="G242" s="1">
        <f t="shared" si="7"/>
        <v>9.238728750923908E-3</v>
      </c>
      <c r="H242" s="1">
        <f t="shared" si="7"/>
        <v>-1.7825311942957223E-3</v>
      </c>
      <c r="R242">
        <f t="shared" si="8"/>
        <v>-1.1062862425845865E-3</v>
      </c>
    </row>
    <row r="243" spans="1:18" x14ac:dyDescent="0.25">
      <c r="A243" s="4">
        <v>45642.705555555556</v>
      </c>
      <c r="B243" s="1">
        <v>120.41</v>
      </c>
      <c r="C243" s="1">
        <v>416.64</v>
      </c>
      <c r="D243" s="1">
        <v>17.05</v>
      </c>
      <c r="F243" s="1">
        <f t="shared" si="7"/>
        <v>-8.3999011776333399E-3</v>
      </c>
      <c r="G243" s="1">
        <f t="shared" si="7"/>
        <v>1.7063346759428777E-2</v>
      </c>
      <c r="H243" s="1">
        <f t="shared" si="7"/>
        <v>1.4880952380952328E-2</v>
      </c>
      <c r="R243">
        <f t="shared" si="8"/>
        <v>4.9534734708134073E-3</v>
      </c>
    </row>
    <row r="244" spans="1:18" x14ac:dyDescent="0.25">
      <c r="A244" s="4">
        <v>45643.705555555556</v>
      </c>
      <c r="B244" s="1">
        <v>121.48</v>
      </c>
      <c r="C244" s="1">
        <v>413</v>
      </c>
      <c r="D244" s="1">
        <v>16.95</v>
      </c>
      <c r="F244" s="1">
        <f t="shared" si="7"/>
        <v>8.8863051241592217E-3</v>
      </c>
      <c r="G244" s="1">
        <f t="shared" si="7"/>
        <v>-8.736559139784883E-3</v>
      </c>
      <c r="H244" s="1">
        <f t="shared" si="7"/>
        <v>-5.8651026392962935E-3</v>
      </c>
      <c r="R244">
        <f t="shared" si="8"/>
        <v>-5.266118701798936E-4</v>
      </c>
    </row>
    <row r="245" spans="1:18" x14ac:dyDescent="0.25">
      <c r="A245" s="4">
        <v>45644.705555555556</v>
      </c>
      <c r="B245" s="1">
        <v>117.78</v>
      </c>
      <c r="C245" s="1">
        <v>412.89</v>
      </c>
      <c r="D245" s="1">
        <v>17.04</v>
      </c>
      <c r="F245" s="1">
        <f t="shared" si="7"/>
        <v>-3.0457688508396474E-2</v>
      </c>
      <c r="G245" s="1">
        <f t="shared" si="7"/>
        <v>-2.6634382566592674E-4</v>
      </c>
      <c r="H245" s="1">
        <f t="shared" si="7"/>
        <v>5.3097345132744334E-3</v>
      </c>
      <c r="R245">
        <f t="shared" si="8"/>
        <v>-1.1758639482297519E-2</v>
      </c>
    </row>
    <row r="246" spans="1:18" x14ac:dyDescent="0.25">
      <c r="A246" s="4">
        <v>45645.705555555556</v>
      </c>
      <c r="B246" s="1">
        <v>118.09</v>
      </c>
      <c r="C246" s="1">
        <v>402.35</v>
      </c>
      <c r="D246" s="1">
        <v>16.72</v>
      </c>
      <c r="F246" s="1">
        <f t="shared" si="7"/>
        <v>2.6320258108338823E-3</v>
      </c>
      <c r="G246" s="1">
        <f t="shared" si="7"/>
        <v>-2.5527380173896108E-2</v>
      </c>
      <c r="H246" s="1">
        <f t="shared" si="7"/>
        <v>-1.8779342723004744E-2</v>
      </c>
      <c r="R246">
        <f t="shared" si="8"/>
        <v>-1.1036076017525365E-2</v>
      </c>
    </row>
    <row r="247" spans="1:18" x14ac:dyDescent="0.25">
      <c r="A247" s="4">
        <v>45646.705555555556</v>
      </c>
      <c r="B247" s="1">
        <v>118.98</v>
      </c>
      <c r="C247" s="1">
        <v>403.45</v>
      </c>
      <c r="D247" s="1">
        <v>16.73</v>
      </c>
      <c r="F247" s="1">
        <f t="shared" si="7"/>
        <v>7.5366246083494737E-3</v>
      </c>
      <c r="G247" s="1">
        <f t="shared" si="7"/>
        <v>2.7339381135826901E-3</v>
      </c>
      <c r="H247" s="1">
        <f t="shared" si="7"/>
        <v>5.9808612440193087E-4</v>
      </c>
      <c r="R247">
        <f t="shared" si="8"/>
        <v>4.1680337012130588E-3</v>
      </c>
    </row>
    <row r="248" spans="1:18" x14ac:dyDescent="0.25">
      <c r="A248" s="4">
        <v>45649.705555555556</v>
      </c>
      <c r="B248" s="1">
        <v>117.73</v>
      </c>
      <c r="C248" s="1">
        <v>413.5</v>
      </c>
      <c r="D248" s="1">
        <v>16.96</v>
      </c>
      <c r="F248" s="1">
        <f t="shared" si="7"/>
        <v>-1.0505967389477178E-2</v>
      </c>
      <c r="G248" s="1">
        <f t="shared" si="7"/>
        <v>2.4910149956624217E-2</v>
      </c>
      <c r="H248" s="1">
        <f t="shared" si="7"/>
        <v>1.3747758517633102E-2</v>
      </c>
      <c r="R248">
        <f t="shared" si="8"/>
        <v>7.1364488786221265E-3</v>
      </c>
    </row>
    <row r="249" spans="1:18" x14ac:dyDescent="0.25">
      <c r="A249" s="4">
        <v>45652.705555555556</v>
      </c>
      <c r="B249" s="1">
        <v>118.05</v>
      </c>
      <c r="C249" s="1">
        <v>417.2</v>
      </c>
      <c r="D249" s="1">
        <v>17.07</v>
      </c>
      <c r="F249" s="1">
        <f t="shared" si="7"/>
        <v>2.7180837509555023E-3</v>
      </c>
      <c r="G249" s="1">
        <f t="shared" si="7"/>
        <v>8.9480048367593934E-3</v>
      </c>
      <c r="H249" s="1">
        <f t="shared" si="7"/>
        <v>6.4858490566037652E-3</v>
      </c>
      <c r="R249">
        <f t="shared" si="8"/>
        <v>5.315020340746335E-3</v>
      </c>
    </row>
    <row r="250" spans="1:18" x14ac:dyDescent="0.25">
      <c r="A250" s="4">
        <v>45653.705555555556</v>
      </c>
      <c r="B250" s="1">
        <v>117.29</v>
      </c>
      <c r="C250" s="1">
        <v>412.9</v>
      </c>
      <c r="D250" s="1">
        <v>16.989999999999998</v>
      </c>
      <c r="F250" s="1">
        <f t="shared" si="7"/>
        <v>-6.4379500211774188E-3</v>
      </c>
      <c r="G250" s="1">
        <f t="shared" si="7"/>
        <v>-1.0306807286673103E-2</v>
      </c>
      <c r="H250" s="1">
        <f t="shared" si="7"/>
        <v>-4.6865846514353438E-3</v>
      </c>
      <c r="R250">
        <f t="shared" si="8"/>
        <v>-7.1665613882837429E-3</v>
      </c>
    </row>
    <row r="251" spans="1:18" x14ac:dyDescent="0.25">
      <c r="A251" s="4">
        <v>45656.705555555556</v>
      </c>
      <c r="B251" s="1">
        <v>117.27</v>
      </c>
      <c r="C251" s="1">
        <v>407.7</v>
      </c>
      <c r="D251" s="1">
        <v>16.89</v>
      </c>
      <c r="F251" s="1">
        <f t="shared" si="7"/>
        <v>-1.7051752067531734E-4</v>
      </c>
      <c r="G251" s="1">
        <f t="shared" si="7"/>
        <v>-1.2593848389440554E-2</v>
      </c>
      <c r="H251" s="1">
        <f t="shared" si="7"/>
        <v>-5.8858151854030982E-3</v>
      </c>
      <c r="R251">
        <f t="shared" si="8"/>
        <v>-5.6943278825866582E-3</v>
      </c>
    </row>
    <row r="252" spans="1:18" x14ac:dyDescent="0.25">
      <c r="A252" s="4">
        <v>45659.705555555556</v>
      </c>
      <c r="B252" s="1">
        <v>117.14</v>
      </c>
      <c r="C252" s="1">
        <v>403.15</v>
      </c>
      <c r="D252" s="1">
        <v>17.14</v>
      </c>
      <c r="F252" s="1">
        <f t="shared" si="7"/>
        <v>-1.1085529120832271E-3</v>
      </c>
      <c r="G252" s="1">
        <f t="shared" si="7"/>
        <v>-1.116016678930587E-2</v>
      </c>
      <c r="H252" s="1">
        <f t="shared" si="7"/>
        <v>1.4801657785671996E-2</v>
      </c>
      <c r="R252">
        <f t="shared" si="8"/>
        <v>-3.427322101988439E-3</v>
      </c>
    </row>
    <row r="253" spans="1:18" x14ac:dyDescent="0.25">
      <c r="A253" s="4">
        <v>45660.705555555556</v>
      </c>
      <c r="B253" s="1">
        <v>115.59</v>
      </c>
      <c r="C253" s="1">
        <v>410.65</v>
      </c>
      <c r="D253" s="1">
        <v>17.11</v>
      </c>
      <c r="F253" s="1">
        <f t="shared" si="7"/>
        <v>-1.3232030049513344E-2</v>
      </c>
      <c r="G253" s="1">
        <f t="shared" si="7"/>
        <v>1.8603497457521989E-2</v>
      </c>
      <c r="H253" s="1">
        <f t="shared" si="7"/>
        <v>-1.7502917152859565E-3</v>
      </c>
      <c r="R253">
        <f t="shared" si="8"/>
        <v>1.9735577916748623E-3</v>
      </c>
    </row>
    <row r="254" spans="1:18" x14ac:dyDescent="0.25">
      <c r="A254" s="4">
        <v>45663.705555555556</v>
      </c>
      <c r="B254" s="1">
        <v>117.04</v>
      </c>
      <c r="C254" s="1">
        <v>408.12</v>
      </c>
      <c r="D254" s="1">
        <v>16.899999999999999</v>
      </c>
      <c r="F254" s="1">
        <f t="shared" si="7"/>
        <v>1.2544337745479694E-2</v>
      </c>
      <c r="G254" s="1">
        <f t="shared" si="7"/>
        <v>-6.1609643248508039E-3</v>
      </c>
      <c r="H254" s="1">
        <f t="shared" si="7"/>
        <v>-1.2273524254821755E-2</v>
      </c>
      <c r="R254">
        <f t="shared" si="8"/>
        <v>1.3259969427693811E-3</v>
      </c>
    </row>
    <row r="255" spans="1:18" x14ac:dyDescent="0.25">
      <c r="A255" s="4">
        <v>45664.705555555556</v>
      </c>
      <c r="B255" s="1">
        <v>118.11</v>
      </c>
      <c r="C255" s="1">
        <v>403.22</v>
      </c>
      <c r="D255" s="1">
        <v>16.940000000000001</v>
      </c>
      <c r="F255" s="1">
        <f t="shared" si="7"/>
        <v>9.1421736158576739E-3</v>
      </c>
      <c r="G255" s="1">
        <f t="shared" si="7"/>
        <v>-1.2006272664902395E-2</v>
      </c>
      <c r="H255" s="1">
        <f t="shared" si="7"/>
        <v>2.3668639053255891E-3</v>
      </c>
      <c r="R255">
        <f t="shared" si="8"/>
        <v>-9.0895322908533024E-4</v>
      </c>
    </row>
    <row r="256" spans="1:18" x14ac:dyDescent="0.25">
      <c r="A256" s="4">
        <v>45665.705555555556</v>
      </c>
      <c r="B256" s="1">
        <v>116.69</v>
      </c>
      <c r="C256" s="1">
        <v>403.79</v>
      </c>
      <c r="D256" s="1">
        <v>17.07</v>
      </c>
      <c r="F256" s="1">
        <f t="shared" si="7"/>
        <v>-1.202269071204809E-2</v>
      </c>
      <c r="G256" s="1">
        <f t="shared" si="7"/>
        <v>1.4136203561330163E-3</v>
      </c>
      <c r="H256" s="1">
        <f t="shared" si="7"/>
        <v>7.6741440377803283E-3</v>
      </c>
      <c r="R256">
        <f t="shared" si="8"/>
        <v>-3.4762137385879969E-3</v>
      </c>
    </row>
    <row r="257" spans="1:18" x14ac:dyDescent="0.25">
      <c r="A257" s="4">
        <v>45666.705555555556</v>
      </c>
      <c r="B257" s="1">
        <v>116.79</v>
      </c>
      <c r="C257" s="1">
        <v>400.17</v>
      </c>
      <c r="D257" s="1">
        <v>17.02</v>
      </c>
      <c r="F257" s="1">
        <f t="shared" si="7"/>
        <v>8.569714628503533E-4</v>
      </c>
      <c r="G257" s="1">
        <f t="shared" si="7"/>
        <v>-8.9650560935139456E-3</v>
      </c>
      <c r="H257" s="1">
        <f t="shared" si="7"/>
        <v>-2.9291154071471315E-3</v>
      </c>
      <c r="R257">
        <f t="shared" si="8"/>
        <v>-3.5361453929801502E-3</v>
      </c>
    </row>
    <row r="258" spans="1:18" x14ac:dyDescent="0.25">
      <c r="A258" s="4">
        <v>45667.705555555556</v>
      </c>
      <c r="B258" s="1">
        <v>115.92</v>
      </c>
      <c r="C258" s="1">
        <v>398.05</v>
      </c>
      <c r="D258" s="1">
        <v>17.239999999999998</v>
      </c>
      <c r="F258" s="1">
        <f t="shared" si="7"/>
        <v>-7.4492679167736942E-3</v>
      </c>
      <c r="G258" s="1">
        <f t="shared" si="7"/>
        <v>-5.297748456905782E-3</v>
      </c>
      <c r="H258" s="1">
        <f t="shared" si="7"/>
        <v>1.2925969447708408E-2</v>
      </c>
      <c r="R258">
        <f t="shared" si="8"/>
        <v>-3.8062096047009495E-3</v>
      </c>
    </row>
    <row r="259" spans="1:18" x14ac:dyDescent="0.25">
      <c r="A259" s="4">
        <v>45670.705555555556</v>
      </c>
      <c r="B259" s="1">
        <v>116.03</v>
      </c>
      <c r="C259" s="1">
        <v>397.9</v>
      </c>
      <c r="D259" s="1">
        <v>17.02</v>
      </c>
      <c r="F259" s="1">
        <f t="shared" si="7"/>
        <v>9.4893029675646723E-4</v>
      </c>
      <c r="G259" s="1">
        <f t="shared" si="7"/>
        <v>-3.768370807688548E-4</v>
      </c>
      <c r="H259" s="1">
        <f t="shared" si="7"/>
        <v>-1.2761020881670415E-2</v>
      </c>
      <c r="R259">
        <f t="shared" si="8"/>
        <v>-1.0472648017719962E-3</v>
      </c>
    </row>
    <row r="260" spans="1:18" x14ac:dyDescent="0.25">
      <c r="A260" s="4">
        <v>45671.705555555556</v>
      </c>
      <c r="B260" s="1">
        <v>116.31</v>
      </c>
      <c r="C260" s="1">
        <v>395.61</v>
      </c>
      <c r="D260" s="1">
        <v>16.989999999999998</v>
      </c>
      <c r="F260" s="1">
        <f t="shared" ref="F260:H323" si="9">(B260/B259)-1</f>
        <v>2.4131690080151369E-3</v>
      </c>
      <c r="G260" s="1">
        <f t="shared" si="9"/>
        <v>-5.7552148781100376E-3</v>
      </c>
      <c r="H260" s="1">
        <f t="shared" si="9"/>
        <v>-1.762632197414904E-3</v>
      </c>
      <c r="R260">
        <f t="shared" si="8"/>
        <v>-1.5130815677794507E-3</v>
      </c>
    </row>
    <row r="261" spans="1:18" x14ac:dyDescent="0.25">
      <c r="A261" s="4">
        <v>45672.705555555556</v>
      </c>
      <c r="B261" s="1">
        <v>119.5</v>
      </c>
      <c r="C261" s="1">
        <v>399.87</v>
      </c>
      <c r="D261" s="1">
        <v>17</v>
      </c>
      <c r="F261" s="1">
        <f t="shared" si="9"/>
        <v>2.7426704496603893E-2</v>
      </c>
      <c r="G261" s="1">
        <f t="shared" si="9"/>
        <v>1.0768180784105574E-2</v>
      </c>
      <c r="H261" s="1">
        <f t="shared" si="9"/>
        <v>5.8858151854046525E-4</v>
      </c>
      <c r="R261">
        <f t="shared" ref="R261:R324" si="10">$L$2*F261+G261*$L$3+H261*$L$4</f>
        <v>1.5336812264137837E-2</v>
      </c>
    </row>
    <row r="262" spans="1:18" x14ac:dyDescent="0.25">
      <c r="A262" s="4">
        <v>45673.705555555556</v>
      </c>
      <c r="B262" s="1">
        <v>118.25</v>
      </c>
      <c r="C262" s="1">
        <v>402.13</v>
      </c>
      <c r="D262" s="1">
        <v>17.22</v>
      </c>
      <c r="F262" s="1">
        <f t="shared" si="9"/>
        <v>-1.0460251046025104E-2</v>
      </c>
      <c r="G262" s="1">
        <f t="shared" si="9"/>
        <v>5.6518368469753444E-3</v>
      </c>
      <c r="H262" s="1">
        <f t="shared" si="9"/>
        <v>1.2941176470588234E-2</v>
      </c>
      <c r="R262">
        <f t="shared" si="10"/>
        <v>-6.2924803256108057E-4</v>
      </c>
    </row>
    <row r="263" spans="1:18" x14ac:dyDescent="0.25">
      <c r="A263" s="4">
        <v>45674.705555555556</v>
      </c>
      <c r="B263" s="1">
        <v>119.27</v>
      </c>
      <c r="C263" s="1">
        <v>407</v>
      </c>
      <c r="D263" s="1">
        <v>17.2</v>
      </c>
      <c r="F263" s="1">
        <f t="shared" si="9"/>
        <v>8.6257928118393945E-3</v>
      </c>
      <c r="G263" s="1">
        <f t="shared" si="9"/>
        <v>1.2110511526123302E-2</v>
      </c>
      <c r="H263" s="1">
        <f t="shared" si="9"/>
        <v>-1.1614401858304202E-3</v>
      </c>
      <c r="R263">
        <f t="shared" si="10"/>
        <v>8.178377716602037E-3</v>
      </c>
    </row>
    <row r="264" spans="1:18" x14ac:dyDescent="0.25">
      <c r="A264" s="4">
        <v>45677.705555555556</v>
      </c>
      <c r="B264" s="1">
        <v>119.78</v>
      </c>
      <c r="C264" s="1">
        <v>406.33</v>
      </c>
      <c r="D264" s="1">
        <v>17.2</v>
      </c>
      <c r="F264" s="1">
        <f t="shared" si="9"/>
        <v>4.2760124088203622E-3</v>
      </c>
      <c r="G264" s="1">
        <f t="shared" si="9"/>
        <v>-1.6461916461917303E-3</v>
      </c>
      <c r="H264" s="1">
        <f t="shared" si="9"/>
        <v>0</v>
      </c>
      <c r="R264">
        <f t="shared" si="10"/>
        <v>1.0519283050514526E-3</v>
      </c>
    </row>
    <row r="265" spans="1:18" x14ac:dyDescent="0.25">
      <c r="A265" s="4">
        <v>45678.705555555556</v>
      </c>
      <c r="B265" s="1">
        <v>120.26</v>
      </c>
      <c r="C265" s="1">
        <v>407.79</v>
      </c>
      <c r="D265" s="1">
        <v>17.32</v>
      </c>
      <c r="F265" s="1">
        <f t="shared" si="9"/>
        <v>4.0073468024712788E-3</v>
      </c>
      <c r="G265" s="1">
        <f t="shared" si="9"/>
        <v>3.5931385819407691E-3</v>
      </c>
      <c r="H265" s="1">
        <f t="shared" si="9"/>
        <v>6.9767441860466572E-3</v>
      </c>
      <c r="R265">
        <f t="shared" si="10"/>
        <v>3.7378685723694852E-3</v>
      </c>
    </row>
    <row r="266" spans="1:18" x14ac:dyDescent="0.25">
      <c r="A266" s="4">
        <v>45679.705555555556</v>
      </c>
      <c r="B266" s="1">
        <v>119.92</v>
      </c>
      <c r="C266" s="1">
        <v>404.18</v>
      </c>
      <c r="D266" s="1">
        <v>17.170000000000002</v>
      </c>
      <c r="F266" s="1">
        <f t="shared" si="9"/>
        <v>-2.8272077166140441E-3</v>
      </c>
      <c r="G266" s="1">
        <f t="shared" si="9"/>
        <v>-8.8525956987665078E-3</v>
      </c>
      <c r="H266" s="1">
        <f t="shared" si="9"/>
        <v>-8.6605080831407832E-3</v>
      </c>
      <c r="R266">
        <f t="shared" si="10"/>
        <v>-5.5379721744662994E-3</v>
      </c>
    </row>
    <row r="267" spans="1:18" x14ac:dyDescent="0.25">
      <c r="A267" s="4">
        <v>45680.705555555556</v>
      </c>
      <c r="B267" s="1">
        <v>119.45</v>
      </c>
      <c r="C267" s="1">
        <v>405.16</v>
      </c>
      <c r="D267" s="1">
        <v>17.079999999999998</v>
      </c>
      <c r="F267" s="1">
        <f t="shared" si="9"/>
        <v>-3.9192795196797414E-3</v>
      </c>
      <c r="G267" s="1">
        <f t="shared" si="9"/>
        <v>2.4246622791825878E-3</v>
      </c>
      <c r="H267" s="1">
        <f t="shared" si="9"/>
        <v>-5.2417006406525468E-3</v>
      </c>
      <c r="R267">
        <f t="shared" si="10"/>
        <v>-1.122016960264116E-3</v>
      </c>
    </row>
    <row r="268" spans="1:18" x14ac:dyDescent="0.25">
      <c r="A268" s="4">
        <v>45681.705555555556</v>
      </c>
      <c r="B268" s="1">
        <v>119.41</v>
      </c>
      <c r="C268" s="1">
        <v>403.41</v>
      </c>
      <c r="D268" s="1">
        <v>17.190000000000001</v>
      </c>
      <c r="F268" s="1">
        <f t="shared" si="9"/>
        <v>-3.3486814566774381E-4</v>
      </c>
      <c r="G268" s="1">
        <f t="shared" si="9"/>
        <v>-4.3192812715964202E-3</v>
      </c>
      <c r="H268" s="1">
        <f t="shared" si="9"/>
        <v>6.4402810304451386E-3</v>
      </c>
      <c r="R268">
        <f t="shared" si="10"/>
        <v>-1.2176316638611519E-3</v>
      </c>
    </row>
    <row r="269" spans="1:18" x14ac:dyDescent="0.25">
      <c r="A269" s="4">
        <v>45684.705555555556</v>
      </c>
      <c r="B269" s="1">
        <v>121.71</v>
      </c>
      <c r="C269" s="1">
        <v>396.75</v>
      </c>
      <c r="D269" s="1">
        <v>16.97</v>
      </c>
      <c r="F269" s="1">
        <f t="shared" si="9"/>
        <v>1.9261368394606793E-2</v>
      </c>
      <c r="G269" s="1">
        <f t="shared" si="9"/>
        <v>-1.650925857068497E-2</v>
      </c>
      <c r="H269" s="1">
        <f t="shared" si="9"/>
        <v>-1.2798138452588814E-2</v>
      </c>
      <c r="R269">
        <f t="shared" si="10"/>
        <v>-1.7896991569015214E-4</v>
      </c>
    </row>
    <row r="270" spans="1:18" x14ac:dyDescent="0.25">
      <c r="A270" s="4">
        <v>45685.705555555556</v>
      </c>
      <c r="B270" s="1">
        <v>121</v>
      </c>
      <c r="C270" s="1">
        <v>397.95</v>
      </c>
      <c r="D270" s="1">
        <v>17</v>
      </c>
      <c r="F270" s="1">
        <f t="shared" si="9"/>
        <v>-5.8335387396268867E-3</v>
      </c>
      <c r="G270" s="1">
        <f t="shared" si="9"/>
        <v>3.0245746691870412E-3</v>
      </c>
      <c r="H270" s="1">
        <f t="shared" si="9"/>
        <v>1.767825574543469E-3</v>
      </c>
      <c r="R270">
        <f t="shared" si="10"/>
        <v>-9.4680307072159131E-4</v>
      </c>
    </row>
    <row r="271" spans="1:18" x14ac:dyDescent="0.25">
      <c r="A271" s="4">
        <v>45686.705555555556</v>
      </c>
      <c r="B271" s="1">
        <v>120.38</v>
      </c>
      <c r="C271" s="1">
        <v>394.1</v>
      </c>
      <c r="D271" s="1">
        <v>16.93</v>
      </c>
      <c r="F271" s="1">
        <f t="shared" si="9"/>
        <v>-5.1239669421487832E-3</v>
      </c>
      <c r="G271" s="1">
        <f t="shared" si="9"/>
        <v>-9.6745822339489029E-3</v>
      </c>
      <c r="H271" s="1">
        <f t="shared" si="9"/>
        <v>-4.1176470588235592E-3</v>
      </c>
      <c r="R271">
        <f t="shared" si="10"/>
        <v>-6.3311843763214307E-3</v>
      </c>
    </row>
    <row r="272" spans="1:18" x14ac:dyDescent="0.25">
      <c r="A272" s="4">
        <v>45687.705555555556</v>
      </c>
      <c r="B272" s="1">
        <v>123.7</v>
      </c>
      <c r="C272" s="1">
        <v>398.41</v>
      </c>
      <c r="D272" s="1">
        <v>17.22</v>
      </c>
      <c r="F272" s="1">
        <f t="shared" si="9"/>
        <v>2.7579332114969324E-2</v>
      </c>
      <c r="G272" s="1">
        <f t="shared" si="9"/>
        <v>1.0936310581070696E-2</v>
      </c>
      <c r="H272" s="1">
        <f t="shared" si="9"/>
        <v>1.7129356172474797E-2</v>
      </c>
      <c r="R272">
        <f t="shared" si="10"/>
        <v>1.711919269566349E-2</v>
      </c>
    </row>
    <row r="273" spans="1:18" x14ac:dyDescent="0.25">
      <c r="A273" s="4">
        <v>45688.705555555556</v>
      </c>
      <c r="B273" s="1">
        <v>123.02</v>
      </c>
      <c r="C273" s="1">
        <v>394.15</v>
      </c>
      <c r="D273" s="1">
        <v>17.16</v>
      </c>
      <c r="F273" s="1">
        <f t="shared" si="9"/>
        <v>-5.4971705739693677E-3</v>
      </c>
      <c r="G273" s="1">
        <f t="shared" si="9"/>
        <v>-1.0692502698225526E-2</v>
      </c>
      <c r="H273" s="1">
        <f t="shared" si="9"/>
        <v>-3.4843205574912606E-3</v>
      </c>
      <c r="R273">
        <f t="shared" si="10"/>
        <v>-6.8243013646270842E-3</v>
      </c>
    </row>
    <row r="274" spans="1:18" x14ac:dyDescent="0.25">
      <c r="A274" s="4">
        <v>45691.705555555556</v>
      </c>
      <c r="B274" s="1">
        <v>122.85</v>
      </c>
      <c r="C274" s="1">
        <v>389.88</v>
      </c>
      <c r="D274" s="1">
        <v>17.16</v>
      </c>
      <c r="F274" s="1">
        <f t="shared" si="9"/>
        <v>-1.3818891237197262E-3</v>
      </c>
      <c r="G274" s="1">
        <f t="shared" si="9"/>
        <v>-1.0833439046048388E-2</v>
      </c>
      <c r="H274" s="1">
        <f t="shared" si="9"/>
        <v>0</v>
      </c>
      <c r="R274">
        <f t="shared" si="10"/>
        <v>-4.886131267907246E-3</v>
      </c>
    </row>
    <row r="275" spans="1:18" x14ac:dyDescent="0.25">
      <c r="A275" s="4">
        <v>45692.705555555556</v>
      </c>
      <c r="B275" s="1">
        <v>122.06</v>
      </c>
      <c r="C275" s="1">
        <v>388.03</v>
      </c>
      <c r="D275" s="1">
        <v>17.170000000000002</v>
      </c>
      <c r="F275" s="1">
        <f t="shared" si="9"/>
        <v>-6.4306064306063337E-3</v>
      </c>
      <c r="G275" s="1">
        <f t="shared" si="9"/>
        <v>-4.7450497589002216E-3</v>
      </c>
      <c r="H275" s="1">
        <f t="shared" si="9"/>
        <v>5.827505827507018E-4</v>
      </c>
      <c r="R275">
        <f t="shared" si="10"/>
        <v>-4.4119874175275516E-3</v>
      </c>
    </row>
    <row r="276" spans="1:18" x14ac:dyDescent="0.25">
      <c r="A276" s="4">
        <v>45693.705555555556</v>
      </c>
      <c r="B276" s="1">
        <v>122.42</v>
      </c>
      <c r="C276" s="1">
        <v>392.9</v>
      </c>
      <c r="D276" s="1">
        <v>17.41</v>
      </c>
      <c r="F276" s="1">
        <f t="shared" si="9"/>
        <v>2.9493691627069385E-3</v>
      </c>
      <c r="G276" s="1">
        <f t="shared" si="9"/>
        <v>1.2550575986392865E-2</v>
      </c>
      <c r="H276" s="1">
        <f t="shared" si="9"/>
        <v>1.3977868375072644E-2</v>
      </c>
      <c r="R276">
        <f t="shared" si="10"/>
        <v>7.5977648971471854E-3</v>
      </c>
    </row>
    <row r="277" spans="1:18" x14ac:dyDescent="0.25">
      <c r="A277" s="4">
        <v>45694.705555555556</v>
      </c>
      <c r="B277" s="1">
        <v>123.09</v>
      </c>
      <c r="C277" s="1">
        <v>392.25</v>
      </c>
      <c r="D277" s="1">
        <v>17.25</v>
      </c>
      <c r="F277" s="1">
        <f t="shared" si="9"/>
        <v>5.4729619343245606E-3</v>
      </c>
      <c r="G277" s="1">
        <f t="shared" si="9"/>
        <v>-1.6543649783659076E-3</v>
      </c>
      <c r="H277" s="1">
        <f t="shared" si="9"/>
        <v>-9.1901206203331975E-3</v>
      </c>
      <c r="R277">
        <f t="shared" si="10"/>
        <v>6.0842672035014175E-4</v>
      </c>
    </row>
    <row r="278" spans="1:18" x14ac:dyDescent="0.25">
      <c r="A278" s="4">
        <v>45695.705555555556</v>
      </c>
      <c r="B278" s="1">
        <v>121.57</v>
      </c>
      <c r="C278" s="1">
        <v>391.4</v>
      </c>
      <c r="D278" s="1">
        <v>17.420000000000002</v>
      </c>
      <c r="F278" s="1">
        <f t="shared" si="9"/>
        <v>-1.2348687951905246E-2</v>
      </c>
      <c r="G278" s="1">
        <f t="shared" si="9"/>
        <v>-2.1669853409815865E-3</v>
      </c>
      <c r="H278" s="1">
        <f t="shared" si="9"/>
        <v>9.8550724637682663E-3</v>
      </c>
      <c r="R278">
        <f t="shared" si="10"/>
        <v>-4.8207620707779071E-3</v>
      </c>
    </row>
    <row r="279" spans="1:18" x14ac:dyDescent="0.25">
      <c r="A279" s="4">
        <v>45698.705555555556</v>
      </c>
      <c r="B279" s="1">
        <v>122.45</v>
      </c>
      <c r="C279" s="1">
        <v>392.25</v>
      </c>
      <c r="D279" s="1">
        <v>17.62</v>
      </c>
      <c r="F279" s="1">
        <f t="shared" si="9"/>
        <v>7.2386279509748519E-3</v>
      </c>
      <c r="G279" s="1">
        <f t="shared" si="9"/>
        <v>2.1716913643332614E-3</v>
      </c>
      <c r="H279" s="1">
        <f t="shared" si="9"/>
        <v>1.1481056257175659E-2</v>
      </c>
      <c r="R279">
        <f t="shared" si="10"/>
        <v>4.9122333518408111E-3</v>
      </c>
    </row>
    <row r="280" spans="1:18" x14ac:dyDescent="0.25">
      <c r="A280" s="4">
        <v>45699.705555555556</v>
      </c>
      <c r="B280" s="1">
        <v>123.38</v>
      </c>
      <c r="C280" s="1">
        <v>391.65</v>
      </c>
      <c r="D280" s="1">
        <v>17.510000000000002</v>
      </c>
      <c r="F280" s="1">
        <f t="shared" si="9"/>
        <v>7.5949367088608E-3</v>
      </c>
      <c r="G280" s="1">
        <f t="shared" si="9"/>
        <v>-1.529636711281146E-3</v>
      </c>
      <c r="H280" s="1">
        <f t="shared" si="9"/>
        <v>-6.2429057888762074E-3</v>
      </c>
      <c r="R280">
        <f t="shared" si="10"/>
        <v>1.801829420144241E-3</v>
      </c>
    </row>
    <row r="281" spans="1:18" x14ac:dyDescent="0.25">
      <c r="A281" s="4">
        <v>45700.705555555556</v>
      </c>
      <c r="B281" s="1">
        <v>121.35</v>
      </c>
      <c r="C281" s="1">
        <v>389.5</v>
      </c>
      <c r="D281" s="1">
        <v>17.510000000000002</v>
      </c>
      <c r="F281" s="1">
        <f t="shared" si="9"/>
        <v>-1.6453233911493004E-2</v>
      </c>
      <c r="G281" s="1">
        <f t="shared" si="9"/>
        <v>-5.4895953019277188E-3</v>
      </c>
      <c r="H281" s="1">
        <f t="shared" si="9"/>
        <v>0</v>
      </c>
      <c r="R281">
        <f t="shared" si="10"/>
        <v>-8.7771316853682887E-3</v>
      </c>
    </row>
    <row r="282" spans="1:18" x14ac:dyDescent="0.25">
      <c r="A282" s="4">
        <v>45701.705555555556</v>
      </c>
      <c r="B282" s="1">
        <v>121.76</v>
      </c>
      <c r="C282" s="1">
        <v>393.9</v>
      </c>
      <c r="D282" s="1">
        <v>17.690000000000001</v>
      </c>
      <c r="F282" s="1">
        <f t="shared" si="9"/>
        <v>3.3786567779152676E-3</v>
      </c>
      <c r="G282" s="1">
        <f t="shared" si="9"/>
        <v>1.1296534017971593E-2</v>
      </c>
      <c r="H282" s="1">
        <f t="shared" si="9"/>
        <v>1.0279840091376391E-2</v>
      </c>
      <c r="R282">
        <f t="shared" si="10"/>
        <v>6.8980603274923832E-3</v>
      </c>
    </row>
    <row r="283" spans="1:18" x14ac:dyDescent="0.25">
      <c r="A283" s="4">
        <v>45702.705555555556</v>
      </c>
      <c r="B283" s="1">
        <v>125</v>
      </c>
      <c r="C283" s="1">
        <v>388.62</v>
      </c>
      <c r="D283" s="1">
        <v>17.23</v>
      </c>
      <c r="F283" s="1">
        <f t="shared" si="9"/>
        <v>2.6609724047306216E-2</v>
      </c>
      <c r="G283" s="1">
        <f t="shared" si="9"/>
        <v>-1.3404417364813348E-2</v>
      </c>
      <c r="H283" s="1">
        <f t="shared" si="9"/>
        <v>-2.6003391746749593E-2</v>
      </c>
      <c r="R283">
        <f t="shared" si="10"/>
        <v>2.6817834983221883E-3</v>
      </c>
    </row>
    <row r="284" spans="1:18" x14ac:dyDescent="0.25">
      <c r="A284" s="4">
        <v>45705.705555555556</v>
      </c>
      <c r="B284" s="1">
        <v>125.38</v>
      </c>
      <c r="C284" s="1">
        <v>391.15</v>
      </c>
      <c r="D284" s="1">
        <v>17.399999999999999</v>
      </c>
      <c r="F284" s="1">
        <f t="shared" si="9"/>
        <v>3.0399999999999316E-3</v>
      </c>
      <c r="G284" s="1">
        <f t="shared" si="9"/>
        <v>6.5102156348102458E-3</v>
      </c>
      <c r="H284" s="1">
        <f t="shared" si="9"/>
        <v>9.8665118978524813E-3</v>
      </c>
      <c r="R284">
        <f t="shared" si="10"/>
        <v>4.8067374437093194E-3</v>
      </c>
    </row>
    <row r="285" spans="1:18" x14ac:dyDescent="0.25">
      <c r="A285" s="4">
        <v>45706.705555555556</v>
      </c>
      <c r="B285" s="1">
        <v>125.37</v>
      </c>
      <c r="C285" s="1">
        <v>389.39</v>
      </c>
      <c r="D285" s="1">
        <v>17.48</v>
      </c>
      <c r="F285" s="1">
        <f t="shared" si="9"/>
        <v>-7.9757537087221664E-5</v>
      </c>
      <c r="G285" s="1">
        <f t="shared" si="9"/>
        <v>-4.4995526013038578E-3</v>
      </c>
      <c r="H285" s="1">
        <f t="shared" si="9"/>
        <v>4.5977011494253706E-3</v>
      </c>
      <c r="R285">
        <f t="shared" si="10"/>
        <v>-1.371953940413895E-3</v>
      </c>
    </row>
    <row r="286" spans="1:18" x14ac:dyDescent="0.25">
      <c r="A286" s="4">
        <v>45707.705555555556</v>
      </c>
      <c r="B286" s="1">
        <v>124.21</v>
      </c>
      <c r="C286" s="1">
        <v>392.7</v>
      </c>
      <c r="D286" s="1">
        <v>17.61</v>
      </c>
      <c r="F286" s="1">
        <f t="shared" si="9"/>
        <v>-9.2526122676876987E-3</v>
      </c>
      <c r="G286" s="1">
        <f t="shared" si="9"/>
        <v>8.5004751020827385E-3</v>
      </c>
      <c r="H286" s="1">
        <f t="shared" si="9"/>
        <v>7.4370709382149958E-3</v>
      </c>
      <c r="R286">
        <f t="shared" si="10"/>
        <v>4.4285222757951533E-4</v>
      </c>
    </row>
    <row r="287" spans="1:18" x14ac:dyDescent="0.25">
      <c r="A287" s="4">
        <v>45708.705555555556</v>
      </c>
      <c r="B287" s="1">
        <v>124.47</v>
      </c>
      <c r="C287" s="1">
        <v>390.41</v>
      </c>
      <c r="D287" s="1">
        <v>17.55</v>
      </c>
      <c r="F287" s="1">
        <f t="shared" si="9"/>
        <v>2.0932292085984461E-3</v>
      </c>
      <c r="G287" s="1">
        <f t="shared" si="9"/>
        <v>-5.8314234784822006E-3</v>
      </c>
      <c r="H287" s="1">
        <f t="shared" si="9"/>
        <v>-3.4071550255535543E-3</v>
      </c>
      <c r="R287">
        <f t="shared" si="10"/>
        <v>-1.8359932105088573E-3</v>
      </c>
    </row>
    <row r="288" spans="1:18" x14ac:dyDescent="0.25">
      <c r="A288" s="4">
        <v>45709.705555555556</v>
      </c>
      <c r="B288" s="1">
        <v>124.02</v>
      </c>
      <c r="C288" s="1">
        <v>385.35</v>
      </c>
      <c r="D288" s="1">
        <v>17.63</v>
      </c>
      <c r="F288" s="1">
        <f t="shared" si="9"/>
        <v>-3.6153289949385492E-3</v>
      </c>
      <c r="G288" s="1">
        <f t="shared" si="9"/>
        <v>-1.2960733587766726E-2</v>
      </c>
      <c r="H288" s="1">
        <f t="shared" si="9"/>
        <v>4.5584045584043942E-3</v>
      </c>
      <c r="R288">
        <f t="shared" si="10"/>
        <v>-6.1745845772416715E-3</v>
      </c>
    </row>
    <row r="289" spans="1:18" x14ac:dyDescent="0.25">
      <c r="A289" s="4">
        <v>45712.705555555556</v>
      </c>
      <c r="B289" s="1">
        <v>122.36</v>
      </c>
      <c r="C289" s="1">
        <v>387.25</v>
      </c>
      <c r="D289" s="1">
        <v>17.850000000000001</v>
      </c>
      <c r="F289" s="1">
        <f t="shared" si="9"/>
        <v>-1.3384937913239803E-2</v>
      </c>
      <c r="G289" s="1">
        <f t="shared" si="9"/>
        <v>4.9305825872583142E-3</v>
      </c>
      <c r="H289" s="1">
        <f t="shared" si="9"/>
        <v>1.2478729438457403E-2</v>
      </c>
      <c r="R289">
        <f t="shared" si="10"/>
        <v>-2.1338691865468557E-3</v>
      </c>
    </row>
    <row r="290" spans="1:18" x14ac:dyDescent="0.25">
      <c r="A290" s="4">
        <v>45713.705555555556</v>
      </c>
      <c r="B290" s="1">
        <v>122.88</v>
      </c>
      <c r="C290" s="1">
        <v>383</v>
      </c>
      <c r="D290" s="1">
        <v>17.559999999999999</v>
      </c>
      <c r="F290" s="1">
        <f t="shared" si="9"/>
        <v>4.2497548218372039E-3</v>
      </c>
      <c r="G290" s="1">
        <f t="shared" si="9"/>
        <v>-1.0974822466107148E-2</v>
      </c>
      <c r="H290" s="1">
        <f t="shared" si="9"/>
        <v>-1.624649859943994E-2</v>
      </c>
      <c r="R290">
        <f t="shared" si="10"/>
        <v>-4.3146769176519717E-3</v>
      </c>
    </row>
    <row r="291" spans="1:18" x14ac:dyDescent="0.25">
      <c r="A291" s="4">
        <v>45714.705555555556</v>
      </c>
      <c r="B291" s="1">
        <v>121.74</v>
      </c>
      <c r="C291" s="1">
        <v>386.88</v>
      </c>
      <c r="D291" s="1">
        <v>17.760000000000002</v>
      </c>
      <c r="F291" s="1">
        <f t="shared" si="9"/>
        <v>-9.27734375E-3</v>
      </c>
      <c r="G291" s="1">
        <f t="shared" si="9"/>
        <v>1.0130548302871967E-2</v>
      </c>
      <c r="H291" s="1">
        <f t="shared" si="9"/>
        <v>1.1389521640091216E-2</v>
      </c>
      <c r="R291">
        <f t="shared" si="10"/>
        <v>1.4802339851579076E-3</v>
      </c>
    </row>
    <row r="292" spans="1:18" x14ac:dyDescent="0.25">
      <c r="A292" s="4">
        <v>45715.705555555556</v>
      </c>
      <c r="B292" s="1">
        <v>121.74</v>
      </c>
      <c r="C292" s="1">
        <v>383.5</v>
      </c>
      <c r="D292" s="1">
        <v>17.55</v>
      </c>
      <c r="F292" s="1">
        <f t="shared" si="9"/>
        <v>0</v>
      </c>
      <c r="G292" s="1">
        <f t="shared" si="9"/>
        <v>-8.736559139784883E-3</v>
      </c>
      <c r="H292" s="1">
        <f t="shared" si="9"/>
        <v>-1.1824324324324342E-2</v>
      </c>
      <c r="R292">
        <f t="shared" si="10"/>
        <v>-4.6770560883463872E-3</v>
      </c>
    </row>
    <row r="293" spans="1:18" x14ac:dyDescent="0.25">
      <c r="A293" s="4">
        <v>45716.705555555556</v>
      </c>
      <c r="B293" s="1">
        <v>119.83</v>
      </c>
      <c r="C293" s="1">
        <v>392.7</v>
      </c>
      <c r="D293" s="1">
        <v>17.59</v>
      </c>
      <c r="F293" s="1">
        <f t="shared" si="9"/>
        <v>-1.5689173648759658E-2</v>
      </c>
      <c r="G293" s="1">
        <f t="shared" si="9"/>
        <v>2.3989569752281614E-2</v>
      </c>
      <c r="H293" s="1">
        <f t="shared" si="9"/>
        <v>2.2792022792021971E-3</v>
      </c>
      <c r="R293">
        <f t="shared" si="10"/>
        <v>3.5480786693290025E-3</v>
      </c>
    </row>
    <row r="294" spans="1:18" x14ac:dyDescent="0.25">
      <c r="A294" s="4">
        <v>45721.705555555556</v>
      </c>
      <c r="B294" s="1">
        <v>120.03</v>
      </c>
      <c r="C294" s="1">
        <v>376.65</v>
      </c>
      <c r="D294" s="1">
        <v>17.63</v>
      </c>
      <c r="F294" s="1">
        <f t="shared" si="9"/>
        <v>1.6690311274305536E-3</v>
      </c>
      <c r="G294" s="1">
        <f t="shared" si="9"/>
        <v>-4.0870893812070319E-2</v>
      </c>
      <c r="H294" s="1">
        <f t="shared" si="9"/>
        <v>2.2740193291641564E-3</v>
      </c>
      <c r="R294">
        <f t="shared" si="10"/>
        <v>-1.5453343140939491E-2</v>
      </c>
    </row>
    <row r="295" spans="1:18" x14ac:dyDescent="0.25">
      <c r="A295" s="4">
        <v>45722.705555555556</v>
      </c>
      <c r="B295" s="1">
        <v>120.33</v>
      </c>
      <c r="C295" s="1">
        <v>370.7</v>
      </c>
      <c r="D295" s="1">
        <v>17.57</v>
      </c>
      <c r="F295" s="1">
        <f t="shared" si="9"/>
        <v>2.4993751562110145E-3</v>
      </c>
      <c r="G295" s="1">
        <f t="shared" si="9"/>
        <v>-1.5797159166334729E-2</v>
      </c>
      <c r="H295" s="1">
        <f t="shared" si="9"/>
        <v>-3.4032898468518979E-3</v>
      </c>
      <c r="R295">
        <f t="shared" si="10"/>
        <v>-5.6594425887346762E-3</v>
      </c>
    </row>
    <row r="296" spans="1:18" x14ac:dyDescent="0.25">
      <c r="A296" s="4">
        <v>45723.705555555556</v>
      </c>
      <c r="B296" s="1">
        <v>121.94</v>
      </c>
      <c r="C296" s="1">
        <v>373.9</v>
      </c>
      <c r="D296" s="1">
        <v>17.649999999999999</v>
      </c>
      <c r="F296" s="1">
        <f t="shared" si="9"/>
        <v>1.3379872018615568E-2</v>
      </c>
      <c r="G296" s="1">
        <f t="shared" si="9"/>
        <v>8.63231723765856E-3</v>
      </c>
      <c r="H296" s="1">
        <f t="shared" si="9"/>
        <v>4.5532157085941272E-3</v>
      </c>
      <c r="R296">
        <f t="shared" si="10"/>
        <v>9.2601972733690648E-3</v>
      </c>
    </row>
    <row r="297" spans="1:18" x14ac:dyDescent="0.25">
      <c r="A297" s="4">
        <v>45726.705555555556</v>
      </c>
      <c r="B297" s="1">
        <v>121.49</v>
      </c>
      <c r="C297" s="1">
        <v>367.95</v>
      </c>
      <c r="D297" s="1">
        <v>17.670000000000002</v>
      </c>
      <c r="F297" s="1">
        <f t="shared" si="9"/>
        <v>-3.6903395112350967E-3</v>
      </c>
      <c r="G297" s="1">
        <f t="shared" si="9"/>
        <v>-1.5913345814388857E-2</v>
      </c>
      <c r="H297" s="1">
        <f t="shared" si="9"/>
        <v>1.1331444759208331E-3</v>
      </c>
      <c r="R297">
        <f t="shared" si="10"/>
        <v>-7.7281596826574983E-3</v>
      </c>
    </row>
    <row r="298" spans="1:18" x14ac:dyDescent="0.25">
      <c r="A298" s="4">
        <v>45727.705555555556</v>
      </c>
      <c r="B298" s="1">
        <v>120.5</v>
      </c>
      <c r="C298" s="1">
        <v>363</v>
      </c>
      <c r="D298" s="1">
        <v>17.77</v>
      </c>
      <c r="F298" s="1">
        <f t="shared" si="9"/>
        <v>-8.1488188328256994E-3</v>
      </c>
      <c r="G298" s="1">
        <f t="shared" si="9"/>
        <v>-1.3452914798206206E-2</v>
      </c>
      <c r="H298" s="1">
        <f t="shared" si="9"/>
        <v>5.6593095642329949E-3</v>
      </c>
      <c r="R298">
        <f t="shared" si="10"/>
        <v>-8.074762495989464E-3</v>
      </c>
    </row>
    <row r="299" spans="1:18" x14ac:dyDescent="0.25">
      <c r="A299" s="4">
        <v>45728.705555555556</v>
      </c>
      <c r="B299" s="1">
        <v>120.85</v>
      </c>
      <c r="C299" s="1">
        <v>364.01</v>
      </c>
      <c r="D299" s="1">
        <v>17.82</v>
      </c>
      <c r="F299" s="1">
        <f t="shared" si="9"/>
        <v>2.9045643153526868E-3</v>
      </c>
      <c r="G299" s="1">
        <f t="shared" si="9"/>
        <v>2.7823691460053812E-3</v>
      </c>
      <c r="H299" s="1">
        <f t="shared" si="9"/>
        <v>2.8137310073157451E-3</v>
      </c>
      <c r="R299">
        <f t="shared" si="10"/>
        <v>2.5561464852748017E-3</v>
      </c>
    </row>
    <row r="300" spans="1:18" x14ac:dyDescent="0.25">
      <c r="A300" s="4">
        <v>45729.705555555556</v>
      </c>
      <c r="B300" s="1">
        <v>122.55</v>
      </c>
      <c r="C300" s="1">
        <v>358.8</v>
      </c>
      <c r="D300" s="1">
        <v>18.12</v>
      </c>
      <c r="F300" s="1">
        <f t="shared" si="9"/>
        <v>1.4067025237898267E-2</v>
      </c>
      <c r="G300" s="1">
        <f t="shared" si="9"/>
        <v>-1.4312793604571272E-2</v>
      </c>
      <c r="H300" s="1">
        <f t="shared" si="9"/>
        <v>1.6835016835016869E-2</v>
      </c>
      <c r="R300">
        <f t="shared" si="10"/>
        <v>1.5851943368324838E-3</v>
      </c>
    </row>
    <row r="301" spans="1:18" x14ac:dyDescent="0.25">
      <c r="A301" s="4">
        <v>45730.705555555556</v>
      </c>
      <c r="B301" s="1">
        <v>125.77</v>
      </c>
      <c r="C301" s="1">
        <v>362</v>
      </c>
      <c r="D301" s="1">
        <v>17.940000000000001</v>
      </c>
      <c r="F301" s="1">
        <f t="shared" si="9"/>
        <v>2.6274989800081583E-2</v>
      </c>
      <c r="G301" s="1">
        <f t="shared" si="9"/>
        <v>8.9186176142697082E-3</v>
      </c>
      <c r="H301" s="1">
        <f t="shared" si="9"/>
        <v>-9.9337748344370258E-3</v>
      </c>
      <c r="R301">
        <f t="shared" si="10"/>
        <v>1.3084065482296816E-2</v>
      </c>
    </row>
    <row r="302" spans="1:18" x14ac:dyDescent="0.25">
      <c r="A302" s="4">
        <v>45733.705555555556</v>
      </c>
      <c r="B302" s="1">
        <v>127.55</v>
      </c>
      <c r="C302" s="1">
        <v>361.1</v>
      </c>
      <c r="D302" s="1">
        <v>17.87</v>
      </c>
      <c r="F302" s="1">
        <f t="shared" si="9"/>
        <v>1.4152818637194864E-2</v>
      </c>
      <c r="G302" s="1">
        <f t="shared" si="9"/>
        <v>-2.4861878453038555E-3</v>
      </c>
      <c r="H302" s="1">
        <f t="shared" si="9"/>
        <v>-3.9018952062430667E-3</v>
      </c>
      <c r="R302">
        <f t="shared" si="10"/>
        <v>4.2764627961320977E-3</v>
      </c>
    </row>
    <row r="303" spans="1:18" x14ac:dyDescent="0.25">
      <c r="A303" s="4">
        <v>45734.705555555556</v>
      </c>
      <c r="B303" s="1">
        <v>128.28</v>
      </c>
      <c r="C303" s="1">
        <v>356.95</v>
      </c>
      <c r="D303" s="1">
        <v>18.04</v>
      </c>
      <c r="F303" s="1">
        <f t="shared" si="9"/>
        <v>5.723245785966391E-3</v>
      </c>
      <c r="G303" s="1">
        <f t="shared" si="9"/>
        <v>-1.1492661312655916E-2</v>
      </c>
      <c r="H303" s="1">
        <f t="shared" si="9"/>
        <v>9.5131505316170539E-3</v>
      </c>
      <c r="R303">
        <f t="shared" si="10"/>
        <v>-1.3564511575141047E-3</v>
      </c>
    </row>
    <row r="304" spans="1:18" x14ac:dyDescent="0.25">
      <c r="A304" s="4">
        <v>45735.705555555556</v>
      </c>
      <c r="B304" s="1">
        <v>129.29</v>
      </c>
      <c r="C304" s="1">
        <v>358.9</v>
      </c>
      <c r="D304" s="1">
        <v>18.03</v>
      </c>
      <c r="F304" s="1">
        <f t="shared" si="9"/>
        <v>7.8734019332709071E-3</v>
      </c>
      <c r="G304" s="1">
        <f t="shared" si="9"/>
        <v>5.4629499929961245E-3</v>
      </c>
      <c r="H304" s="1">
        <f t="shared" si="9"/>
        <v>-5.5432372505537231E-4</v>
      </c>
      <c r="R304">
        <f t="shared" si="10"/>
        <v>5.2791083980012763E-3</v>
      </c>
    </row>
    <row r="305" spans="1:18" x14ac:dyDescent="0.25">
      <c r="A305" s="4">
        <v>45736.705555555556</v>
      </c>
      <c r="B305" s="1">
        <v>128.83000000000001</v>
      </c>
      <c r="C305" s="1">
        <v>359.2</v>
      </c>
      <c r="D305" s="1">
        <v>18.09</v>
      </c>
      <c r="F305" s="1">
        <f t="shared" si="9"/>
        <v>-3.5578931085156196E-3</v>
      </c>
      <c r="G305" s="1">
        <f t="shared" si="9"/>
        <v>8.3588743382567721E-4</v>
      </c>
      <c r="H305" s="1">
        <f t="shared" si="9"/>
        <v>3.3277870216306127E-3</v>
      </c>
      <c r="R305">
        <f t="shared" si="10"/>
        <v>-7.5602356771291572E-4</v>
      </c>
    </row>
    <row r="306" spans="1:18" x14ac:dyDescent="0.25">
      <c r="A306" s="4">
        <v>45737.705555555556</v>
      </c>
      <c r="B306" s="1">
        <v>129.1</v>
      </c>
      <c r="C306" s="1">
        <v>362.65</v>
      </c>
      <c r="D306" s="1">
        <v>18.07</v>
      </c>
      <c r="F306" s="1">
        <f t="shared" si="9"/>
        <v>2.0957851432117369E-3</v>
      </c>
      <c r="G306" s="1">
        <f t="shared" si="9"/>
        <v>9.6046770601336817E-3</v>
      </c>
      <c r="H306" s="1">
        <f t="shared" si="9"/>
        <v>-1.1055831951354289E-3</v>
      </c>
      <c r="R306">
        <f t="shared" si="10"/>
        <v>4.5696265618246253E-3</v>
      </c>
    </row>
    <row r="307" spans="1:18" x14ac:dyDescent="0.25">
      <c r="A307" s="4">
        <v>45740.705555555556</v>
      </c>
      <c r="B307" s="1">
        <v>128.16999999999999</v>
      </c>
      <c r="C307" s="1">
        <v>371</v>
      </c>
      <c r="D307" s="1">
        <v>18.11</v>
      </c>
      <c r="F307" s="1">
        <f t="shared" si="9"/>
        <v>-7.2037180480248875E-3</v>
      </c>
      <c r="G307" s="1">
        <f t="shared" si="9"/>
        <v>2.3024955190955598E-2</v>
      </c>
      <c r="H307" s="1">
        <f t="shared" si="9"/>
        <v>2.2136137244050946E-3</v>
      </c>
      <c r="R307">
        <f t="shared" si="10"/>
        <v>6.5498562296127938E-3</v>
      </c>
    </row>
    <row r="308" spans="1:18" x14ac:dyDescent="0.25">
      <c r="A308" s="4">
        <v>45741.705555555556</v>
      </c>
      <c r="B308" s="1">
        <v>128.88</v>
      </c>
      <c r="C308" s="1">
        <v>368.65</v>
      </c>
      <c r="D308" s="1">
        <v>18.059999999999999</v>
      </c>
      <c r="F308" s="1">
        <f t="shared" si="9"/>
        <v>5.5395178278849766E-3</v>
      </c>
      <c r="G308" s="1">
        <f t="shared" si="9"/>
        <v>-6.3342318059299574E-3</v>
      </c>
      <c r="H308" s="1">
        <f t="shared" si="9"/>
        <v>-2.7609055770293489E-3</v>
      </c>
      <c r="R308">
        <f t="shared" si="10"/>
        <v>-5.9397614892092731E-4</v>
      </c>
    </row>
    <row r="309" spans="1:18" x14ac:dyDescent="0.25">
      <c r="A309" s="4">
        <v>45742.705555555556</v>
      </c>
      <c r="B309" s="1">
        <v>129.33000000000001</v>
      </c>
      <c r="C309" s="1">
        <v>366.45</v>
      </c>
      <c r="D309" s="1">
        <v>18.100000000000001</v>
      </c>
      <c r="F309" s="1">
        <f t="shared" si="9"/>
        <v>3.4916201117318746E-3</v>
      </c>
      <c r="G309" s="1">
        <f t="shared" si="9"/>
        <v>-5.9677200596771618E-3</v>
      </c>
      <c r="H309" s="1">
        <f t="shared" si="9"/>
        <v>2.2148394241419123E-3</v>
      </c>
      <c r="R309">
        <f t="shared" si="10"/>
        <v>-7.6895603676392383E-4</v>
      </c>
    </row>
    <row r="310" spans="1:18" x14ac:dyDescent="0.25">
      <c r="A310" s="4">
        <v>45743.705555555556</v>
      </c>
      <c r="B310" s="1">
        <v>129.94999999999999</v>
      </c>
      <c r="C310" s="1">
        <v>366.15</v>
      </c>
      <c r="D310" s="1">
        <v>18.399999999999999</v>
      </c>
      <c r="F310" s="1">
        <f t="shared" si="9"/>
        <v>4.7939379880923561E-3</v>
      </c>
      <c r="G310" s="1">
        <f t="shared" si="9"/>
        <v>-8.1866557511256488E-4</v>
      </c>
      <c r="H310" s="1">
        <f t="shared" si="9"/>
        <v>1.6574585635358963E-2</v>
      </c>
      <c r="R310">
        <f t="shared" si="10"/>
        <v>3.2475675287278122E-3</v>
      </c>
    </row>
    <row r="311" spans="1:18" x14ac:dyDescent="0.25">
      <c r="A311" s="4">
        <v>45744.705555555556</v>
      </c>
      <c r="B311" s="1">
        <v>128.76</v>
      </c>
      <c r="C311" s="1">
        <v>359.85</v>
      </c>
      <c r="D311" s="1">
        <v>18.579999999999998</v>
      </c>
      <c r="F311" s="1">
        <f t="shared" si="9"/>
        <v>-9.1573682185456251E-3</v>
      </c>
      <c r="G311" s="1">
        <f t="shared" si="9"/>
        <v>-1.7206063088897827E-2</v>
      </c>
      <c r="H311" s="1">
        <f t="shared" si="9"/>
        <v>9.7826086956520619E-3</v>
      </c>
      <c r="R311">
        <f t="shared" si="10"/>
        <v>-9.5671116534121747E-3</v>
      </c>
    </row>
    <row r="312" spans="1:18" x14ac:dyDescent="0.25">
      <c r="A312" s="4">
        <v>45747.705555555556</v>
      </c>
      <c r="B312" s="1">
        <v>127.16</v>
      </c>
      <c r="C312" s="1">
        <v>358.7</v>
      </c>
      <c r="D312" s="1">
        <v>18.670000000000002</v>
      </c>
      <c r="F312" s="1">
        <f t="shared" si="9"/>
        <v>-1.2426219322770993E-2</v>
      </c>
      <c r="G312" s="1">
        <f t="shared" si="9"/>
        <v>-3.1957760177853123E-3</v>
      </c>
      <c r="H312" s="1">
        <f t="shared" si="9"/>
        <v>4.843918191604013E-3</v>
      </c>
      <c r="R312">
        <f t="shared" si="10"/>
        <v>-5.764406317062121E-3</v>
      </c>
    </row>
    <row r="313" spans="1:18" x14ac:dyDescent="0.25">
      <c r="A313" s="4">
        <v>45748.705555555556</v>
      </c>
      <c r="B313" s="1">
        <v>128.02000000000001</v>
      </c>
      <c r="C313" s="1">
        <v>358.5</v>
      </c>
      <c r="D313" s="1">
        <v>18.57</v>
      </c>
      <c r="F313" s="1">
        <f t="shared" si="9"/>
        <v>6.7631330607109685E-3</v>
      </c>
      <c r="G313" s="1">
        <f t="shared" si="9"/>
        <v>-5.5756899916359348E-4</v>
      </c>
      <c r="H313" s="1">
        <f t="shared" si="9"/>
        <v>-5.3561863952866773E-3</v>
      </c>
      <c r="R313">
        <f t="shared" si="10"/>
        <v>1.9466069850902824E-3</v>
      </c>
    </row>
    <row r="314" spans="1:18" x14ac:dyDescent="0.25">
      <c r="A314" s="4">
        <v>45749.705555555556</v>
      </c>
      <c r="B314" s="1">
        <v>128.07</v>
      </c>
      <c r="C314" s="1">
        <v>363.21</v>
      </c>
      <c r="D314" s="1">
        <v>18.649999999999999</v>
      </c>
      <c r="F314" s="1">
        <f t="shared" si="9"/>
        <v>3.9056397437886581E-4</v>
      </c>
      <c r="G314" s="1">
        <f t="shared" si="9"/>
        <v>1.3138075313807507E-2</v>
      </c>
      <c r="H314" s="1">
        <f t="shared" si="9"/>
        <v>4.3080236941301919E-3</v>
      </c>
      <c r="R314">
        <f t="shared" si="10"/>
        <v>5.8422580846875689E-3</v>
      </c>
    </row>
    <row r="315" spans="1:18" x14ac:dyDescent="0.25">
      <c r="A315" s="4">
        <v>45750.705555555556</v>
      </c>
      <c r="B315" s="1">
        <v>128.03</v>
      </c>
      <c r="C315" s="1">
        <v>339.84</v>
      </c>
      <c r="D315" s="1">
        <v>18.32</v>
      </c>
      <c r="F315" s="1">
        <f t="shared" si="9"/>
        <v>-3.1232919497148348E-4</v>
      </c>
      <c r="G315" s="1">
        <f t="shared" si="9"/>
        <v>-6.4342942099611777E-2</v>
      </c>
      <c r="H315" s="1">
        <f t="shared" si="9"/>
        <v>-1.7694369973190294E-2</v>
      </c>
      <c r="R315">
        <f t="shared" si="10"/>
        <v>-2.7631545515152334E-2</v>
      </c>
    </row>
    <row r="316" spans="1:18" x14ac:dyDescent="0.25">
      <c r="A316" s="4">
        <v>45751.705555555556</v>
      </c>
      <c r="B316" s="1">
        <v>124.28</v>
      </c>
      <c r="C316" s="1">
        <v>331.78</v>
      </c>
      <c r="D316" s="1">
        <v>18.53</v>
      </c>
      <c r="F316" s="1">
        <f t="shared" si="9"/>
        <v>-2.9290010153870227E-2</v>
      </c>
      <c r="G316" s="1">
        <f t="shared" si="9"/>
        <v>-2.3717043314500974E-2</v>
      </c>
      <c r="H316" s="1">
        <f t="shared" si="9"/>
        <v>1.1462882096069826E-2</v>
      </c>
      <c r="R316">
        <f t="shared" si="10"/>
        <v>-2.00565331777415E-2</v>
      </c>
    </row>
    <row r="317" spans="1:18" x14ac:dyDescent="0.25">
      <c r="A317" s="4">
        <v>45754.705555555556</v>
      </c>
      <c r="B317" s="1">
        <v>122.63</v>
      </c>
      <c r="C317" s="1">
        <v>334.35</v>
      </c>
      <c r="D317" s="1">
        <v>18.37</v>
      </c>
      <c r="F317" s="1">
        <f t="shared" si="9"/>
        <v>-1.327647248149344E-2</v>
      </c>
      <c r="G317" s="1">
        <f t="shared" si="9"/>
        <v>7.7460968111400241E-3</v>
      </c>
      <c r="H317" s="1">
        <f t="shared" si="9"/>
        <v>-8.634646519158129E-3</v>
      </c>
      <c r="R317">
        <f t="shared" si="10"/>
        <v>-3.0756149200571793E-3</v>
      </c>
    </row>
    <row r="318" spans="1:18" x14ac:dyDescent="0.25">
      <c r="A318" s="4">
        <v>45755.705555555556</v>
      </c>
      <c r="B318" s="1">
        <v>121.02</v>
      </c>
      <c r="C318" s="1">
        <v>334.4</v>
      </c>
      <c r="D318" s="1">
        <v>18.73</v>
      </c>
      <c r="F318" s="1">
        <f t="shared" si="9"/>
        <v>-1.3128924406752063E-2</v>
      </c>
      <c r="G318" s="1">
        <f t="shared" si="9"/>
        <v>1.4954389113186473E-4</v>
      </c>
      <c r="H318" s="1">
        <f t="shared" si="9"/>
        <v>1.9597169297768113E-2</v>
      </c>
      <c r="R318">
        <f t="shared" si="10"/>
        <v>-3.2320352764712685E-3</v>
      </c>
    </row>
    <row r="319" spans="1:18" x14ac:dyDescent="0.25">
      <c r="A319" s="4">
        <v>45756.705555555556</v>
      </c>
      <c r="B319" s="1">
        <v>124.73</v>
      </c>
      <c r="C319" s="1">
        <v>356.1</v>
      </c>
      <c r="D319" s="1">
        <v>18.93</v>
      </c>
      <c r="F319" s="1">
        <f t="shared" si="9"/>
        <v>3.0656089902495465E-2</v>
      </c>
      <c r="G319" s="1">
        <f t="shared" si="9"/>
        <v>6.4892344497607723E-2</v>
      </c>
      <c r="H319" s="1">
        <f t="shared" si="9"/>
        <v>1.0678056593699914E-2</v>
      </c>
      <c r="R319">
        <f t="shared" si="10"/>
        <v>3.9287179419411275E-2</v>
      </c>
    </row>
    <row r="320" spans="1:18" x14ac:dyDescent="0.25">
      <c r="A320" s="4">
        <v>45757.705555555556</v>
      </c>
      <c r="B320" s="1">
        <v>123.38</v>
      </c>
      <c r="C320" s="1">
        <v>347.5</v>
      </c>
      <c r="D320" s="1">
        <v>19.579999999999998</v>
      </c>
      <c r="F320" s="1">
        <f t="shared" si="9"/>
        <v>-1.082337849755477E-2</v>
      </c>
      <c r="G320" s="1">
        <f t="shared" si="9"/>
        <v>-2.4150519516989655E-2</v>
      </c>
      <c r="H320" s="1">
        <f t="shared" si="9"/>
        <v>3.4337031167458898E-2</v>
      </c>
      <c r="R320">
        <f t="shared" si="10"/>
        <v>-1.0555856089071882E-2</v>
      </c>
    </row>
    <row r="321" spans="1:18" x14ac:dyDescent="0.25">
      <c r="A321" s="4">
        <v>45758.705555555556</v>
      </c>
      <c r="B321" s="1">
        <v>124.65</v>
      </c>
      <c r="C321" s="1">
        <v>351.5</v>
      </c>
      <c r="D321" s="1">
        <v>19.850000000000001</v>
      </c>
      <c r="F321" s="1">
        <f t="shared" si="9"/>
        <v>1.0293402496352799E-2</v>
      </c>
      <c r="G321" s="1">
        <f t="shared" si="9"/>
        <v>1.1510791366906581E-2</v>
      </c>
      <c r="H321" s="1">
        <f t="shared" si="9"/>
        <v>1.3789581205311707E-2</v>
      </c>
      <c r="R321">
        <f t="shared" si="10"/>
        <v>1.0100635665834922E-2</v>
      </c>
    </row>
    <row r="322" spans="1:18" x14ac:dyDescent="0.25">
      <c r="A322" s="4">
        <v>45761.705555555556</v>
      </c>
      <c r="B322" s="1">
        <v>126.37</v>
      </c>
      <c r="C322" s="1">
        <v>354.45</v>
      </c>
      <c r="D322" s="1">
        <v>19.64</v>
      </c>
      <c r="F322" s="1">
        <f t="shared" si="9"/>
        <v>1.3798636181307611E-2</v>
      </c>
      <c r="G322" s="1">
        <f t="shared" si="9"/>
        <v>8.3926031294452308E-3</v>
      </c>
      <c r="H322" s="1">
        <f t="shared" si="9"/>
        <v>-1.0579345088161274E-2</v>
      </c>
      <c r="R322">
        <f t="shared" si="10"/>
        <v>7.81856121548501E-3</v>
      </c>
    </row>
    <row r="323" spans="1:18" x14ac:dyDescent="0.25">
      <c r="A323" s="4">
        <v>45762.705555555556</v>
      </c>
      <c r="B323" s="1">
        <v>126.19</v>
      </c>
      <c r="C323" s="1">
        <v>355.75</v>
      </c>
      <c r="D323" s="1">
        <v>19.91</v>
      </c>
      <c r="F323" s="1">
        <f t="shared" si="9"/>
        <v>-1.4243886998497324E-3</v>
      </c>
      <c r="G323" s="1">
        <f t="shared" si="9"/>
        <v>3.667654112004648E-3</v>
      </c>
      <c r="H323" s="1">
        <f t="shared" si="9"/>
        <v>1.3747454175152773E-2</v>
      </c>
      <c r="R323">
        <f t="shared" si="10"/>
        <v>2.2720515823772434E-3</v>
      </c>
    </row>
    <row r="324" spans="1:18" x14ac:dyDescent="0.25">
      <c r="A324" s="4">
        <v>45763.705555555556</v>
      </c>
      <c r="B324" s="1">
        <v>125.3</v>
      </c>
      <c r="C324" s="1">
        <v>346.4</v>
      </c>
      <c r="D324" s="1">
        <v>20.47</v>
      </c>
      <c r="F324" s="1">
        <f t="shared" ref="F324:H387" si="11">(B324/B323)-1</f>
        <v>-7.0528568032331984E-3</v>
      </c>
      <c r="G324" s="1">
        <f t="shared" si="11"/>
        <v>-2.6282501756851762E-2</v>
      </c>
      <c r="H324" s="1">
        <f t="shared" si="11"/>
        <v>2.8126569563033499E-2</v>
      </c>
      <c r="R324">
        <f t="shared" si="10"/>
        <v>-1.0521486467730636E-2</v>
      </c>
    </row>
    <row r="325" spans="1:18" x14ac:dyDescent="0.25">
      <c r="A325" s="4">
        <v>45764.705555555556</v>
      </c>
      <c r="B325" s="1">
        <v>126.56</v>
      </c>
      <c r="C325" s="1">
        <v>343.75</v>
      </c>
      <c r="D325" s="1">
        <v>20.18</v>
      </c>
      <c r="F325" s="1">
        <f t="shared" si="11"/>
        <v>1.0055865921787754E-2</v>
      </c>
      <c r="G325" s="1">
        <f t="shared" si="11"/>
        <v>-7.650115473441077E-3</v>
      </c>
      <c r="H325" s="1">
        <f t="shared" si="11"/>
        <v>-1.4167073766487515E-2</v>
      </c>
      <c r="R325">
        <f t="shared" ref="R325:R388" si="12">$L$2*F325+G325*$L$3+H325*$L$4</f>
        <v>-4.5440719731007994E-4</v>
      </c>
    </row>
    <row r="326" spans="1:18" x14ac:dyDescent="0.25">
      <c r="A326" s="4">
        <v>45769.705555555556</v>
      </c>
      <c r="B326" s="1">
        <v>127.38</v>
      </c>
      <c r="C326" s="1">
        <v>339.25</v>
      </c>
      <c r="D326" s="1">
        <v>20.239999999999998</v>
      </c>
      <c r="F326" s="1">
        <f t="shared" si="11"/>
        <v>6.4791403286978966E-3</v>
      </c>
      <c r="G326" s="1">
        <f t="shared" si="11"/>
        <v>-1.3090909090909042E-2</v>
      </c>
      <c r="H326" s="1">
        <f t="shared" si="11"/>
        <v>2.9732408325073845E-3</v>
      </c>
      <c r="R326">
        <f t="shared" si="12"/>
        <v>-2.3473834216337199E-3</v>
      </c>
    </row>
    <row r="327" spans="1:18" x14ac:dyDescent="0.25">
      <c r="A327" s="4">
        <v>45770.705555555556</v>
      </c>
      <c r="B327" s="1">
        <v>129.08000000000001</v>
      </c>
      <c r="C327" s="1">
        <v>343.9</v>
      </c>
      <c r="D327" s="1">
        <v>19.71</v>
      </c>
      <c r="F327" s="1">
        <f t="shared" si="11"/>
        <v>1.3345894174909834E-2</v>
      </c>
      <c r="G327" s="1">
        <f t="shared" si="11"/>
        <v>1.3706705969049215E-2</v>
      </c>
      <c r="H327" s="1">
        <f t="shared" si="11"/>
        <v>-2.6185770750988047E-2</v>
      </c>
      <c r="R327">
        <f t="shared" si="12"/>
        <v>8.2024629824848146E-3</v>
      </c>
    </row>
    <row r="328" spans="1:18" x14ac:dyDescent="0.25">
      <c r="A328" s="4">
        <v>45771.705555555556</v>
      </c>
      <c r="B328" s="1">
        <v>131.38</v>
      </c>
      <c r="C328" s="1">
        <v>349.1</v>
      </c>
      <c r="D328" s="1">
        <v>19.89</v>
      </c>
      <c r="F328" s="1">
        <f t="shared" si="11"/>
        <v>1.7818407189339913E-2</v>
      </c>
      <c r="G328" s="1">
        <f t="shared" si="11"/>
        <v>1.5120674614713669E-2</v>
      </c>
      <c r="H328" s="1">
        <f t="shared" si="11"/>
        <v>9.1324200913240894E-3</v>
      </c>
      <c r="R328">
        <f t="shared" si="12"/>
        <v>1.4088874730753841E-2</v>
      </c>
    </row>
    <row r="329" spans="1:18" x14ac:dyDescent="0.25">
      <c r="A329" s="4">
        <v>45772.705555555556</v>
      </c>
      <c r="B329" s="1">
        <v>131.57</v>
      </c>
      <c r="C329" s="1">
        <v>351.4</v>
      </c>
      <c r="D329" s="1">
        <v>19.690000000000001</v>
      </c>
      <c r="F329" s="1">
        <f t="shared" si="11"/>
        <v>1.4461866341908269E-3</v>
      </c>
      <c r="G329" s="1">
        <f t="shared" si="11"/>
        <v>6.5883700945286172E-3</v>
      </c>
      <c r="H329" s="1">
        <f t="shared" si="11"/>
        <v>-1.0055304172951196E-2</v>
      </c>
      <c r="R329">
        <f t="shared" si="12"/>
        <v>2.2082922741926587E-3</v>
      </c>
    </row>
    <row r="330" spans="1:18" x14ac:dyDescent="0.25">
      <c r="A330" s="4">
        <v>45775.705555555556</v>
      </c>
      <c r="B330" s="1">
        <v>131.84</v>
      </c>
      <c r="C330" s="1">
        <v>349.25</v>
      </c>
      <c r="D330" s="1">
        <v>19.829999999999998</v>
      </c>
      <c r="F330" s="1">
        <f t="shared" si="11"/>
        <v>2.0521395454891067E-3</v>
      </c>
      <c r="G330" s="1">
        <f t="shared" si="11"/>
        <v>-6.1183836084234278E-3</v>
      </c>
      <c r="H330" s="1">
        <f t="shared" si="11"/>
        <v>7.1102082275265044E-3</v>
      </c>
      <c r="R330">
        <f t="shared" si="12"/>
        <v>-9.1547680242107818E-4</v>
      </c>
    </row>
    <row r="331" spans="1:18" x14ac:dyDescent="0.25">
      <c r="A331" s="4">
        <v>45776.705555555556</v>
      </c>
      <c r="B331" s="1">
        <v>131.91999999999999</v>
      </c>
      <c r="C331" s="1">
        <v>350.6</v>
      </c>
      <c r="D331" s="1">
        <v>19.579999999999998</v>
      </c>
      <c r="F331" s="1">
        <f t="shared" si="11"/>
        <v>6.0679611650482634E-4</v>
      </c>
      <c r="G331" s="1">
        <f t="shared" si="11"/>
        <v>3.8654259126700286E-3</v>
      </c>
      <c r="H331" s="1">
        <f t="shared" si="11"/>
        <v>-1.260716086737268E-2</v>
      </c>
      <c r="R331">
        <f t="shared" si="12"/>
        <v>5.2817272493267437E-4</v>
      </c>
    </row>
    <row r="332" spans="1:18" x14ac:dyDescent="0.25">
      <c r="A332" s="4">
        <v>45777.705555555556</v>
      </c>
      <c r="B332" s="1">
        <v>131.79</v>
      </c>
      <c r="C332" s="1">
        <v>354.35</v>
      </c>
      <c r="D332" s="1">
        <v>19.600000000000001</v>
      </c>
      <c r="F332" s="1">
        <f t="shared" si="11"/>
        <v>-9.8544572468162173E-4</v>
      </c>
      <c r="G332" s="1">
        <f t="shared" si="11"/>
        <v>1.0695949800342275E-2</v>
      </c>
      <c r="H332" s="1">
        <f t="shared" si="11"/>
        <v>1.0214504596528506E-3</v>
      </c>
      <c r="R332">
        <f t="shared" si="12"/>
        <v>3.9863466762295463E-3</v>
      </c>
    </row>
    <row r="333" spans="1:18" x14ac:dyDescent="0.25">
      <c r="A333" s="4">
        <v>45779.705555555556</v>
      </c>
      <c r="B333" s="1">
        <v>132</v>
      </c>
      <c r="C333" s="1">
        <v>360</v>
      </c>
      <c r="D333" s="1">
        <v>19.12</v>
      </c>
      <c r="F333" s="1">
        <f t="shared" si="11"/>
        <v>1.5934441156386647E-3</v>
      </c>
      <c r="G333" s="1">
        <f t="shared" si="11"/>
        <v>1.5944687455905049E-2</v>
      </c>
      <c r="H333" s="1">
        <f t="shared" si="11"/>
        <v>-2.4489795918367419E-2</v>
      </c>
      <c r="R333">
        <f t="shared" si="12"/>
        <v>4.5662730367807443E-3</v>
      </c>
    </row>
    <row r="334" spans="1:18" x14ac:dyDescent="0.25">
      <c r="A334" s="4">
        <v>45782.705555555556</v>
      </c>
      <c r="B334" s="1">
        <v>130.4</v>
      </c>
      <c r="C334" s="1">
        <v>360.05</v>
      </c>
      <c r="D334" s="1">
        <v>19.82</v>
      </c>
      <c r="F334" s="1">
        <f t="shared" si="11"/>
        <v>-1.2121212121212088E-2</v>
      </c>
      <c r="G334" s="1">
        <f t="shared" si="11"/>
        <v>1.388888888889106E-4</v>
      </c>
      <c r="H334" s="1">
        <f t="shared" si="11"/>
        <v>3.661087866108792E-2</v>
      </c>
      <c r="R334">
        <f t="shared" si="12"/>
        <v>-1.1318414268204802E-3</v>
      </c>
    </row>
    <row r="335" spans="1:18" x14ac:dyDescent="0.25">
      <c r="A335" s="4">
        <v>45783.705555555556</v>
      </c>
      <c r="B335" s="1">
        <v>130.41</v>
      </c>
      <c r="C335" s="1">
        <v>358.55</v>
      </c>
      <c r="D335" s="1">
        <v>20.43</v>
      </c>
      <c r="F335" s="1">
        <f t="shared" si="11"/>
        <v>7.6687116564277957E-5</v>
      </c>
      <c r="G335" s="1">
        <f t="shared" si="11"/>
        <v>-4.1660880433272984E-3</v>
      </c>
      <c r="H335" s="1">
        <f t="shared" si="11"/>
        <v>3.0776992936427883E-2</v>
      </c>
      <c r="R335">
        <f t="shared" si="12"/>
        <v>1.4419389229375795E-3</v>
      </c>
    </row>
    <row r="336" spans="1:18" x14ac:dyDescent="0.25">
      <c r="A336" s="4">
        <v>45784.705555555556</v>
      </c>
      <c r="B336" s="1">
        <v>130.29</v>
      </c>
      <c r="C336" s="1">
        <v>362.34</v>
      </c>
      <c r="D336" s="1">
        <v>20.27</v>
      </c>
      <c r="F336" s="1">
        <f t="shared" si="11"/>
        <v>-9.2017483321837901E-4</v>
      </c>
      <c r="G336" s="1">
        <f t="shared" si="11"/>
        <v>1.0570352809928796E-2</v>
      </c>
      <c r="H336" s="1">
        <f t="shared" si="11"/>
        <v>-7.8316201664219154E-3</v>
      </c>
      <c r="R336">
        <f t="shared" si="12"/>
        <v>3.0769091740419753E-3</v>
      </c>
    </row>
    <row r="337" spans="1:18" x14ac:dyDescent="0.25">
      <c r="A337" s="4">
        <v>45785.705555555556</v>
      </c>
      <c r="B337" s="1">
        <v>133.02000000000001</v>
      </c>
      <c r="C337" s="1">
        <v>359.55</v>
      </c>
      <c r="D337" s="1">
        <v>19.600000000000001</v>
      </c>
      <c r="F337" s="1">
        <f t="shared" si="11"/>
        <v>2.0953258116509499E-2</v>
      </c>
      <c r="G337" s="1">
        <f t="shared" si="11"/>
        <v>-7.6999503229010502E-3</v>
      </c>
      <c r="H337" s="1">
        <f t="shared" si="11"/>
        <v>-3.3053774050320617E-2</v>
      </c>
      <c r="R337">
        <f t="shared" si="12"/>
        <v>1.995945712411319E-3</v>
      </c>
    </row>
    <row r="338" spans="1:18" x14ac:dyDescent="0.25">
      <c r="A338" s="4">
        <v>45786.705555555556</v>
      </c>
      <c r="B338" s="1">
        <v>133.33000000000001</v>
      </c>
      <c r="C338" s="1">
        <v>358.1</v>
      </c>
      <c r="D338" s="1">
        <v>19.690000000000001</v>
      </c>
      <c r="F338" s="1">
        <f t="shared" si="11"/>
        <v>2.3304766200571425E-3</v>
      </c>
      <c r="G338" s="1">
        <f t="shared" si="11"/>
        <v>-4.0328188012793698E-3</v>
      </c>
      <c r="H338" s="1">
        <f t="shared" si="11"/>
        <v>4.5918367346937661E-3</v>
      </c>
      <c r="R338">
        <f t="shared" si="12"/>
        <v>-2.2175319901951456E-4</v>
      </c>
    </row>
    <row r="339" spans="1:18" x14ac:dyDescent="0.25">
      <c r="A339" s="4">
        <v>45789.705555555556</v>
      </c>
      <c r="B339" s="1">
        <v>133.38</v>
      </c>
      <c r="C339" s="1">
        <v>372.2</v>
      </c>
      <c r="D339" s="1">
        <v>19.239999999999998</v>
      </c>
      <c r="F339" s="1">
        <f t="shared" si="11"/>
        <v>3.7500937523415878E-4</v>
      </c>
      <c r="G339" s="1">
        <f t="shared" si="11"/>
        <v>3.9374476403239322E-2</v>
      </c>
      <c r="H339" s="1">
        <f t="shared" si="11"/>
        <v>-2.2854240731335795E-2</v>
      </c>
      <c r="R339">
        <f t="shared" si="12"/>
        <v>1.3614370238255813E-2</v>
      </c>
    </row>
    <row r="340" spans="1:18" x14ac:dyDescent="0.25">
      <c r="A340" s="4">
        <v>45790.705555555556</v>
      </c>
      <c r="B340" s="1">
        <v>135.68</v>
      </c>
      <c r="C340" s="1">
        <v>369.95</v>
      </c>
      <c r="D340" s="1">
        <v>19.07</v>
      </c>
      <c r="F340" s="1">
        <f t="shared" si="11"/>
        <v>1.7243964612385643E-2</v>
      </c>
      <c r="G340" s="1">
        <f t="shared" si="11"/>
        <v>-6.0451370231058288E-3</v>
      </c>
      <c r="H340" s="1">
        <f t="shared" si="11"/>
        <v>-8.8357588357587113E-3</v>
      </c>
      <c r="R340">
        <f t="shared" si="12"/>
        <v>3.5959551521360538E-3</v>
      </c>
    </row>
    <row r="341" spans="1:18" x14ac:dyDescent="0.25">
      <c r="A341" s="4">
        <v>45791.705555555556</v>
      </c>
      <c r="B341" s="1">
        <v>135.21</v>
      </c>
      <c r="C341" s="1">
        <v>371.95</v>
      </c>
      <c r="D341" s="1">
        <v>18.75</v>
      </c>
      <c r="F341" s="1">
        <f t="shared" si="11"/>
        <v>-3.4640330188678847E-3</v>
      </c>
      <c r="G341" s="1">
        <f t="shared" si="11"/>
        <v>5.4061359643196027E-3</v>
      </c>
      <c r="H341" s="1">
        <f t="shared" si="11"/>
        <v>-1.678028316727842E-2</v>
      </c>
      <c r="R341">
        <f t="shared" si="12"/>
        <v>-9.0118713854715456E-4</v>
      </c>
    </row>
    <row r="342" spans="1:18" x14ac:dyDescent="0.25">
      <c r="A342" s="4">
        <v>45792.705555555556</v>
      </c>
      <c r="B342" s="1">
        <v>136.07</v>
      </c>
      <c r="C342" s="1">
        <v>376.75</v>
      </c>
      <c r="D342" s="1">
        <v>19.2</v>
      </c>
      <c r="F342" s="1">
        <f t="shared" si="11"/>
        <v>6.3604762961317896E-3</v>
      </c>
      <c r="G342" s="1">
        <f t="shared" si="11"/>
        <v>1.2904960344132244E-2</v>
      </c>
      <c r="H342" s="1">
        <f t="shared" si="11"/>
        <v>2.4000000000000021E-2</v>
      </c>
      <c r="R342">
        <f t="shared" si="12"/>
        <v>1.0106174656105615E-2</v>
      </c>
    </row>
    <row r="343" spans="1:18" x14ac:dyDescent="0.25">
      <c r="A343" s="4">
        <v>45793.705555555556</v>
      </c>
      <c r="B343" s="1">
        <v>135.94999999999999</v>
      </c>
      <c r="C343" s="1">
        <v>378.35</v>
      </c>
      <c r="D343" s="1">
        <v>18.899999999999999</v>
      </c>
      <c r="F343" s="1">
        <f t="shared" si="11"/>
        <v>-8.8189902256197161E-4</v>
      </c>
      <c r="G343" s="1">
        <f t="shared" si="11"/>
        <v>4.2468480424684429E-3</v>
      </c>
      <c r="H343" s="1">
        <f t="shared" si="11"/>
        <v>-1.5625E-2</v>
      </c>
      <c r="R343">
        <f t="shared" si="12"/>
        <v>-2.1652039203741121E-4</v>
      </c>
    </row>
    <row r="344" spans="1:18" x14ac:dyDescent="0.25">
      <c r="A344" s="4">
        <v>45796.705555555556</v>
      </c>
      <c r="B344" s="1">
        <v>136.38</v>
      </c>
      <c r="C344" s="1">
        <v>377.54</v>
      </c>
      <c r="D344" s="1">
        <v>19.11</v>
      </c>
      <c r="F344" s="1">
        <f t="shared" si="11"/>
        <v>3.1629275468922913E-3</v>
      </c>
      <c r="G344" s="1">
        <f t="shared" si="11"/>
        <v>-2.1408748513281894E-3</v>
      </c>
      <c r="H344" s="1">
        <f t="shared" si="11"/>
        <v>1.1111111111111072E-2</v>
      </c>
      <c r="R344">
        <f t="shared" si="12"/>
        <v>1.5199321893367478E-3</v>
      </c>
    </row>
    <row r="345" spans="1:18" x14ac:dyDescent="0.25">
      <c r="A345" s="4">
        <v>45797.705555555556</v>
      </c>
      <c r="B345" s="1">
        <v>136.84</v>
      </c>
      <c r="C345" s="1">
        <v>377.55</v>
      </c>
      <c r="D345" s="1">
        <v>19.55</v>
      </c>
      <c r="F345" s="1">
        <f t="shared" si="11"/>
        <v>3.3729285819035226E-3</v>
      </c>
      <c r="G345" s="1">
        <f t="shared" si="11"/>
        <v>2.6487259628060755E-5</v>
      </c>
      <c r="H345" s="1">
        <f t="shared" si="11"/>
        <v>2.3024594453165959E-2</v>
      </c>
      <c r="R345">
        <f t="shared" si="12"/>
        <v>3.6622257819292287E-3</v>
      </c>
    </row>
    <row r="346" spans="1:18" x14ac:dyDescent="0.25">
      <c r="A346" s="4">
        <v>45798.705555555556</v>
      </c>
      <c r="B346" s="1">
        <v>134.72</v>
      </c>
      <c r="C346" s="1">
        <v>369.8</v>
      </c>
      <c r="D346" s="1">
        <v>19.600000000000001</v>
      </c>
      <c r="F346" s="1">
        <f t="shared" si="11"/>
        <v>-1.549254603916983E-2</v>
      </c>
      <c r="G346" s="1">
        <f t="shared" si="11"/>
        <v>-2.0527082505628402E-2</v>
      </c>
      <c r="H346" s="1">
        <f t="shared" si="11"/>
        <v>2.5575447570331811E-3</v>
      </c>
      <c r="R346">
        <f t="shared" si="12"/>
        <v>-1.4152096942215977E-2</v>
      </c>
    </row>
    <row r="347" spans="1:18" x14ac:dyDescent="0.25">
      <c r="A347" s="4">
        <v>45799.705555555556</v>
      </c>
      <c r="B347" s="1">
        <v>134.1</v>
      </c>
      <c r="C347" s="1">
        <v>370.8</v>
      </c>
      <c r="D347" s="1">
        <v>19.489999999999998</v>
      </c>
      <c r="F347" s="1">
        <f t="shared" si="11"/>
        <v>-4.6021377672209596E-3</v>
      </c>
      <c r="G347" s="1">
        <f t="shared" si="11"/>
        <v>2.7041644131964304E-3</v>
      </c>
      <c r="H347" s="1">
        <f t="shared" si="11"/>
        <v>-5.6122448979593065E-3</v>
      </c>
      <c r="R347">
        <f t="shared" si="12"/>
        <v>-1.3204138314057423E-3</v>
      </c>
    </row>
    <row r="348" spans="1:18" x14ac:dyDescent="0.25">
      <c r="A348" s="4">
        <v>45800.705555555556</v>
      </c>
      <c r="B348" s="1">
        <v>134.62</v>
      </c>
      <c r="C348" s="1">
        <v>367.4</v>
      </c>
      <c r="D348" s="1">
        <v>19.829999999999998</v>
      </c>
      <c r="F348" s="1">
        <f t="shared" si="11"/>
        <v>3.8777032065624439E-3</v>
      </c>
      <c r="G348" s="1">
        <f t="shared" si="11"/>
        <v>-9.1693635382956717E-3</v>
      </c>
      <c r="H348" s="1">
        <f t="shared" si="11"/>
        <v>1.7444843509492047E-2</v>
      </c>
      <c r="R348">
        <f t="shared" si="12"/>
        <v>-3.7217978174408682E-4</v>
      </c>
    </row>
    <row r="349" spans="1:18" x14ac:dyDescent="0.25">
      <c r="A349" s="4">
        <v>45803.705555555556</v>
      </c>
      <c r="B349" s="1">
        <v>134.93</v>
      </c>
      <c r="C349" s="1">
        <v>371.79</v>
      </c>
      <c r="D349" s="1">
        <v>19.95</v>
      </c>
      <c r="F349" s="1">
        <f t="shared" si="11"/>
        <v>2.3027781904620959E-3</v>
      </c>
      <c r="G349" s="1">
        <f t="shared" si="11"/>
        <v>1.1948829613500411E-2</v>
      </c>
      <c r="H349" s="1">
        <f t="shared" si="11"/>
        <v>6.0514372163389396E-3</v>
      </c>
      <c r="R349">
        <f t="shared" si="12"/>
        <v>6.3057868432188973E-3</v>
      </c>
    </row>
    <row r="350" spans="1:18" x14ac:dyDescent="0.25">
      <c r="A350" s="4">
        <v>45804.705555555556</v>
      </c>
      <c r="B350" s="1">
        <v>136.29</v>
      </c>
      <c r="C350" s="1">
        <v>375</v>
      </c>
      <c r="D350" s="1">
        <v>19.510000000000002</v>
      </c>
      <c r="F350" s="1">
        <f t="shared" si="11"/>
        <v>1.0079300377973555E-2</v>
      </c>
      <c r="G350" s="1">
        <f t="shared" si="11"/>
        <v>8.6339062373921305E-3</v>
      </c>
      <c r="H350" s="1">
        <f t="shared" si="11"/>
        <v>-2.2055137844611439E-2</v>
      </c>
      <c r="R350">
        <f t="shared" si="12"/>
        <v>5.2797688616851319E-3</v>
      </c>
    </row>
    <row r="351" spans="1:18" x14ac:dyDescent="0.25">
      <c r="A351" s="4">
        <v>45805.705555555556</v>
      </c>
      <c r="B351" s="1">
        <v>135.68</v>
      </c>
      <c r="C351" s="1">
        <v>376.85</v>
      </c>
      <c r="D351" s="1">
        <v>19.63</v>
      </c>
      <c r="F351" s="1">
        <f t="shared" si="11"/>
        <v>-4.4757502384620285E-3</v>
      </c>
      <c r="G351" s="1">
        <f t="shared" si="11"/>
        <v>4.9333333333334561E-3</v>
      </c>
      <c r="H351" s="1">
        <f t="shared" si="11"/>
        <v>6.1506919528444559E-3</v>
      </c>
      <c r="R351">
        <f t="shared" si="12"/>
        <v>7.9810243323301649E-4</v>
      </c>
    </row>
    <row r="352" spans="1:18" x14ac:dyDescent="0.25">
      <c r="A352" s="4">
        <v>45806.705555555556</v>
      </c>
      <c r="B352" s="1">
        <v>135.33000000000001</v>
      </c>
      <c r="C352" s="1">
        <v>375.65</v>
      </c>
      <c r="D352" s="1">
        <v>19.670000000000002</v>
      </c>
      <c r="F352" s="1">
        <f t="shared" si="11"/>
        <v>-2.5795990566037652E-3</v>
      </c>
      <c r="G352" s="1">
        <f t="shared" si="11"/>
        <v>-3.1842908318960861E-3</v>
      </c>
      <c r="H352" s="1">
        <f t="shared" si="11"/>
        <v>2.037697401936045E-3</v>
      </c>
      <c r="R352">
        <f t="shared" si="12"/>
        <v>-2.1017862152063358E-3</v>
      </c>
    </row>
    <row r="353" spans="1:18" x14ac:dyDescent="0.25">
      <c r="A353" s="4">
        <v>45807.705555555556</v>
      </c>
      <c r="B353" s="1">
        <v>133.87</v>
      </c>
      <c r="C353" s="1">
        <v>378.8</v>
      </c>
      <c r="D353" s="1">
        <v>19.71</v>
      </c>
      <c r="F353" s="1">
        <f t="shared" si="11"/>
        <v>-1.0788443065100184E-2</v>
      </c>
      <c r="G353" s="1">
        <f t="shared" si="11"/>
        <v>8.3854651936643432E-3</v>
      </c>
      <c r="H353" s="1">
        <f t="shared" si="11"/>
        <v>2.0335536349771477E-3</v>
      </c>
      <c r="R353">
        <f t="shared" si="12"/>
        <v>-7.5783578507662144E-4</v>
      </c>
    </row>
    <row r="354" spans="1:18" x14ac:dyDescent="0.25">
      <c r="A354" s="4">
        <v>45810.705555555556</v>
      </c>
      <c r="B354" s="1">
        <v>133.63</v>
      </c>
      <c r="C354" s="1">
        <v>377.95</v>
      </c>
      <c r="D354" s="1">
        <v>20.07</v>
      </c>
      <c r="F354" s="1">
        <f t="shared" si="11"/>
        <v>-1.7927840442221177E-3</v>
      </c>
      <c r="G354" s="1">
        <f t="shared" si="11"/>
        <v>-2.2439281942978617E-3</v>
      </c>
      <c r="H354" s="1">
        <f t="shared" si="11"/>
        <v>1.8264840182648401E-2</v>
      </c>
      <c r="R354">
        <f t="shared" si="12"/>
        <v>2.1179912285684767E-4</v>
      </c>
    </row>
    <row r="355" spans="1:18" x14ac:dyDescent="0.25">
      <c r="A355" s="4">
        <v>45811.705555555556</v>
      </c>
      <c r="B355" s="1">
        <v>134.4</v>
      </c>
      <c r="C355" s="1">
        <v>377.11</v>
      </c>
      <c r="D355" s="1">
        <v>19.79</v>
      </c>
      <c r="F355" s="1">
        <f t="shared" si="11"/>
        <v>5.7621791513882137E-3</v>
      </c>
      <c r="G355" s="1">
        <f t="shared" si="11"/>
        <v>-2.2225162058472359E-3</v>
      </c>
      <c r="H355" s="1">
        <f t="shared" si="11"/>
        <v>-1.3951170901843613E-2</v>
      </c>
      <c r="R355">
        <f t="shared" si="12"/>
        <v>2.074808803202992E-5</v>
      </c>
    </row>
    <row r="356" spans="1:18" x14ac:dyDescent="0.25">
      <c r="A356" s="4">
        <v>45812.705555555556</v>
      </c>
      <c r="B356" s="1">
        <v>133.88999999999999</v>
      </c>
      <c r="C356" s="1">
        <v>377.6</v>
      </c>
      <c r="D356" s="1">
        <v>19.920000000000002</v>
      </c>
      <c r="F356" s="1">
        <f t="shared" si="11"/>
        <v>-3.794642857143038E-3</v>
      </c>
      <c r="G356" s="1">
        <f t="shared" si="11"/>
        <v>1.2993556256795102E-3</v>
      </c>
      <c r="H356" s="1">
        <f t="shared" si="11"/>
        <v>6.5689742294088305E-3</v>
      </c>
      <c r="R356">
        <f t="shared" si="12"/>
        <v>-3.4121746964452812E-4</v>
      </c>
    </row>
    <row r="357" spans="1:18" x14ac:dyDescent="0.25">
      <c r="A357" s="4">
        <v>45813.705555555556</v>
      </c>
      <c r="B357" s="1">
        <v>133.13</v>
      </c>
      <c r="C357" s="1">
        <v>371.85</v>
      </c>
      <c r="D357" s="1">
        <v>19.61</v>
      </c>
      <c r="F357" s="1">
        <f t="shared" si="11"/>
        <v>-5.6763014414817903E-3</v>
      </c>
      <c r="G357" s="1">
        <f t="shared" si="11"/>
        <v>-1.5227754237288171E-2</v>
      </c>
      <c r="H357" s="1">
        <f t="shared" si="11"/>
        <v>-1.5562248995984018E-2</v>
      </c>
      <c r="R357">
        <f t="shared" si="12"/>
        <v>-9.9178471711063865E-3</v>
      </c>
    </row>
    <row r="358" spans="1:18" x14ac:dyDescent="0.25">
      <c r="A358" s="4">
        <v>45814.705555555556</v>
      </c>
      <c r="B358" s="1">
        <v>132.94999999999999</v>
      </c>
      <c r="C358" s="1">
        <v>374.7</v>
      </c>
      <c r="D358" s="1">
        <v>19.29</v>
      </c>
      <c r="F358" s="1">
        <f t="shared" si="11"/>
        <v>-1.3520618943889673E-3</v>
      </c>
      <c r="G358" s="1">
        <f t="shared" si="11"/>
        <v>7.664380798709125E-3</v>
      </c>
      <c r="H358" s="1">
        <f t="shared" si="11"/>
        <v>-1.6318204997450292E-2</v>
      </c>
      <c r="R358">
        <f t="shared" si="12"/>
        <v>8.9310706198303435E-4</v>
      </c>
    </row>
    <row r="359" spans="1:18" x14ac:dyDescent="0.25">
      <c r="A359" s="4">
        <v>45817.705555555556</v>
      </c>
      <c r="B359" s="1">
        <v>132.62</v>
      </c>
      <c r="C359" s="1">
        <v>374.45</v>
      </c>
      <c r="D359" s="1">
        <v>19.350000000000001</v>
      </c>
      <c r="F359" s="1">
        <f t="shared" si="11"/>
        <v>-2.4821361414064658E-3</v>
      </c>
      <c r="G359" s="1">
        <f t="shared" si="11"/>
        <v>-6.6720042700829651E-4</v>
      </c>
      <c r="H359" s="1">
        <f t="shared" si="11"/>
        <v>3.1104199066875893E-3</v>
      </c>
      <c r="R359">
        <f t="shared" si="12"/>
        <v>-9.4869263669714629E-4</v>
      </c>
    </row>
    <row r="360" spans="1:18" x14ac:dyDescent="0.25">
      <c r="A360" s="4">
        <v>45818.705555555556</v>
      </c>
      <c r="B360" s="1">
        <v>133.33000000000001</v>
      </c>
      <c r="C360" s="1">
        <v>377.2</v>
      </c>
      <c r="D360" s="1">
        <v>19.38</v>
      </c>
      <c r="F360" s="1">
        <f t="shared" si="11"/>
        <v>5.3536419846178518E-3</v>
      </c>
      <c r="G360" s="1">
        <f t="shared" si="11"/>
        <v>7.3441046868740756E-3</v>
      </c>
      <c r="H360" s="1">
        <f t="shared" si="11"/>
        <v>1.5503875968991832E-3</v>
      </c>
      <c r="R360">
        <f t="shared" si="12"/>
        <v>5.2341374282866889E-3</v>
      </c>
    </row>
    <row r="361" spans="1:18" x14ac:dyDescent="0.25">
      <c r="A361" s="4">
        <v>45819.705555555556</v>
      </c>
      <c r="B361" s="1">
        <v>134</v>
      </c>
      <c r="C361" s="1">
        <v>374.2</v>
      </c>
      <c r="D361" s="1">
        <v>19.39</v>
      </c>
      <c r="F361" s="1">
        <f t="shared" si="11"/>
        <v>5.0251256281406143E-3</v>
      </c>
      <c r="G361" s="1">
        <f t="shared" si="11"/>
        <v>-7.9533404029692445E-3</v>
      </c>
      <c r="H361" s="1">
        <f t="shared" si="11"/>
        <v>5.1599587203310371E-4</v>
      </c>
      <c r="R361">
        <f t="shared" si="12"/>
        <v>-1.1196863227281421E-3</v>
      </c>
    </row>
    <row r="362" spans="1:18" x14ac:dyDescent="0.25">
      <c r="A362" s="4">
        <v>45820.705555555556</v>
      </c>
      <c r="B362" s="1">
        <v>134.66</v>
      </c>
      <c r="C362" s="1">
        <v>375.45</v>
      </c>
      <c r="D362" s="1">
        <v>19.62</v>
      </c>
      <c r="F362" s="1">
        <f t="shared" si="11"/>
        <v>4.9253731343283924E-3</v>
      </c>
      <c r="G362" s="1">
        <f t="shared" si="11"/>
        <v>3.3404596472474957E-3</v>
      </c>
      <c r="H362" s="1">
        <f t="shared" si="11"/>
        <v>1.186178442496133E-2</v>
      </c>
      <c r="R362">
        <f t="shared" si="12"/>
        <v>4.4925115551264884E-3</v>
      </c>
    </row>
    <row r="363" spans="1:18" x14ac:dyDescent="0.25">
      <c r="A363" s="4">
        <v>45821.705555555556</v>
      </c>
      <c r="B363" s="1">
        <v>134.11000000000001</v>
      </c>
      <c r="C363" s="1">
        <v>371.68</v>
      </c>
      <c r="D363" s="1">
        <v>19.87</v>
      </c>
      <c r="F363" s="1">
        <f t="shared" si="11"/>
        <v>-4.0843606119113085E-3</v>
      </c>
      <c r="G363" s="1">
        <f t="shared" si="11"/>
        <v>-1.0041283792781908E-2</v>
      </c>
      <c r="H363" s="1">
        <f t="shared" si="11"/>
        <v>1.2742099898063186E-2</v>
      </c>
      <c r="R363">
        <f t="shared" si="12"/>
        <v>-4.376047772070968E-3</v>
      </c>
    </row>
    <row r="364" spans="1:18" x14ac:dyDescent="0.25">
      <c r="A364" s="4">
        <v>45824.705555555556</v>
      </c>
      <c r="B364" s="1">
        <v>136.06</v>
      </c>
      <c r="C364" s="1">
        <v>371.3</v>
      </c>
      <c r="D364" s="1">
        <v>19.399999999999999</v>
      </c>
      <c r="F364" s="1">
        <f t="shared" si="11"/>
        <v>1.4540302736559374E-2</v>
      </c>
      <c r="G364" s="1">
        <f t="shared" si="11"/>
        <v>-1.0223848471803132E-3</v>
      </c>
      <c r="H364" s="1">
        <f t="shared" si="11"/>
        <v>-2.3653749370911026E-2</v>
      </c>
      <c r="R364">
        <f t="shared" si="12"/>
        <v>3.041792218660523E-3</v>
      </c>
    </row>
    <row r="365" spans="1:18" x14ac:dyDescent="0.25">
      <c r="A365" s="4">
        <v>45826.705555555556</v>
      </c>
      <c r="B365" s="1">
        <v>135.58000000000001</v>
      </c>
      <c r="C365" s="1">
        <v>369.2</v>
      </c>
      <c r="D365" s="1">
        <v>19.36</v>
      </c>
      <c r="F365" s="1">
        <f t="shared" si="11"/>
        <v>-3.5278553579302097E-3</v>
      </c>
      <c r="G365" s="1">
        <f t="shared" si="11"/>
        <v>-5.6558039321303877E-3</v>
      </c>
      <c r="H365" s="1">
        <f t="shared" si="11"/>
        <v>-2.0618556701030855E-3</v>
      </c>
      <c r="R365">
        <f t="shared" si="12"/>
        <v>-3.8796492830345478E-3</v>
      </c>
    </row>
    <row r="366" spans="1:18" x14ac:dyDescent="0.25">
      <c r="A366" s="4">
        <v>45828.705555555556</v>
      </c>
      <c r="B366" s="1">
        <v>134.04</v>
      </c>
      <c r="C366" s="1">
        <v>369.75</v>
      </c>
      <c r="D366" s="1">
        <v>19.420000000000002</v>
      </c>
      <c r="F366" s="1">
        <f t="shared" si="11"/>
        <v>-1.1358607464227899E-2</v>
      </c>
      <c r="G366" s="1">
        <f t="shared" si="11"/>
        <v>1.4897074756230477E-3</v>
      </c>
      <c r="H366" s="1">
        <f t="shared" si="11"/>
        <v>3.0991735537191367E-3</v>
      </c>
      <c r="R366">
        <f t="shared" si="12"/>
        <v>-3.6376426400700269E-3</v>
      </c>
    </row>
    <row r="367" spans="1:18" x14ac:dyDescent="0.25">
      <c r="A367" s="4">
        <v>45831.705555555556</v>
      </c>
      <c r="B367" s="1">
        <v>133.47</v>
      </c>
      <c r="C367" s="1">
        <v>371.75</v>
      </c>
      <c r="D367" s="1">
        <v>19.41</v>
      </c>
      <c r="F367" s="1">
        <f t="shared" si="11"/>
        <v>-4.2524619516561835E-3</v>
      </c>
      <c r="G367" s="1">
        <f t="shared" si="11"/>
        <v>5.4090601757945667E-3</v>
      </c>
      <c r="H367" s="1">
        <f t="shared" si="11"/>
        <v>-5.14933058702427E-4</v>
      </c>
      <c r="R367">
        <f t="shared" si="12"/>
        <v>4.1114598378511074E-4</v>
      </c>
    </row>
    <row r="368" spans="1:18" x14ac:dyDescent="0.25">
      <c r="A368" s="4">
        <v>45832.705555555556</v>
      </c>
      <c r="B368" s="1">
        <v>134.07</v>
      </c>
      <c r="C368" s="1">
        <v>377.1</v>
      </c>
      <c r="D368" s="1">
        <v>19.2</v>
      </c>
      <c r="F368" s="1">
        <f t="shared" si="11"/>
        <v>4.4953922229713505E-3</v>
      </c>
      <c r="G368" s="1">
        <f t="shared" si="11"/>
        <v>1.4391392064559527E-2</v>
      </c>
      <c r="H368" s="1">
        <f t="shared" si="11"/>
        <v>-1.0819165378670781E-2</v>
      </c>
      <c r="R368">
        <f t="shared" si="12"/>
        <v>6.4727971771452739E-3</v>
      </c>
    </row>
    <row r="369" spans="1:18" x14ac:dyDescent="0.25">
      <c r="A369" s="4">
        <v>45833.705555555556</v>
      </c>
      <c r="B369" s="1">
        <v>132.74</v>
      </c>
      <c r="C369" s="1">
        <v>379.5</v>
      </c>
      <c r="D369" s="1">
        <v>19.36</v>
      </c>
      <c r="F369" s="1">
        <f t="shared" si="11"/>
        <v>-9.9201909450286063E-3</v>
      </c>
      <c r="G369" s="1">
        <f t="shared" si="11"/>
        <v>6.364359586316537E-3</v>
      </c>
      <c r="H369" s="1">
        <f t="shared" si="11"/>
        <v>8.3333333333333037E-3</v>
      </c>
      <c r="R369">
        <f t="shared" si="12"/>
        <v>-5.8899921015149743E-4</v>
      </c>
    </row>
    <row r="370" spans="1:18" x14ac:dyDescent="0.25">
      <c r="A370" s="4">
        <v>45834.705555555556</v>
      </c>
      <c r="B370" s="1">
        <v>134.01</v>
      </c>
      <c r="C370" s="1">
        <v>378.5</v>
      </c>
      <c r="D370" s="1">
        <v>19.16</v>
      </c>
      <c r="F370" s="1">
        <f t="shared" si="11"/>
        <v>9.5675757119177973E-3</v>
      </c>
      <c r="G370" s="1">
        <f t="shared" si="11"/>
        <v>-2.6350461133070047E-3</v>
      </c>
      <c r="H370" s="1">
        <f t="shared" si="11"/>
        <v>-1.0330578512396604E-2</v>
      </c>
      <c r="R370">
        <f t="shared" si="12"/>
        <v>1.739953988204657E-3</v>
      </c>
    </row>
    <row r="371" spans="1:18" x14ac:dyDescent="0.25">
      <c r="A371" s="4">
        <v>45835.705555555556</v>
      </c>
      <c r="B371" s="1">
        <v>133.79</v>
      </c>
      <c r="C371" s="1">
        <v>380</v>
      </c>
      <c r="D371" s="1">
        <v>18.73</v>
      </c>
      <c r="F371" s="1">
        <f t="shared" si="11"/>
        <v>-1.6416685321990476E-3</v>
      </c>
      <c r="G371" s="1">
        <f t="shared" si="11"/>
        <v>3.9630118890356947E-3</v>
      </c>
      <c r="H371" s="1">
        <f t="shared" si="11"/>
        <v>-2.2442588726513502E-2</v>
      </c>
      <c r="R371">
        <f t="shared" si="12"/>
        <v>-1.3157215299166906E-3</v>
      </c>
    </row>
    <row r="372" spans="1:18" x14ac:dyDescent="0.25">
      <c r="A372" s="4">
        <v>45838.705555555556</v>
      </c>
      <c r="B372" s="1">
        <v>135.71</v>
      </c>
      <c r="C372" s="1">
        <v>377.85</v>
      </c>
      <c r="D372" s="1">
        <v>18.77</v>
      </c>
      <c r="F372" s="1">
        <f t="shared" si="11"/>
        <v>1.4350848344420575E-2</v>
      </c>
      <c r="G372" s="1">
        <f t="shared" si="11"/>
        <v>-5.657894736842084E-3</v>
      </c>
      <c r="H372" s="1">
        <f t="shared" si="11"/>
        <v>2.1356113187398496E-3</v>
      </c>
      <c r="R372">
        <f t="shared" si="12"/>
        <v>3.6907425749053819E-3</v>
      </c>
    </row>
    <row r="373" spans="1:18" x14ac:dyDescent="0.25">
      <c r="A373" s="4">
        <v>45839.705555555556</v>
      </c>
      <c r="B373" s="1">
        <v>136.43</v>
      </c>
      <c r="C373" s="1">
        <v>379.85</v>
      </c>
      <c r="D373" s="1">
        <v>19.04</v>
      </c>
      <c r="F373" s="1">
        <f t="shared" si="11"/>
        <v>5.3054306978115306E-3</v>
      </c>
      <c r="G373" s="1">
        <f t="shared" si="11"/>
        <v>5.2931057297869177E-3</v>
      </c>
      <c r="H373" s="1">
        <f t="shared" si="11"/>
        <v>1.4384656366542403E-2</v>
      </c>
      <c r="R373">
        <f t="shared" si="12"/>
        <v>5.677880207693619E-3</v>
      </c>
    </row>
    <row r="374" spans="1:18" x14ac:dyDescent="0.25">
      <c r="A374" s="4">
        <v>45840.705555555556</v>
      </c>
      <c r="B374" s="1">
        <v>135.41999999999999</v>
      </c>
      <c r="C374" s="1">
        <v>378.75</v>
      </c>
      <c r="D374" s="1">
        <v>19.04</v>
      </c>
      <c r="F374" s="1">
        <f t="shared" si="11"/>
        <v>-7.4030638422635242E-3</v>
      </c>
      <c r="G374" s="1">
        <f t="shared" si="11"/>
        <v>-2.8958799526129786E-3</v>
      </c>
      <c r="H374" s="1">
        <f t="shared" si="11"/>
        <v>0</v>
      </c>
      <c r="R374">
        <f t="shared" si="12"/>
        <v>-4.1195775179506018E-3</v>
      </c>
    </row>
    <row r="375" spans="1:18" x14ac:dyDescent="0.25">
      <c r="A375" s="4">
        <v>45841.705555555556</v>
      </c>
      <c r="B375" s="1">
        <v>137.75</v>
      </c>
      <c r="C375" s="1">
        <v>380.25</v>
      </c>
      <c r="D375" s="1">
        <v>18.84</v>
      </c>
      <c r="F375" s="1">
        <f t="shared" si="11"/>
        <v>1.7205730320484447E-2</v>
      </c>
      <c r="G375" s="1">
        <f t="shared" si="11"/>
        <v>3.9603960396039639E-3</v>
      </c>
      <c r="H375" s="1">
        <f t="shared" si="11"/>
        <v>-1.0504201680672232E-2</v>
      </c>
      <c r="R375">
        <f t="shared" si="12"/>
        <v>7.4160303759681426E-3</v>
      </c>
    </row>
    <row r="376" spans="1:18" x14ac:dyDescent="0.25">
      <c r="A376" s="4">
        <v>45842.705555555556</v>
      </c>
      <c r="B376" s="1">
        <v>138.11000000000001</v>
      </c>
      <c r="C376" s="1">
        <v>379.4</v>
      </c>
      <c r="D376" s="1">
        <v>18.91</v>
      </c>
      <c r="F376" s="1">
        <f t="shared" si="11"/>
        <v>2.6134301270417382E-3</v>
      </c>
      <c r="G376" s="1">
        <f t="shared" si="11"/>
        <v>-2.2353714661407231E-3</v>
      </c>
      <c r="H376" s="1">
        <f t="shared" si="11"/>
        <v>3.7154989384289294E-3</v>
      </c>
      <c r="R376">
        <f t="shared" si="12"/>
        <v>5.2277335820329887E-4</v>
      </c>
    </row>
    <row r="377" spans="1:18" x14ac:dyDescent="0.25">
      <c r="A377" s="4">
        <v>45845.705555555556</v>
      </c>
      <c r="B377" s="1">
        <v>136.41</v>
      </c>
      <c r="C377" s="1">
        <v>382.75</v>
      </c>
      <c r="D377" s="1">
        <v>19.11</v>
      </c>
      <c r="F377" s="1">
        <f t="shared" si="11"/>
        <v>-1.2309029034827446E-2</v>
      </c>
      <c r="G377" s="1">
        <f t="shared" si="11"/>
        <v>8.8297311544545121E-3</v>
      </c>
      <c r="H377" s="1">
        <f t="shared" si="11"/>
        <v>1.057641459545211E-2</v>
      </c>
      <c r="R377">
        <f t="shared" si="12"/>
        <v>-3.3407769260396258E-4</v>
      </c>
    </row>
    <row r="378" spans="1:18" x14ac:dyDescent="0.25">
      <c r="A378" s="4">
        <v>45846.705555555556</v>
      </c>
      <c r="B378" s="1">
        <v>136.19999999999999</v>
      </c>
      <c r="C378" s="1">
        <v>380.1</v>
      </c>
      <c r="D378" s="1">
        <v>18.760000000000002</v>
      </c>
      <c r="F378" s="1">
        <f t="shared" si="11"/>
        <v>-1.5394765779636055E-3</v>
      </c>
      <c r="G378" s="1">
        <f t="shared" si="11"/>
        <v>-6.9235793598954043E-3</v>
      </c>
      <c r="H378" s="1">
        <f t="shared" si="11"/>
        <v>-1.831501831501825E-2</v>
      </c>
      <c r="R378">
        <f t="shared" si="12"/>
        <v>-5.2167242066454289E-3</v>
      </c>
    </row>
    <row r="379" spans="1:18" x14ac:dyDescent="0.25">
      <c r="A379" s="4">
        <v>45847.705555555556</v>
      </c>
      <c r="B379" s="1">
        <v>134.44999999999999</v>
      </c>
      <c r="C379" s="1">
        <v>386.65</v>
      </c>
      <c r="D379" s="1">
        <v>19.09</v>
      </c>
      <c r="F379" s="1">
        <f t="shared" si="11"/>
        <v>-1.2848751835536021E-2</v>
      </c>
      <c r="G379" s="1">
        <f t="shared" si="11"/>
        <v>1.7232307287555759E-2</v>
      </c>
      <c r="H379" s="1">
        <f t="shared" si="11"/>
        <v>1.7590618336886799E-2</v>
      </c>
      <c r="R379">
        <f t="shared" si="12"/>
        <v>3.5124840144965743E-3</v>
      </c>
    </row>
    <row r="380" spans="1:18" x14ac:dyDescent="0.25">
      <c r="A380" s="4">
        <v>45848.705555555556</v>
      </c>
      <c r="B380" s="1">
        <v>133.71</v>
      </c>
      <c r="C380" s="1">
        <v>390.5</v>
      </c>
      <c r="D380" s="1">
        <v>19.239999999999998</v>
      </c>
      <c r="F380" s="1">
        <f t="shared" si="11"/>
        <v>-5.5039047973223232E-3</v>
      </c>
      <c r="G380" s="1">
        <f t="shared" si="11"/>
        <v>9.957325746799528E-3</v>
      </c>
      <c r="H380" s="1">
        <f t="shared" si="11"/>
        <v>7.8575170246202308E-3</v>
      </c>
      <c r="R380">
        <f t="shared" si="12"/>
        <v>2.5671200822529046E-3</v>
      </c>
    </row>
    <row r="381" spans="1:18" x14ac:dyDescent="0.25">
      <c r="A381" s="4">
        <v>45849.705555555556</v>
      </c>
      <c r="B381" s="1">
        <v>133.16999999999999</v>
      </c>
      <c r="C381" s="1">
        <v>388.8</v>
      </c>
      <c r="D381" s="1">
        <v>19.48</v>
      </c>
      <c r="F381" s="1">
        <f t="shared" si="11"/>
        <v>-4.0385909804803166E-3</v>
      </c>
      <c r="G381" s="1">
        <f t="shared" si="11"/>
        <v>-4.3533930857874159E-3</v>
      </c>
      <c r="H381" s="1">
        <f t="shared" si="11"/>
        <v>1.2474012474012586E-2</v>
      </c>
      <c r="R381">
        <f t="shared" si="12"/>
        <v>-2.1093923791058347E-3</v>
      </c>
    </row>
    <row r="382" spans="1:18" x14ac:dyDescent="0.25">
      <c r="A382" s="4">
        <v>45852.705555555556</v>
      </c>
      <c r="B382" s="1">
        <v>132.31</v>
      </c>
      <c r="C382" s="1">
        <v>392</v>
      </c>
      <c r="D382" s="1">
        <v>19.52</v>
      </c>
      <c r="F382" s="1">
        <f t="shared" si="11"/>
        <v>-6.4579109409025337E-3</v>
      </c>
      <c r="G382" s="1">
        <f t="shared" si="11"/>
        <v>8.2304526748970819E-3</v>
      </c>
      <c r="H382" s="1">
        <f t="shared" si="11"/>
        <v>2.0533880903490509E-3</v>
      </c>
      <c r="R382">
        <f t="shared" si="12"/>
        <v>9.1435550263272423E-4</v>
      </c>
    </row>
    <row r="383" spans="1:18" x14ac:dyDescent="0.25">
      <c r="A383" s="4">
        <v>45853.705555555556</v>
      </c>
      <c r="B383" s="1">
        <v>132.24</v>
      </c>
      <c r="C383" s="1">
        <v>388.89</v>
      </c>
      <c r="D383" s="1">
        <v>19.37</v>
      </c>
      <c r="F383" s="1">
        <f t="shared" si="11"/>
        <v>-5.2906053964174582E-4</v>
      </c>
      <c r="G383" s="1">
        <f t="shared" si="11"/>
        <v>-7.9336734693877808E-3</v>
      </c>
      <c r="H383" s="1">
        <f t="shared" si="11"/>
        <v>-7.6844262295081567E-3</v>
      </c>
      <c r="R383">
        <f t="shared" si="12"/>
        <v>-4.1535362265626265E-3</v>
      </c>
    </row>
    <row r="384" spans="1:18" x14ac:dyDescent="0.25">
      <c r="A384" s="4">
        <v>45854.705555555556</v>
      </c>
      <c r="B384" s="1">
        <v>132.5</v>
      </c>
      <c r="C384" s="1">
        <v>390.7</v>
      </c>
      <c r="D384" s="1">
        <v>19.46</v>
      </c>
      <c r="F384" s="1">
        <f t="shared" si="11"/>
        <v>1.9661222020568303E-3</v>
      </c>
      <c r="G384" s="1">
        <f t="shared" si="11"/>
        <v>4.6542724163645133E-3</v>
      </c>
      <c r="H384" s="1">
        <f t="shared" si="11"/>
        <v>4.6463603510582541E-3</v>
      </c>
      <c r="R384">
        <f t="shared" si="12"/>
        <v>3.1127938824743627E-3</v>
      </c>
    </row>
    <row r="385" spans="1:18" x14ac:dyDescent="0.25">
      <c r="A385" s="4">
        <v>45855.705555555556</v>
      </c>
      <c r="B385" s="1">
        <v>132.55000000000001</v>
      </c>
      <c r="C385" s="1">
        <v>391.98</v>
      </c>
      <c r="D385" s="1">
        <v>19.36</v>
      </c>
      <c r="F385" s="1">
        <f t="shared" si="11"/>
        <v>3.7735849056619308E-4</v>
      </c>
      <c r="G385" s="1">
        <f t="shared" si="11"/>
        <v>3.276170975172743E-3</v>
      </c>
      <c r="H385" s="1">
        <f t="shared" si="11"/>
        <v>-5.1387461459404538E-3</v>
      </c>
      <c r="R385">
        <f t="shared" si="12"/>
        <v>9.4753717170152911E-4</v>
      </c>
    </row>
    <row r="386" spans="1:18" x14ac:dyDescent="0.25">
      <c r="A386" s="4">
        <v>45856.705555555556</v>
      </c>
      <c r="B386" s="1">
        <v>130.46</v>
      </c>
      <c r="C386" s="1">
        <v>394.28</v>
      </c>
      <c r="D386" s="1">
        <v>19.55</v>
      </c>
      <c r="F386" s="1">
        <f t="shared" si="11"/>
        <v>-1.5767634854771839E-2</v>
      </c>
      <c r="G386" s="1">
        <f t="shared" si="11"/>
        <v>5.8676463084850194E-3</v>
      </c>
      <c r="H386" s="1">
        <f t="shared" si="11"/>
        <v>9.8140495867768962E-3</v>
      </c>
      <c r="R386">
        <f t="shared" si="12"/>
        <v>-2.9785904598370388E-3</v>
      </c>
    </row>
    <row r="387" spans="1:18" x14ac:dyDescent="0.25">
      <c r="A387" s="4">
        <v>45859.705555555556</v>
      </c>
      <c r="B387" s="1">
        <v>131.18</v>
      </c>
      <c r="C387" s="1">
        <v>393.64</v>
      </c>
      <c r="D387" s="1">
        <v>19.77</v>
      </c>
      <c r="F387" s="1">
        <f t="shared" si="11"/>
        <v>5.5189330062854758E-3</v>
      </c>
      <c r="G387" s="1">
        <f t="shared" si="11"/>
        <v>-1.6232119306076598E-3</v>
      </c>
      <c r="H387" s="1">
        <f t="shared" si="11"/>
        <v>1.1253196930946174E-2</v>
      </c>
      <c r="R387">
        <f t="shared" si="12"/>
        <v>2.6836081233657435E-3</v>
      </c>
    </row>
    <row r="388" spans="1:18" x14ac:dyDescent="0.25">
      <c r="A388" s="4">
        <v>45860.705555555556</v>
      </c>
      <c r="B388" s="1">
        <v>131.07</v>
      </c>
      <c r="C388" s="1">
        <v>393.48</v>
      </c>
      <c r="D388" s="1">
        <v>19.96</v>
      </c>
      <c r="F388" s="1">
        <f t="shared" ref="F388:H451" si="13">(B388/B387)-1</f>
        <v>-8.3854246074110961E-4</v>
      </c>
      <c r="G388" s="1">
        <f t="shared" si="13"/>
        <v>-4.0646275784972374E-4</v>
      </c>
      <c r="H388" s="1">
        <f t="shared" si="13"/>
        <v>9.6105209914012502E-3</v>
      </c>
      <c r="R388">
        <f t="shared" si="12"/>
        <v>4.6305001170379148E-4</v>
      </c>
    </row>
    <row r="389" spans="1:18" x14ac:dyDescent="0.25">
      <c r="A389" s="4">
        <v>45861.705555555556</v>
      </c>
      <c r="B389" s="1">
        <v>132.35</v>
      </c>
      <c r="C389" s="1">
        <v>393.78</v>
      </c>
      <c r="D389" s="1">
        <v>19.559999999999999</v>
      </c>
      <c r="F389" s="1">
        <f t="shared" si="13"/>
        <v>9.7657740138856752E-3</v>
      </c>
      <c r="G389" s="1">
        <f t="shared" si="13"/>
        <v>7.6242756938071921E-4</v>
      </c>
      <c r="H389" s="1">
        <f t="shared" si="13"/>
        <v>-2.0040080160320772E-2</v>
      </c>
      <c r="R389">
        <f t="shared" ref="R389:R452" si="14">$L$2*F389+G389*$L$3+H389*$L$4</f>
        <v>2.2072726172744808E-3</v>
      </c>
    </row>
    <row r="390" spans="1:18" x14ac:dyDescent="0.25">
      <c r="A390" s="4">
        <v>45862.705555555556</v>
      </c>
      <c r="B390" s="1">
        <v>130.87</v>
      </c>
      <c r="C390" s="1">
        <v>393.98</v>
      </c>
      <c r="D390" s="1">
        <v>19.43</v>
      </c>
      <c r="F390" s="1">
        <f t="shared" si="13"/>
        <v>-1.1182470721571525E-2</v>
      </c>
      <c r="G390" s="1">
        <f t="shared" si="13"/>
        <v>5.0789781096050035E-4</v>
      </c>
      <c r="H390" s="1">
        <f t="shared" si="13"/>
        <v>-6.64621676891608E-3</v>
      </c>
      <c r="R390">
        <f t="shared" si="14"/>
        <v>-4.9344508411360176E-3</v>
      </c>
    </row>
    <row r="391" spans="1:18" x14ac:dyDescent="0.25">
      <c r="A391" s="4">
        <v>45863.705555555556</v>
      </c>
      <c r="B391" s="1">
        <v>130.57</v>
      </c>
      <c r="C391" s="1">
        <v>398.3</v>
      </c>
      <c r="D391" s="1">
        <v>19.38</v>
      </c>
      <c r="F391" s="1">
        <f t="shared" si="13"/>
        <v>-2.2923511882021463E-3</v>
      </c>
      <c r="G391" s="1">
        <f t="shared" si="13"/>
        <v>1.0965023605259194E-2</v>
      </c>
      <c r="H391" s="1">
        <f t="shared" si="13"/>
        <v>-2.5733401955738699E-3</v>
      </c>
      <c r="R391">
        <f t="shared" si="14"/>
        <v>3.2117349472654323E-3</v>
      </c>
    </row>
    <row r="392" spans="1:18" x14ac:dyDescent="0.25">
      <c r="A392" s="4">
        <v>45866.705555555556</v>
      </c>
      <c r="B392" s="1">
        <v>129.22999999999999</v>
      </c>
      <c r="C392" s="1">
        <v>400.41</v>
      </c>
      <c r="D392" s="1">
        <v>19.36</v>
      </c>
      <c r="F392" s="1">
        <f t="shared" si="13"/>
        <v>-1.0262694340200662E-2</v>
      </c>
      <c r="G392" s="1">
        <f t="shared" si="13"/>
        <v>5.2975144363545112E-3</v>
      </c>
      <c r="H392" s="1">
        <f t="shared" si="13"/>
        <v>-1.0319917440659854E-3</v>
      </c>
      <c r="R392">
        <f t="shared" si="14"/>
        <v>-2.0892711359450588E-3</v>
      </c>
    </row>
    <row r="393" spans="1:18" x14ac:dyDescent="0.25">
      <c r="A393" s="4">
        <v>45867.705555555556</v>
      </c>
      <c r="B393" s="1">
        <v>129.79</v>
      </c>
      <c r="C393" s="1">
        <v>397.67</v>
      </c>
      <c r="D393" s="1">
        <v>19.36</v>
      </c>
      <c r="F393" s="1">
        <f t="shared" si="13"/>
        <v>4.3333591271377259E-3</v>
      </c>
      <c r="G393" s="1">
        <f t="shared" si="13"/>
        <v>-6.8429859394121273E-3</v>
      </c>
      <c r="H393" s="1">
        <f t="shared" si="13"/>
        <v>0</v>
      </c>
      <c r="R393">
        <f t="shared" si="14"/>
        <v>-1.0038507249097608E-3</v>
      </c>
    </row>
    <row r="394" spans="1:18" x14ac:dyDescent="0.25">
      <c r="A394" s="4">
        <v>45868.705555555556</v>
      </c>
      <c r="B394" s="1">
        <v>131.01</v>
      </c>
      <c r="C394" s="1">
        <v>398.49</v>
      </c>
      <c r="D394" s="1">
        <v>19.04</v>
      </c>
      <c r="F394" s="1">
        <f t="shared" si="13"/>
        <v>9.3997996764003666E-3</v>
      </c>
      <c r="G394" s="1">
        <f t="shared" si="13"/>
        <v>2.0620112153293402E-3</v>
      </c>
      <c r="H394" s="1">
        <f t="shared" si="13"/>
        <v>-1.6528925619834767E-2</v>
      </c>
      <c r="R394">
        <f t="shared" si="14"/>
        <v>2.9318317947084065E-3</v>
      </c>
    </row>
    <row r="395" spans="1:18" x14ac:dyDescent="0.25">
      <c r="A395" s="4">
        <v>45869.705555555556</v>
      </c>
      <c r="B395" s="1">
        <v>130.68</v>
      </c>
      <c r="C395" s="1">
        <v>398.01</v>
      </c>
      <c r="D395" s="1">
        <v>19.239999999999998</v>
      </c>
      <c r="F395" s="1">
        <f t="shared" si="13"/>
        <v>-2.5188916876572875E-3</v>
      </c>
      <c r="G395" s="1">
        <f t="shared" si="13"/>
        <v>-1.2045471655499629E-3</v>
      </c>
      <c r="H395" s="1">
        <f t="shared" si="13"/>
        <v>1.0504201680672232E-2</v>
      </c>
      <c r="R395">
        <f t="shared" si="14"/>
        <v>-4.3895537321567732E-4</v>
      </c>
    </row>
    <row r="396" spans="1:18" x14ac:dyDescent="0.25">
      <c r="A396" s="4">
        <v>45870.705555555556</v>
      </c>
      <c r="B396" s="1">
        <v>130.13</v>
      </c>
      <c r="C396" s="1">
        <v>387.8</v>
      </c>
      <c r="D396" s="1">
        <v>19.47</v>
      </c>
      <c r="F396" s="1">
        <f t="shared" si="13"/>
        <v>-4.2087542087543284E-3</v>
      </c>
      <c r="G396" s="1">
        <f t="shared" si="13"/>
        <v>-2.5652621793422203E-2</v>
      </c>
      <c r="H396" s="1">
        <f t="shared" si="13"/>
        <v>1.195426195426208E-2</v>
      </c>
      <c r="R396">
        <f t="shared" si="14"/>
        <v>-1.0749124205444405E-2</v>
      </c>
    </row>
    <row r="397" spans="1:18" x14ac:dyDescent="0.25">
      <c r="A397" s="4">
        <v>45873.705555555556</v>
      </c>
      <c r="B397" s="1">
        <v>130.09</v>
      </c>
      <c r="C397" s="1">
        <v>391.3</v>
      </c>
      <c r="D397" s="1">
        <v>19.41</v>
      </c>
      <c r="F397" s="1">
        <f t="shared" si="13"/>
        <v>-3.0738492276949358E-4</v>
      </c>
      <c r="G397" s="1">
        <f t="shared" si="13"/>
        <v>9.0252707581226499E-3</v>
      </c>
      <c r="H397" s="1">
        <f t="shared" si="13"/>
        <v>-3.0816640986132127E-3</v>
      </c>
      <c r="R397">
        <f t="shared" si="14"/>
        <v>3.178987924279942E-3</v>
      </c>
    </row>
    <row r="398" spans="1:18" x14ac:dyDescent="0.25">
      <c r="A398" s="4">
        <v>45874.705555555556</v>
      </c>
      <c r="B398" s="1">
        <v>130.22</v>
      </c>
      <c r="C398" s="1">
        <v>389.3</v>
      </c>
      <c r="D398" s="1">
        <v>19.45</v>
      </c>
      <c r="F398" s="1">
        <f t="shared" si="13"/>
        <v>9.9930817126603344E-4</v>
      </c>
      <c r="G398" s="1">
        <f t="shared" si="13"/>
        <v>-5.1111679018656098E-3</v>
      </c>
      <c r="H398" s="1">
        <f t="shared" si="13"/>
        <v>2.0607934054610588E-3</v>
      </c>
      <c r="R398">
        <f t="shared" si="14"/>
        <v>-1.4386645516937246E-3</v>
      </c>
    </row>
    <row r="399" spans="1:18" x14ac:dyDescent="0.25">
      <c r="A399" s="4">
        <v>45875.705555555556</v>
      </c>
      <c r="B399" s="1">
        <v>131.55000000000001</v>
      </c>
      <c r="C399" s="1">
        <v>388.8</v>
      </c>
      <c r="D399" s="1">
        <v>19.260000000000002</v>
      </c>
      <c r="F399" s="1">
        <f t="shared" si="13"/>
        <v>1.0213484871755663E-2</v>
      </c>
      <c r="G399" s="1">
        <f t="shared" si="13"/>
        <v>-1.2843565373747978E-3</v>
      </c>
      <c r="H399" s="1">
        <f t="shared" si="13"/>
        <v>-9.7686375321335284E-3</v>
      </c>
      <c r="R399">
        <f t="shared" si="14"/>
        <v>2.5947875805389931E-3</v>
      </c>
    </row>
    <row r="400" spans="1:18" x14ac:dyDescent="0.25">
      <c r="A400" s="4">
        <v>45876.705555555556</v>
      </c>
      <c r="B400" s="1">
        <v>133.49</v>
      </c>
      <c r="C400" s="1">
        <v>385.9</v>
      </c>
      <c r="D400" s="1">
        <v>19.27</v>
      </c>
      <c r="F400" s="1">
        <f t="shared" si="13"/>
        <v>1.4747244393766623E-2</v>
      </c>
      <c r="G400" s="1">
        <f t="shared" si="13"/>
        <v>-7.45884773662564E-3</v>
      </c>
      <c r="H400" s="1">
        <f t="shared" si="13"/>
        <v>5.1921079958461291E-4</v>
      </c>
      <c r="R400">
        <f t="shared" si="14"/>
        <v>2.9672797428148545E-3</v>
      </c>
    </row>
    <row r="401" spans="1:18" x14ac:dyDescent="0.25">
      <c r="A401" s="4">
        <v>45877.705555555556</v>
      </c>
      <c r="B401" s="1">
        <v>132.94</v>
      </c>
      <c r="C401" s="1">
        <v>390.35</v>
      </c>
      <c r="D401" s="1">
        <v>19.309999999999999</v>
      </c>
      <c r="F401" s="1">
        <f t="shared" si="13"/>
        <v>-4.1201588133943368E-3</v>
      </c>
      <c r="G401" s="1">
        <f t="shared" si="13"/>
        <v>1.1531484840632489E-2</v>
      </c>
      <c r="H401" s="1">
        <f t="shared" si="13"/>
        <v>2.0757654385052948E-3</v>
      </c>
      <c r="R401">
        <f t="shared" si="14"/>
        <v>3.1721069547457907E-3</v>
      </c>
    </row>
    <row r="402" spans="1:18" x14ac:dyDescent="0.25">
      <c r="A402" s="4">
        <v>45880.705555555556</v>
      </c>
      <c r="B402" s="1">
        <v>132.66</v>
      </c>
      <c r="C402" s="1">
        <v>389.54</v>
      </c>
      <c r="D402" s="1">
        <v>19.03</v>
      </c>
      <c r="F402" s="1">
        <f t="shared" si="13"/>
        <v>-2.1062133293214824E-3</v>
      </c>
      <c r="G402" s="1">
        <f t="shared" si="13"/>
        <v>-2.0750608428333761E-3</v>
      </c>
      <c r="H402" s="1">
        <f t="shared" si="13"/>
        <v>-1.4500258933195065E-2</v>
      </c>
      <c r="R402">
        <f t="shared" si="14"/>
        <v>-3.1225355621814499E-3</v>
      </c>
    </row>
    <row r="403" spans="1:18" x14ac:dyDescent="0.25">
      <c r="A403" s="4">
        <v>45881.705555555556</v>
      </c>
      <c r="B403" s="1">
        <v>134.84</v>
      </c>
      <c r="C403" s="1">
        <v>389.88</v>
      </c>
      <c r="D403" s="1">
        <v>18.829999999999998</v>
      </c>
      <c r="F403" s="1">
        <f t="shared" si="13"/>
        <v>1.643298658224035E-2</v>
      </c>
      <c r="G403" s="1">
        <f t="shared" si="13"/>
        <v>8.7282435693381011E-4</v>
      </c>
      <c r="H403" s="1">
        <f t="shared" si="13"/>
        <v>-1.0509721492380608E-2</v>
      </c>
      <c r="R403">
        <f t="shared" si="14"/>
        <v>5.8713522264316042E-3</v>
      </c>
    </row>
    <row r="404" spans="1:18" x14ac:dyDescent="0.25">
      <c r="A404" s="4">
        <v>45882.705555555556</v>
      </c>
      <c r="B404" s="1">
        <v>133.79</v>
      </c>
      <c r="C404" s="1">
        <v>391.95</v>
      </c>
      <c r="D404" s="1">
        <v>18.93</v>
      </c>
      <c r="F404" s="1">
        <f t="shared" si="13"/>
        <v>-7.7870068229013434E-3</v>
      </c>
      <c r="G404" s="1">
        <f t="shared" si="13"/>
        <v>5.3093259464449538E-3</v>
      </c>
      <c r="H404" s="1">
        <f t="shared" si="13"/>
        <v>5.3106744556559171E-3</v>
      </c>
      <c r="R404">
        <f t="shared" si="14"/>
        <v>-4.6000490501696401E-4</v>
      </c>
    </row>
    <row r="405" spans="1:18" x14ac:dyDescent="0.25">
      <c r="A405" s="4">
        <v>45883.705555555556</v>
      </c>
      <c r="B405" s="1">
        <v>133.44999999999999</v>
      </c>
      <c r="C405" s="1">
        <v>393</v>
      </c>
      <c r="D405" s="1">
        <v>18.87</v>
      </c>
      <c r="F405" s="1">
        <f t="shared" si="13"/>
        <v>-2.5412960609911828E-3</v>
      </c>
      <c r="G405" s="1">
        <f t="shared" si="13"/>
        <v>2.6789131266744537E-3</v>
      </c>
      <c r="H405" s="1">
        <f t="shared" si="13"/>
        <v>-3.1695721077653616E-3</v>
      </c>
      <c r="R405">
        <f t="shared" si="14"/>
        <v>-2.6191038450322762E-4</v>
      </c>
    </row>
    <row r="406" spans="1:18" x14ac:dyDescent="0.25">
      <c r="A406" s="4">
        <v>45884.705555555556</v>
      </c>
      <c r="B406" s="1">
        <v>133.43</v>
      </c>
      <c r="C406" s="1">
        <v>390.9</v>
      </c>
      <c r="D406" s="1">
        <v>18.82</v>
      </c>
      <c r="F406" s="1">
        <f t="shared" si="13"/>
        <v>-1.4986886474321892E-4</v>
      </c>
      <c r="G406" s="1">
        <f t="shared" si="13"/>
        <v>-5.3435114503816994E-3</v>
      </c>
      <c r="H406" s="1">
        <f t="shared" si="13"/>
        <v>-2.6497085320614788E-3</v>
      </c>
      <c r="R406">
        <f t="shared" si="14"/>
        <v>-2.4623229792561153E-3</v>
      </c>
    </row>
    <row r="407" spans="1:18" x14ac:dyDescent="0.25">
      <c r="A407" s="4">
        <v>45887.705555555556</v>
      </c>
      <c r="B407" s="1">
        <v>134.37</v>
      </c>
      <c r="C407" s="1">
        <v>393.55</v>
      </c>
      <c r="D407" s="1">
        <v>18.93</v>
      </c>
      <c r="F407" s="1">
        <f t="shared" si="13"/>
        <v>7.044892452971574E-3</v>
      </c>
      <c r="G407" s="1">
        <f t="shared" si="13"/>
        <v>6.7792274238935857E-3</v>
      </c>
      <c r="H407" s="1">
        <f t="shared" si="13"/>
        <v>5.8448459086077875E-3</v>
      </c>
      <c r="R407">
        <f t="shared" si="14"/>
        <v>6.1141325416068423E-3</v>
      </c>
    </row>
    <row r="408" spans="1:18" x14ac:dyDescent="0.25">
      <c r="A408" s="4">
        <v>45888.705555555556</v>
      </c>
      <c r="B408" s="1">
        <v>131.66999999999999</v>
      </c>
      <c r="C408" s="1">
        <v>396</v>
      </c>
      <c r="D408" s="1">
        <v>19.03</v>
      </c>
      <c r="F408" s="1">
        <f t="shared" si="13"/>
        <v>-2.0093770931011501E-2</v>
      </c>
      <c r="G408" s="1">
        <f t="shared" si="13"/>
        <v>6.2253843221953264E-3</v>
      </c>
      <c r="H408" s="1">
        <f t="shared" si="13"/>
        <v>5.282620179609232E-3</v>
      </c>
      <c r="R408">
        <f t="shared" si="14"/>
        <v>-5.0190926255655466E-3</v>
      </c>
    </row>
    <row r="409" spans="1:18" x14ac:dyDescent="0.25">
      <c r="A409" s="4">
        <v>45889.705555555556</v>
      </c>
      <c r="B409" s="1">
        <v>131.80000000000001</v>
      </c>
      <c r="C409" s="1">
        <v>392.52</v>
      </c>
      <c r="D409" s="1">
        <v>19.14</v>
      </c>
      <c r="F409" s="1">
        <f t="shared" si="13"/>
        <v>9.8731677679064767E-4</v>
      </c>
      <c r="G409" s="1">
        <f t="shared" si="13"/>
        <v>-8.787878787878789E-3</v>
      </c>
      <c r="H409" s="1">
        <f t="shared" si="13"/>
        <v>5.7803468208093012E-3</v>
      </c>
      <c r="R409">
        <f t="shared" si="14"/>
        <v>-2.5421901223543269E-3</v>
      </c>
    </row>
    <row r="410" spans="1:18" x14ac:dyDescent="0.25">
      <c r="A410" s="4">
        <v>45890.705555555556</v>
      </c>
      <c r="B410" s="1">
        <v>131.66</v>
      </c>
      <c r="C410" s="1">
        <v>392.08</v>
      </c>
      <c r="D410" s="1">
        <v>19.11</v>
      </c>
      <c r="F410" s="1">
        <f t="shared" si="13"/>
        <v>-1.0622154779971194E-3</v>
      </c>
      <c r="G410" s="1">
        <f t="shared" si="13"/>
        <v>-1.1209619891979772E-3</v>
      </c>
      <c r="H410" s="1">
        <f t="shared" si="13"/>
        <v>-1.5673981191223207E-3</v>
      </c>
      <c r="R410">
        <f t="shared" si="14"/>
        <v>-1.0300107987902707E-3</v>
      </c>
    </row>
    <row r="411" spans="1:18" x14ac:dyDescent="0.25">
      <c r="A411" s="4">
        <v>45891.705555555556</v>
      </c>
      <c r="B411" s="1">
        <v>134.99</v>
      </c>
      <c r="C411" s="1">
        <v>394.1</v>
      </c>
      <c r="D411" s="1">
        <v>19.11</v>
      </c>
      <c r="F411" s="1">
        <f t="shared" si="13"/>
        <v>2.5292419869360483E-2</v>
      </c>
      <c r="G411" s="1">
        <f t="shared" si="13"/>
        <v>5.1520097939197207E-3</v>
      </c>
      <c r="H411" s="1">
        <f t="shared" si="13"/>
        <v>0</v>
      </c>
      <c r="R411">
        <f t="shared" si="14"/>
        <v>1.2177771865312081E-2</v>
      </c>
    </row>
    <row r="412" spans="1:18" x14ac:dyDescent="0.25">
      <c r="A412" s="4">
        <v>45894.705555555556</v>
      </c>
      <c r="B412" s="1">
        <v>135.12</v>
      </c>
      <c r="C412" s="1">
        <v>391.45</v>
      </c>
      <c r="D412" s="1">
        <v>19.05</v>
      </c>
      <c r="F412" s="1">
        <f t="shared" si="13"/>
        <v>9.6303429883692893E-4</v>
      </c>
      <c r="G412" s="1">
        <f t="shared" si="13"/>
        <v>-6.7241816797768417E-3</v>
      </c>
      <c r="H412" s="1">
        <f t="shared" si="13"/>
        <v>-3.1397174254316207E-3</v>
      </c>
      <c r="R412">
        <f t="shared" si="14"/>
        <v>-2.6184306949191272E-3</v>
      </c>
    </row>
    <row r="413" spans="1:18" x14ac:dyDescent="0.25">
      <c r="A413" s="4">
        <v>45895.705555555556</v>
      </c>
      <c r="B413" s="1">
        <v>134.88</v>
      </c>
      <c r="C413" s="1">
        <v>394.13</v>
      </c>
      <c r="D413" s="1">
        <v>19.23</v>
      </c>
      <c r="F413" s="1">
        <f t="shared" si="13"/>
        <v>-1.776198934280715E-3</v>
      </c>
      <c r="G413" s="1">
        <f t="shared" si="13"/>
        <v>6.8463405288032853E-3</v>
      </c>
      <c r="H413" s="1">
        <f t="shared" si="13"/>
        <v>9.4488188976378229E-3</v>
      </c>
      <c r="R413">
        <f t="shared" si="14"/>
        <v>2.9729385275728101E-3</v>
      </c>
    </row>
    <row r="414" spans="1:18" x14ac:dyDescent="0.25">
      <c r="A414" s="4">
        <v>45896.705555555556</v>
      </c>
      <c r="B414" s="1">
        <v>136.24</v>
      </c>
      <c r="C414" s="1">
        <v>394.25</v>
      </c>
      <c r="D414" s="1">
        <v>19.22</v>
      </c>
      <c r="F414" s="1">
        <f t="shared" si="13"/>
        <v>1.0083036773428367E-2</v>
      </c>
      <c r="G414" s="1">
        <f t="shared" si="13"/>
        <v>3.0446806891126776E-4</v>
      </c>
      <c r="H414" s="1">
        <f t="shared" si="13"/>
        <v>-5.2002080083213276E-4</v>
      </c>
      <c r="R414">
        <f t="shared" si="14"/>
        <v>4.1029998568526405E-3</v>
      </c>
    </row>
    <row r="415" spans="1:18" x14ac:dyDescent="0.25">
      <c r="A415" s="4">
        <v>45897.705555555556</v>
      </c>
      <c r="B415" s="1">
        <v>138.04</v>
      </c>
      <c r="C415" s="1">
        <v>394.75</v>
      </c>
      <c r="D415" s="1">
        <v>19.309999999999999</v>
      </c>
      <c r="F415" s="1">
        <f t="shared" si="13"/>
        <v>1.3211978860833806E-2</v>
      </c>
      <c r="G415" s="1">
        <f t="shared" si="13"/>
        <v>1.2682308180089752E-3</v>
      </c>
      <c r="H415" s="1">
        <f t="shared" si="13"/>
        <v>4.6826222684703822E-3</v>
      </c>
      <c r="R415">
        <f t="shared" si="14"/>
        <v>6.2603460983841515E-3</v>
      </c>
    </row>
    <row r="416" spans="1:18" x14ac:dyDescent="0.25">
      <c r="A416" s="4">
        <v>45898.705555555556</v>
      </c>
      <c r="B416" s="1">
        <v>138.41</v>
      </c>
      <c r="C416" s="1">
        <v>393.85</v>
      </c>
      <c r="D416" s="1">
        <v>19.579999999999998</v>
      </c>
      <c r="F416" s="1">
        <f t="shared" si="13"/>
        <v>2.680382497826761E-3</v>
      </c>
      <c r="G416" s="1">
        <f t="shared" si="13"/>
        <v>-2.2799240025331846E-3</v>
      </c>
      <c r="H416" s="1">
        <f t="shared" si="13"/>
        <v>1.3982392542724043E-2</v>
      </c>
      <c r="R416">
        <f t="shared" si="14"/>
        <v>1.5584226523898347E-3</v>
      </c>
    </row>
    <row r="417" spans="1:18" x14ac:dyDescent="0.25">
      <c r="A417" s="4">
        <v>45901.705555555556</v>
      </c>
      <c r="B417" s="1">
        <v>138.32</v>
      </c>
      <c r="C417" s="1">
        <v>394.9</v>
      </c>
      <c r="D417" s="1">
        <v>19.66</v>
      </c>
      <c r="F417" s="1">
        <f t="shared" si="13"/>
        <v>-6.5024203453512008E-4</v>
      </c>
      <c r="G417" s="1">
        <f t="shared" si="13"/>
        <v>2.665989589945239E-3</v>
      </c>
      <c r="H417" s="1">
        <f t="shared" si="13"/>
        <v>4.0858018386109585E-3</v>
      </c>
      <c r="R417">
        <f t="shared" si="14"/>
        <v>1.2148792060251434E-3</v>
      </c>
    </row>
    <row r="418" spans="1:18" x14ac:dyDescent="0.25">
      <c r="A418" s="4">
        <v>45902.705555555556</v>
      </c>
      <c r="B418" s="1">
        <v>137.41</v>
      </c>
      <c r="C418" s="1">
        <v>394.7</v>
      </c>
      <c r="D418" s="1">
        <v>20.21</v>
      </c>
      <c r="F418" s="1">
        <f t="shared" si="13"/>
        <v>-6.5789473684210176E-3</v>
      </c>
      <c r="G418" s="1">
        <f t="shared" si="13"/>
        <v>-5.0645733096987833E-4</v>
      </c>
      <c r="H418" s="1">
        <f t="shared" si="13"/>
        <v>2.7975584944048837E-2</v>
      </c>
      <c r="R418">
        <f t="shared" si="14"/>
        <v>-3.6603385351475191E-5</v>
      </c>
    </row>
    <row r="419" spans="1:18" x14ac:dyDescent="0.25">
      <c r="A419" s="4">
        <v>45903.705555555556</v>
      </c>
      <c r="B419" s="1">
        <v>136.93</v>
      </c>
      <c r="C419" s="1">
        <v>395.15</v>
      </c>
      <c r="D419" s="1">
        <v>20.29</v>
      </c>
      <c r="F419" s="1">
        <f t="shared" si="13"/>
        <v>-3.4931955461755537E-3</v>
      </c>
      <c r="G419" s="1">
        <f t="shared" si="13"/>
        <v>1.1401064099316738E-3</v>
      </c>
      <c r="H419" s="1">
        <f t="shared" si="13"/>
        <v>3.9584364176150633E-3</v>
      </c>
      <c r="R419">
        <f t="shared" si="14"/>
        <v>-5.4539201273604574E-4</v>
      </c>
    </row>
    <row r="420" spans="1:18" x14ac:dyDescent="0.25">
      <c r="A420" s="4">
        <v>45904.705555555556</v>
      </c>
      <c r="B420" s="1">
        <v>138.01</v>
      </c>
      <c r="C420" s="1">
        <v>397.95</v>
      </c>
      <c r="D420" s="1">
        <v>20.2</v>
      </c>
      <c r="F420" s="1">
        <f t="shared" si="13"/>
        <v>7.8872416563207093E-3</v>
      </c>
      <c r="G420" s="1">
        <f t="shared" si="13"/>
        <v>7.0859167404784262E-3</v>
      </c>
      <c r="H420" s="1">
        <f t="shared" si="13"/>
        <v>-4.4356826022671214E-3</v>
      </c>
      <c r="R420">
        <f t="shared" si="14"/>
        <v>5.5456950984929428E-3</v>
      </c>
    </row>
    <row r="421" spans="1:18" x14ac:dyDescent="0.25">
      <c r="A421" s="4">
        <v>45905.705555555556</v>
      </c>
      <c r="B421" s="1">
        <v>139.62</v>
      </c>
      <c r="C421" s="1">
        <v>394.2</v>
      </c>
      <c r="D421" s="1">
        <v>20.329999999999998</v>
      </c>
      <c r="F421" s="1">
        <f t="shared" si="13"/>
        <v>1.1665821317295988E-2</v>
      </c>
      <c r="G421" s="1">
        <f t="shared" si="13"/>
        <v>-9.423294383716585E-3</v>
      </c>
      <c r="H421" s="1">
        <f t="shared" si="13"/>
        <v>6.4356435643564414E-3</v>
      </c>
      <c r="R421">
        <f t="shared" si="14"/>
        <v>1.5405751298674052E-3</v>
      </c>
    </row>
    <row r="422" spans="1:18" x14ac:dyDescent="0.25">
      <c r="A422" s="4">
        <v>45908.705555555556</v>
      </c>
      <c r="B422" s="1">
        <v>138.82</v>
      </c>
      <c r="C422" s="1">
        <v>395.65</v>
      </c>
      <c r="D422" s="1">
        <v>20.56</v>
      </c>
      <c r="F422" s="1">
        <f t="shared" si="13"/>
        <v>-5.7298381320728398E-3</v>
      </c>
      <c r="G422" s="1">
        <f t="shared" si="13"/>
        <v>3.678335870116678E-3</v>
      </c>
      <c r="H422" s="1">
        <f t="shared" si="13"/>
        <v>1.1313330054107285E-2</v>
      </c>
      <c r="R422">
        <f t="shared" si="14"/>
        <v>3.1073210062826373E-4</v>
      </c>
    </row>
    <row r="423" spans="1:18" x14ac:dyDescent="0.25">
      <c r="A423" s="4">
        <v>45909.705555555556</v>
      </c>
      <c r="B423" s="1">
        <v>138.63999999999999</v>
      </c>
      <c r="C423" s="1">
        <v>397.85</v>
      </c>
      <c r="D423" s="1">
        <v>20.59</v>
      </c>
      <c r="F423" s="1">
        <f t="shared" si="13"/>
        <v>-1.2966431349950014E-3</v>
      </c>
      <c r="G423" s="1">
        <f t="shared" si="13"/>
        <v>5.5604701124731815E-3</v>
      </c>
      <c r="H423" s="1">
        <f t="shared" si="13"/>
        <v>1.4591439688715901E-3</v>
      </c>
      <c r="R423">
        <f t="shared" si="14"/>
        <v>1.8514451878784309E-3</v>
      </c>
    </row>
    <row r="424" spans="1:18" x14ac:dyDescent="0.25">
      <c r="A424" s="4">
        <v>45910.705555555556</v>
      </c>
      <c r="B424" s="1">
        <v>139.34</v>
      </c>
      <c r="C424" s="1">
        <v>396.91</v>
      </c>
      <c r="D424" s="1">
        <v>20.57</v>
      </c>
      <c r="F424" s="1">
        <f t="shared" si="13"/>
        <v>5.0490478938258754E-3</v>
      </c>
      <c r="G424" s="1">
        <f t="shared" si="13"/>
        <v>-2.3626995098655623E-3</v>
      </c>
      <c r="H424" s="1">
        <f t="shared" si="13"/>
        <v>-9.7134531325882012E-4</v>
      </c>
      <c r="R424">
        <f t="shared" si="14"/>
        <v>9.7740482225824334E-4</v>
      </c>
    </row>
    <row r="425" spans="1:18" x14ac:dyDescent="0.25">
      <c r="A425" s="4">
        <v>45911.705555555556</v>
      </c>
      <c r="B425" s="1">
        <v>140.13</v>
      </c>
      <c r="C425" s="1">
        <v>399.1</v>
      </c>
      <c r="D425" s="1">
        <v>20.48</v>
      </c>
      <c r="F425" s="1">
        <f t="shared" si="13"/>
        <v>5.6695851873116432E-3</v>
      </c>
      <c r="G425" s="1">
        <f t="shared" si="13"/>
        <v>5.5176236426393022E-3</v>
      </c>
      <c r="H425" s="1">
        <f t="shared" si="13"/>
        <v>-4.3753038405445199E-3</v>
      </c>
      <c r="R425">
        <f t="shared" si="14"/>
        <v>4.0373531479259272E-3</v>
      </c>
    </row>
    <row r="426" spans="1:18" x14ac:dyDescent="0.25">
      <c r="A426" s="4">
        <v>45912.705555555556</v>
      </c>
      <c r="B426" s="1">
        <v>139.29</v>
      </c>
      <c r="C426" s="1">
        <v>396.1</v>
      </c>
      <c r="D426" s="1">
        <v>20.38</v>
      </c>
      <c r="F426" s="1">
        <f t="shared" si="13"/>
        <v>-5.9944337400985592E-3</v>
      </c>
      <c r="G426" s="1">
        <f t="shared" si="13"/>
        <v>-7.5169130543722984E-3</v>
      </c>
      <c r="H426" s="1">
        <f t="shared" si="13"/>
        <v>-4.882812500000111E-3</v>
      </c>
      <c r="R426">
        <f t="shared" si="14"/>
        <v>-5.8928199677883543E-3</v>
      </c>
    </row>
    <row r="427" spans="1:18" x14ac:dyDescent="0.25">
      <c r="A427" s="4">
        <v>45915.705555555556</v>
      </c>
      <c r="B427" s="1">
        <v>140.51</v>
      </c>
      <c r="C427" s="1">
        <v>395.5</v>
      </c>
      <c r="D427" s="1">
        <v>20.47</v>
      </c>
      <c r="F427" s="1">
        <f t="shared" si="13"/>
        <v>8.7587048603632311E-3</v>
      </c>
      <c r="G427" s="1">
        <f t="shared" si="13"/>
        <v>-1.5147689977279555E-3</v>
      </c>
      <c r="H427" s="1">
        <f t="shared" si="13"/>
        <v>4.4160942100097689E-3</v>
      </c>
      <c r="R427">
        <f t="shared" si="14"/>
        <v>3.3391837660550869E-3</v>
      </c>
    </row>
    <row r="428" spans="1:18" x14ac:dyDescent="0.25">
      <c r="A428" s="4">
        <v>45916.705555555556</v>
      </c>
      <c r="B428" s="1">
        <v>141.02000000000001</v>
      </c>
      <c r="C428" s="1">
        <v>393.13</v>
      </c>
      <c r="D428" s="1">
        <v>20.39</v>
      </c>
      <c r="F428" s="1">
        <f t="shared" si="13"/>
        <v>3.629634901430645E-3</v>
      </c>
      <c r="G428" s="1">
        <f t="shared" si="13"/>
        <v>-5.9924146649810162E-3</v>
      </c>
      <c r="H428" s="1">
        <f t="shared" si="13"/>
        <v>-3.9081582804102455E-3</v>
      </c>
      <c r="R428">
        <f t="shared" si="14"/>
        <v>-1.3359277334611731E-3</v>
      </c>
    </row>
    <row r="429" spans="1:18" x14ac:dyDescent="0.25">
      <c r="A429" s="4">
        <v>45917.705555555556</v>
      </c>
      <c r="B429" s="1">
        <v>142.51</v>
      </c>
      <c r="C429" s="1">
        <v>392.93</v>
      </c>
      <c r="D429" s="1">
        <v>20.25</v>
      </c>
      <c r="F429" s="1">
        <f t="shared" si="13"/>
        <v>1.0565877180541694E-2</v>
      </c>
      <c r="G429" s="1">
        <f t="shared" si="13"/>
        <v>-5.0873756772562562E-4</v>
      </c>
      <c r="H429" s="1">
        <f t="shared" si="13"/>
        <v>-6.8661108386464109E-3</v>
      </c>
      <c r="R429">
        <f t="shared" si="14"/>
        <v>3.3362447612617866E-3</v>
      </c>
    </row>
    <row r="430" spans="1:18" x14ac:dyDescent="0.25">
      <c r="A430" s="4">
        <v>45918.705555555556</v>
      </c>
      <c r="B430" s="1">
        <v>142.44</v>
      </c>
      <c r="C430" s="1">
        <v>396.15</v>
      </c>
      <c r="D430" s="1">
        <v>20.25</v>
      </c>
      <c r="F430" s="1">
        <f t="shared" si="13"/>
        <v>-4.9119360044902471E-4</v>
      </c>
      <c r="G430" s="1">
        <f t="shared" si="13"/>
        <v>8.1948438653194344E-3</v>
      </c>
      <c r="H430" s="1">
        <f t="shared" si="13"/>
        <v>0</v>
      </c>
      <c r="R430">
        <f t="shared" si="14"/>
        <v>3.0814601059481641E-3</v>
      </c>
    </row>
    <row r="431" spans="1:18" x14ac:dyDescent="0.25">
      <c r="A431" s="4">
        <v>45919.705555555556</v>
      </c>
      <c r="B431" s="1">
        <v>142.79</v>
      </c>
      <c r="C431" s="1">
        <v>398.05</v>
      </c>
      <c r="D431" s="1">
        <v>20.45</v>
      </c>
      <c r="F431" s="1">
        <f t="shared" si="13"/>
        <v>2.4571749508564E-3</v>
      </c>
      <c r="G431" s="1">
        <f t="shared" si="13"/>
        <v>4.7961630695445567E-3</v>
      </c>
      <c r="H431" s="1">
        <f t="shared" si="13"/>
        <v>9.8765432098764094E-3</v>
      </c>
      <c r="R431">
        <f t="shared" si="14"/>
        <v>3.8889895291480234E-3</v>
      </c>
    </row>
    <row r="432" spans="1:18" x14ac:dyDescent="0.25">
      <c r="A432" s="4">
        <v>45922.705555555556</v>
      </c>
      <c r="B432" s="1">
        <v>142.06</v>
      </c>
      <c r="C432" s="1">
        <v>401.42</v>
      </c>
      <c r="D432" s="1">
        <v>20.9</v>
      </c>
      <c r="F432" s="1">
        <f t="shared" si="13"/>
        <v>-5.1124028293296764E-3</v>
      </c>
      <c r="G432" s="1">
        <f t="shared" si="13"/>
        <v>8.4662730812712361E-3</v>
      </c>
      <c r="H432" s="1">
        <f t="shared" si="13"/>
        <v>2.2004889975550057E-2</v>
      </c>
      <c r="R432">
        <f t="shared" si="14"/>
        <v>3.5420370983316289E-3</v>
      </c>
    </row>
    <row r="433" spans="1:18" x14ac:dyDescent="0.25">
      <c r="A433" s="4">
        <v>45923.705555555556</v>
      </c>
      <c r="B433" s="1">
        <v>143.38</v>
      </c>
      <c r="C433" s="1">
        <v>394.91</v>
      </c>
      <c r="D433" s="1">
        <v>20.75</v>
      </c>
      <c r="F433" s="1">
        <f t="shared" si="13"/>
        <v>9.2918485147119867E-3</v>
      </c>
      <c r="G433" s="1">
        <f t="shared" si="13"/>
        <v>-1.6217428130137934E-2</v>
      </c>
      <c r="H433" s="1">
        <f t="shared" si="13"/>
        <v>-7.1770334928229484E-3</v>
      </c>
      <c r="R433">
        <f t="shared" si="14"/>
        <v>-3.4879351954526737E-3</v>
      </c>
    </row>
    <row r="434" spans="1:18" x14ac:dyDescent="0.25">
      <c r="A434" s="4">
        <v>45924.705555555556</v>
      </c>
      <c r="B434" s="1">
        <v>143.15</v>
      </c>
      <c r="C434" s="1">
        <v>396.5</v>
      </c>
      <c r="D434" s="1">
        <v>20.74</v>
      </c>
      <c r="F434" s="1">
        <f t="shared" si="13"/>
        <v>-1.6041288882688853E-3</v>
      </c>
      <c r="G434" s="1">
        <f t="shared" si="13"/>
        <v>4.026233825428438E-3</v>
      </c>
      <c r="H434" s="1">
        <f t="shared" si="13"/>
        <v>-4.8192771084343278E-4</v>
      </c>
      <c r="R434">
        <f t="shared" si="14"/>
        <v>9.2064920377947783E-4</v>
      </c>
    </row>
    <row r="435" spans="1:18" x14ac:dyDescent="0.25">
      <c r="A435" s="4">
        <v>45925.705555555556</v>
      </c>
      <c r="B435" s="1">
        <v>142.28</v>
      </c>
      <c r="C435" s="1">
        <v>396.5</v>
      </c>
      <c r="D435" s="1">
        <v>20.74</v>
      </c>
      <c r="F435" s="1">
        <f t="shared" si="13"/>
        <v>-6.0775410408662189E-3</v>
      </c>
      <c r="G435" s="1">
        <f t="shared" si="13"/>
        <v>0</v>
      </c>
      <c r="H435" s="1">
        <f t="shared" si="13"/>
        <v>0</v>
      </c>
      <c r="R435">
        <f t="shared" si="14"/>
        <v>-2.4310164163464879E-3</v>
      </c>
    </row>
    <row r="436" spans="1:18" x14ac:dyDescent="0.25">
      <c r="A436" s="4">
        <v>45926.705555555556</v>
      </c>
      <c r="B436" s="1">
        <v>142.4</v>
      </c>
      <c r="C436" s="1">
        <v>398.25</v>
      </c>
      <c r="D436" s="1">
        <v>21</v>
      </c>
      <c r="F436" s="1">
        <f t="shared" si="13"/>
        <v>8.4340736575772013E-4</v>
      </c>
      <c r="G436" s="1">
        <f t="shared" si="13"/>
        <v>4.4136191677175418E-3</v>
      </c>
      <c r="H436" s="1">
        <f t="shared" si="13"/>
        <v>1.2536162005786E-2</v>
      </c>
      <c r="R436">
        <f t="shared" si="14"/>
        <v>3.3564268139687045E-3</v>
      </c>
    </row>
    <row r="437" spans="1:18" x14ac:dyDescent="0.25">
      <c r="A437" s="4">
        <v>45929.705555555556</v>
      </c>
      <c r="B437" s="1">
        <v>143.27000000000001</v>
      </c>
      <c r="C437" s="1">
        <v>398</v>
      </c>
      <c r="D437" s="1">
        <v>21.28</v>
      </c>
      <c r="F437" s="1">
        <f t="shared" si="13"/>
        <v>6.1095505617978496E-3</v>
      </c>
      <c r="G437" s="1">
        <f t="shared" si="13"/>
        <v>-6.2774639045826142E-4</v>
      </c>
      <c r="H437" s="1">
        <f t="shared" si="13"/>
        <v>1.3333333333333419E-2</v>
      </c>
      <c r="R437">
        <f t="shared" si="14"/>
        <v>3.5260550018691768E-3</v>
      </c>
    </row>
    <row r="438" spans="1:18" x14ac:dyDescent="0.25">
      <c r="A438" s="4">
        <v>45930.705555555556</v>
      </c>
      <c r="B438" s="1">
        <v>143.21</v>
      </c>
      <c r="C438" s="1">
        <v>399.8</v>
      </c>
      <c r="D438" s="1">
        <v>21.46</v>
      </c>
      <c r="F438" s="1">
        <f t="shared" si="13"/>
        <v>-4.1878969777342512E-4</v>
      </c>
      <c r="G438" s="1">
        <f t="shared" si="13"/>
        <v>4.5226130653266416E-3</v>
      </c>
      <c r="H438" s="1">
        <f t="shared" si="13"/>
        <v>8.4586466165412766E-3</v>
      </c>
      <c r="R438">
        <f t="shared" si="14"/>
        <v>2.4873940086754141E-3</v>
      </c>
    </row>
    <row r="439" spans="1:18" x14ac:dyDescent="0.25">
      <c r="A439" s="4">
        <v>45931.705555555556</v>
      </c>
      <c r="B439" s="1">
        <v>142.52000000000001</v>
      </c>
      <c r="C439" s="1">
        <v>401.45</v>
      </c>
      <c r="D439" s="1">
        <v>21.52</v>
      </c>
      <c r="F439" s="1">
        <f t="shared" si="13"/>
        <v>-4.8180992947419732E-3</v>
      </c>
      <c r="G439" s="1">
        <f t="shared" si="13"/>
        <v>4.12706353176584E-3</v>
      </c>
      <c r="H439" s="1">
        <f t="shared" si="13"/>
        <v>2.7958993476233651E-3</v>
      </c>
      <c r="R439">
        <f t="shared" si="14"/>
        <v>3.1756295718830254E-6</v>
      </c>
    </row>
    <row r="440" spans="1:18" x14ac:dyDescent="0.25">
      <c r="A440" s="4">
        <v>45932.705555555556</v>
      </c>
      <c r="B440" s="1">
        <v>140.99</v>
      </c>
      <c r="C440" s="1">
        <v>402.8</v>
      </c>
      <c r="D440" s="1">
        <v>21.48</v>
      </c>
      <c r="F440" s="1">
        <f t="shared" si="13"/>
        <v>-1.0735335391524048E-2</v>
      </c>
      <c r="G440" s="1">
        <f t="shared" si="13"/>
        <v>3.3628098144227181E-3</v>
      </c>
      <c r="H440" s="1">
        <f t="shared" si="13"/>
        <v>-1.8587360594795044E-3</v>
      </c>
      <c r="R440">
        <f t="shared" si="14"/>
        <v>-3.134883836788482E-3</v>
      </c>
    </row>
    <row r="441" spans="1:18" x14ac:dyDescent="0.25">
      <c r="A441" s="4">
        <v>45933.705555555556</v>
      </c>
      <c r="B441" s="1">
        <v>141.22</v>
      </c>
      <c r="C441" s="1">
        <v>402.4</v>
      </c>
      <c r="D441" s="1">
        <v>21.65</v>
      </c>
      <c r="F441" s="1">
        <f t="shared" si="13"/>
        <v>1.6313213703098572E-3</v>
      </c>
      <c r="G441" s="1">
        <f t="shared" si="13"/>
        <v>-9.9304865938443232E-4</v>
      </c>
      <c r="H441" s="1">
        <f t="shared" si="13"/>
        <v>7.9143389199254344E-3</v>
      </c>
      <c r="R441">
        <f t="shared" si="14"/>
        <v>1.0467429763627131E-3</v>
      </c>
    </row>
    <row r="442" spans="1:18" x14ac:dyDescent="0.25">
      <c r="A442" s="4">
        <v>45936.705555555556</v>
      </c>
      <c r="B442" s="1">
        <v>140.65</v>
      </c>
      <c r="C442" s="1">
        <v>402</v>
      </c>
      <c r="D442" s="1">
        <v>21.95</v>
      </c>
      <c r="F442" s="1">
        <f t="shared" si="13"/>
        <v>-4.036255487891216E-3</v>
      </c>
      <c r="G442" s="1">
        <f t="shared" si="13"/>
        <v>-9.9403578528822756E-4</v>
      </c>
      <c r="H442" s="1">
        <f t="shared" si="13"/>
        <v>1.3856812933025431E-2</v>
      </c>
      <c r="R442">
        <f t="shared" si="14"/>
        <v>-6.2643521596923474E-4</v>
      </c>
    </row>
    <row r="443" spans="1:18" x14ac:dyDescent="0.25">
      <c r="A443" s="4">
        <v>45937.705555555556</v>
      </c>
      <c r="B443" s="1">
        <v>138.47</v>
      </c>
      <c r="C443" s="1">
        <v>403.73</v>
      </c>
      <c r="D443" s="1">
        <v>22.22</v>
      </c>
      <c r="F443" s="1">
        <f t="shared" si="13"/>
        <v>-1.5499466761464631E-2</v>
      </c>
      <c r="G443" s="1">
        <f t="shared" si="13"/>
        <v>4.3034825870646998E-3</v>
      </c>
      <c r="H443" s="1">
        <f t="shared" si="13"/>
        <v>1.2300683371298415E-2</v>
      </c>
      <c r="R443">
        <f t="shared" si="14"/>
        <v>-3.2483253326301316E-3</v>
      </c>
    </row>
    <row r="444" spans="1:18" x14ac:dyDescent="0.25">
      <c r="A444" s="4">
        <v>45938.705555555556</v>
      </c>
      <c r="B444" s="1">
        <v>138.47</v>
      </c>
      <c r="C444" s="1">
        <v>405.49</v>
      </c>
      <c r="D444" s="1">
        <v>22.57</v>
      </c>
      <c r="F444" s="1">
        <f t="shared" si="13"/>
        <v>0</v>
      </c>
      <c r="G444" s="1">
        <f t="shared" si="13"/>
        <v>4.3593490699229687E-3</v>
      </c>
      <c r="H444" s="1">
        <f t="shared" si="13"/>
        <v>1.5751575157515907E-2</v>
      </c>
      <c r="R444">
        <f t="shared" si="14"/>
        <v>3.3188971437207778E-3</v>
      </c>
    </row>
    <row r="445" spans="1:18" x14ac:dyDescent="0.25">
      <c r="A445" s="4">
        <v>45939.705555555556</v>
      </c>
      <c r="B445" s="1">
        <v>138.79</v>
      </c>
      <c r="C445" s="1">
        <v>406.75</v>
      </c>
      <c r="D445" s="1">
        <v>22.3</v>
      </c>
      <c r="F445" s="1">
        <f t="shared" si="13"/>
        <v>2.3109698851735416E-3</v>
      </c>
      <c r="G445" s="1">
        <f t="shared" si="13"/>
        <v>3.1073515992996459E-3</v>
      </c>
      <c r="H445" s="1">
        <f t="shared" si="13"/>
        <v>-1.1962782454585708E-2</v>
      </c>
      <c r="R445">
        <f t="shared" si="14"/>
        <v>9.7105034833070477E-4</v>
      </c>
    </row>
    <row r="446" spans="1:18" x14ac:dyDescent="0.25">
      <c r="A446" s="4">
        <v>45940.705555555556</v>
      </c>
      <c r="B446" s="1">
        <v>137.79</v>
      </c>
      <c r="C446" s="1">
        <v>405.25</v>
      </c>
      <c r="D446" s="1">
        <v>23.03</v>
      </c>
      <c r="F446" s="1">
        <f t="shared" si="13"/>
        <v>-7.205130052597486E-3</v>
      </c>
      <c r="G446" s="1">
        <f t="shared" si="13"/>
        <v>-3.6877688998155911E-3</v>
      </c>
      <c r="H446" s="1">
        <f t="shared" si="13"/>
        <v>3.2735426008968727E-2</v>
      </c>
      <c r="R446">
        <f t="shared" si="14"/>
        <v>-1.0836169800683589E-3</v>
      </c>
    </row>
    <row r="447" spans="1:18" x14ac:dyDescent="0.25">
      <c r="A447" s="4">
        <v>45943.705555555556</v>
      </c>
      <c r="B447" s="1">
        <v>138.84</v>
      </c>
      <c r="C447" s="1">
        <v>408.2</v>
      </c>
      <c r="D447" s="1">
        <v>23.43</v>
      </c>
      <c r="F447" s="1">
        <f t="shared" si="13"/>
        <v>7.6202917483128019E-3</v>
      </c>
      <c r="G447" s="1">
        <f t="shared" si="13"/>
        <v>7.279457125231259E-3</v>
      </c>
      <c r="H447" s="1">
        <f t="shared" si="13"/>
        <v>1.7368649587494511E-2</v>
      </c>
      <c r="R447">
        <f t="shared" si="14"/>
        <v>7.6967645081670753E-3</v>
      </c>
    </row>
    <row r="448" spans="1:18" x14ac:dyDescent="0.25">
      <c r="A448" s="4">
        <v>45944.705555555556</v>
      </c>
      <c r="B448" s="1">
        <v>138.76</v>
      </c>
      <c r="C448" s="1">
        <v>408.37</v>
      </c>
      <c r="D448" s="1">
        <v>23.66</v>
      </c>
      <c r="F448" s="1">
        <f t="shared" si="13"/>
        <v>-5.7620282339387874E-4</v>
      </c>
      <c r="G448" s="1">
        <f t="shared" si="13"/>
        <v>4.1646251837335058E-4</v>
      </c>
      <c r="H448" s="1">
        <f t="shared" si="13"/>
        <v>9.8164746052069596E-3</v>
      </c>
      <c r="R448">
        <f t="shared" si="14"/>
        <v>9.177513385124845E-4</v>
      </c>
    </row>
    <row r="449" spans="1:18" x14ac:dyDescent="0.25">
      <c r="A449" s="4">
        <v>45945.705555555556</v>
      </c>
      <c r="B449" s="1">
        <v>139.65</v>
      </c>
      <c r="C449" s="1">
        <v>409.41</v>
      </c>
      <c r="D449" s="1">
        <v>24</v>
      </c>
      <c r="F449" s="1">
        <f t="shared" si="13"/>
        <v>6.4139521475929939E-3</v>
      </c>
      <c r="G449" s="1">
        <f t="shared" si="13"/>
        <v>2.5467100913387775E-3</v>
      </c>
      <c r="H449" s="1">
        <f t="shared" si="13"/>
        <v>1.4370245139475823E-2</v>
      </c>
      <c r="R449">
        <f t="shared" si="14"/>
        <v>5.0212894095202909E-3</v>
      </c>
    </row>
    <row r="450" spans="1:18" x14ac:dyDescent="0.25">
      <c r="A450" s="4">
        <v>45946.705555555556</v>
      </c>
      <c r="B450" s="1">
        <v>139.27000000000001</v>
      </c>
      <c r="C450" s="1">
        <v>405</v>
      </c>
      <c r="D450" s="1">
        <v>24.48</v>
      </c>
      <c r="F450" s="1">
        <f t="shared" si="13"/>
        <v>-2.7210884353741083E-3</v>
      </c>
      <c r="G450" s="1">
        <f t="shared" si="13"/>
        <v>-1.077159815344042E-2</v>
      </c>
      <c r="H450" s="1">
        <f t="shared" si="13"/>
        <v>2.0000000000000018E-2</v>
      </c>
      <c r="R450">
        <f t="shared" si="14"/>
        <v>-3.3970746355258103E-3</v>
      </c>
    </row>
    <row r="451" spans="1:18" x14ac:dyDescent="0.25">
      <c r="A451" s="4">
        <v>45947.705555555556</v>
      </c>
      <c r="B451" s="1">
        <v>140.41999999999999</v>
      </c>
      <c r="C451" s="1">
        <v>404.96</v>
      </c>
      <c r="D451" s="1">
        <v>23.86</v>
      </c>
      <c r="F451" s="1">
        <f t="shared" si="13"/>
        <v>8.25734185395266E-3</v>
      </c>
      <c r="G451" s="1">
        <f t="shared" si="13"/>
        <v>-9.8765432098857353E-5</v>
      </c>
      <c r="H451" s="1">
        <f t="shared" si="13"/>
        <v>-2.5326797385620936E-2</v>
      </c>
      <c r="R451">
        <f t="shared" si="14"/>
        <v>7.307508301794283E-4</v>
      </c>
    </row>
    <row r="452" spans="1:18" x14ac:dyDescent="0.25">
      <c r="A452" s="4">
        <v>45951.705555555556</v>
      </c>
      <c r="B452" s="1">
        <v>141.11000000000001</v>
      </c>
      <c r="C452" s="1">
        <v>407.84</v>
      </c>
      <c r="D452" s="1">
        <v>23.09</v>
      </c>
      <c r="F452" s="1">
        <f t="shared" ref="F452:H498" si="15">(B452/B451)-1</f>
        <v>4.9138299387554429E-3</v>
      </c>
      <c r="G452" s="1">
        <f t="shared" si="15"/>
        <v>7.1118135124457194E-3</v>
      </c>
      <c r="H452" s="1">
        <f t="shared" si="15"/>
        <v>-3.2271584241408191E-2</v>
      </c>
      <c r="R452">
        <f t="shared" si="14"/>
        <v>1.5830989563396466E-3</v>
      </c>
    </row>
    <row r="453" spans="1:18" x14ac:dyDescent="0.25">
      <c r="A453" s="4">
        <v>45952.705555555556</v>
      </c>
      <c r="B453" s="1">
        <v>141.87</v>
      </c>
      <c r="C453" s="1">
        <v>406.35</v>
      </c>
      <c r="D453" s="1">
        <v>23.08</v>
      </c>
      <c r="F453" s="1">
        <f t="shared" si="15"/>
        <v>5.3858691800721115E-3</v>
      </c>
      <c r="G453" s="1">
        <f t="shared" si="15"/>
        <v>-3.6533934876420426E-3</v>
      </c>
      <c r="H453" s="1">
        <f t="shared" si="15"/>
        <v>-4.3308791684715242E-4</v>
      </c>
      <c r="R453">
        <f t="shared" ref="R453:R498" si="16">$L$2*F453+G453*$L$3+H453*$L$4</f>
        <v>6.4968148528731222E-4</v>
      </c>
    </row>
    <row r="454" spans="1:18" x14ac:dyDescent="0.25">
      <c r="A454" s="4">
        <v>45953.705555555556</v>
      </c>
      <c r="B454" s="1">
        <v>142.69999999999999</v>
      </c>
      <c r="C454" s="1">
        <v>407.8</v>
      </c>
      <c r="D454" s="1">
        <v>23.14</v>
      </c>
      <c r="F454" s="1">
        <f t="shared" si="15"/>
        <v>5.8504264467469369E-3</v>
      </c>
      <c r="G454" s="1">
        <f t="shared" si="15"/>
        <v>3.5683524055616367E-3</v>
      </c>
      <c r="H454" s="1">
        <f t="shared" si="15"/>
        <v>2.5996533795495935E-3</v>
      </c>
      <c r="R454">
        <f t="shared" si="16"/>
        <v>4.0274768788783888E-3</v>
      </c>
    </row>
    <row r="455" spans="1:18" x14ac:dyDescent="0.25">
      <c r="A455" s="4">
        <v>45954.705555555556</v>
      </c>
      <c r="B455" s="1">
        <v>143.15</v>
      </c>
      <c r="C455" s="1">
        <v>411.68</v>
      </c>
      <c r="D455" s="1">
        <v>23.09</v>
      </c>
      <c r="F455" s="1">
        <f t="shared" si="15"/>
        <v>3.1534688156973356E-3</v>
      </c>
      <c r="G455" s="1">
        <f t="shared" si="15"/>
        <v>9.5144678764100821E-3</v>
      </c>
      <c r="H455" s="1">
        <f t="shared" si="15"/>
        <v>-2.160760587726962E-3</v>
      </c>
      <c r="R455">
        <f t="shared" si="16"/>
        <v>4.8510986180702719E-3</v>
      </c>
    </row>
    <row r="456" spans="1:18" x14ac:dyDescent="0.25">
      <c r="A456" s="4">
        <v>45957.705555555556</v>
      </c>
      <c r="B456" s="1">
        <v>143.93</v>
      </c>
      <c r="C456" s="1">
        <v>414.81</v>
      </c>
      <c r="D456" s="1">
        <v>22.36</v>
      </c>
      <c r="F456" s="1">
        <f t="shared" si="15"/>
        <v>5.4488298987076522E-3</v>
      </c>
      <c r="G456" s="1">
        <f t="shared" si="15"/>
        <v>7.6029926156238048E-3</v>
      </c>
      <c r="H456" s="1">
        <f t="shared" si="15"/>
        <v>-3.1615417929839795E-2</v>
      </c>
      <c r="R456">
        <f t="shared" si="16"/>
        <v>2.0591872127486044E-3</v>
      </c>
    </row>
    <row r="457" spans="1:18" x14ac:dyDescent="0.25">
      <c r="A457" s="4">
        <v>45958.705555555556</v>
      </c>
      <c r="B457" s="1">
        <v>144.38</v>
      </c>
      <c r="C457" s="1">
        <v>415.05</v>
      </c>
      <c r="D457" s="1">
        <v>22.13</v>
      </c>
      <c r="F457" s="1">
        <f t="shared" si="15"/>
        <v>3.126519836031294E-3</v>
      </c>
      <c r="G457" s="1">
        <f t="shared" si="15"/>
        <v>5.785781442106952E-4</v>
      </c>
      <c r="H457" s="1">
        <f t="shared" si="15"/>
        <v>-1.0286225402504456E-2</v>
      </c>
      <c r="R457">
        <f t="shared" si="16"/>
        <v>4.5341665184635044E-4</v>
      </c>
    </row>
    <row r="458" spans="1:18" x14ac:dyDescent="0.25">
      <c r="A458" s="4">
        <v>45959.705555555556</v>
      </c>
      <c r="B458" s="1">
        <v>145.55000000000001</v>
      </c>
      <c r="C458" s="1">
        <v>414.9</v>
      </c>
      <c r="D458" s="1">
        <v>22.06</v>
      </c>
      <c r="F458" s="1">
        <f t="shared" si="15"/>
        <v>8.1036154592049048E-3</v>
      </c>
      <c r="G458" s="1">
        <f t="shared" si="15"/>
        <v>-3.6140224069391991E-4</v>
      </c>
      <c r="H458" s="1">
        <f t="shared" si="15"/>
        <v>-3.1631269769544224E-3</v>
      </c>
      <c r="R458">
        <f t="shared" si="16"/>
        <v>2.7805725897089521E-3</v>
      </c>
    </row>
    <row r="459" spans="1:18" x14ac:dyDescent="0.25">
      <c r="A459" s="4">
        <v>45960.705555555556</v>
      </c>
      <c r="B459" s="1">
        <v>145.71</v>
      </c>
      <c r="C459" s="1">
        <v>412.5</v>
      </c>
      <c r="D459" s="1">
        <v>22.6</v>
      </c>
      <c r="F459" s="1">
        <f t="shared" si="15"/>
        <v>1.0992785984198505E-3</v>
      </c>
      <c r="G459" s="1">
        <f t="shared" si="15"/>
        <v>-5.7845263919016343E-3</v>
      </c>
      <c r="H459" s="1">
        <f t="shared" si="15"/>
        <v>2.447869446962847E-2</v>
      </c>
      <c r="R459">
        <f t="shared" si="16"/>
        <v>5.7377032957013283E-4</v>
      </c>
    </row>
    <row r="460" spans="1:18" x14ac:dyDescent="0.25">
      <c r="A460" s="4">
        <v>45961.705555555556</v>
      </c>
      <c r="B460" s="1">
        <v>146.44</v>
      </c>
      <c r="C460" s="1">
        <v>413.33</v>
      </c>
      <c r="D460" s="1">
        <v>22.45</v>
      </c>
      <c r="F460" s="1">
        <f t="shared" si="15"/>
        <v>5.0099512730765738E-3</v>
      </c>
      <c r="G460" s="1">
        <f t="shared" si="15"/>
        <v>2.0121212121211318E-3</v>
      </c>
      <c r="H460" s="1">
        <f t="shared" si="15"/>
        <v>-6.6371681415929862E-3</v>
      </c>
      <c r="R460">
        <f t="shared" si="16"/>
        <v>2.1451121799197837E-3</v>
      </c>
    </row>
    <row r="461" spans="1:18" x14ac:dyDescent="0.25">
      <c r="A461" s="4">
        <v>45964.705555555556</v>
      </c>
      <c r="B461" s="1">
        <v>147.33000000000001</v>
      </c>
      <c r="C461" s="1">
        <v>412.35</v>
      </c>
      <c r="D461" s="1">
        <v>22.42</v>
      </c>
      <c r="F461" s="1">
        <f t="shared" si="15"/>
        <v>6.0775744332151049E-3</v>
      </c>
      <c r="G461" s="1">
        <f t="shared" si="15"/>
        <v>-2.3709868627972419E-3</v>
      </c>
      <c r="H461" s="1">
        <f t="shared" si="15"/>
        <v>-1.3363028953228273E-3</v>
      </c>
      <c r="R461">
        <f t="shared" si="16"/>
        <v>1.3490047386348629E-3</v>
      </c>
    </row>
    <row r="462" spans="1:18" x14ac:dyDescent="0.25">
      <c r="A462" s="4">
        <v>45965.705555555556</v>
      </c>
      <c r="B462" s="1">
        <v>147.74</v>
      </c>
      <c r="C462" s="1">
        <v>410.95</v>
      </c>
      <c r="D462" s="1">
        <v>22.2</v>
      </c>
      <c r="F462" s="1">
        <f t="shared" si="15"/>
        <v>2.7828683906876428E-3</v>
      </c>
      <c r="G462" s="1">
        <f t="shared" si="15"/>
        <v>-3.3951740026677557E-3</v>
      </c>
      <c r="H462" s="1">
        <f t="shared" si="15"/>
        <v>-9.8126672613738641E-3</v>
      </c>
      <c r="R462">
        <f t="shared" si="16"/>
        <v>-1.2261889709294315E-3</v>
      </c>
    </row>
    <row r="463" spans="1:18" x14ac:dyDescent="0.25">
      <c r="A463" s="4">
        <v>45966.705555555556</v>
      </c>
      <c r="B463" s="1">
        <v>150.1</v>
      </c>
      <c r="C463" s="1">
        <v>409</v>
      </c>
      <c r="D463" s="1">
        <v>22.27</v>
      </c>
      <c r="F463" s="1">
        <f t="shared" si="15"/>
        <v>1.5974008393123018E-2</v>
      </c>
      <c r="G463" s="1">
        <f t="shared" si="15"/>
        <v>-4.7451028105608417E-3</v>
      </c>
      <c r="H463" s="1">
        <f t="shared" si="15"/>
        <v>3.153153153153232E-3</v>
      </c>
      <c r="R463">
        <f t="shared" si="16"/>
        <v>4.8068775483401938E-3</v>
      </c>
    </row>
    <row r="464" spans="1:18" x14ac:dyDescent="0.25">
      <c r="A464" s="4">
        <v>45967.705555555556</v>
      </c>
      <c r="B464" s="1">
        <v>150.19</v>
      </c>
      <c r="C464" s="1">
        <v>404.4</v>
      </c>
      <c r="D464" s="1">
        <v>22.2</v>
      </c>
      <c r="F464" s="1">
        <f t="shared" si="15"/>
        <v>5.9960026648897546E-4</v>
      </c>
      <c r="G464" s="1">
        <f t="shared" si="15"/>
        <v>-1.1246943765281237E-2</v>
      </c>
      <c r="H464" s="1">
        <f t="shared" si="15"/>
        <v>-3.1432420296363395E-3</v>
      </c>
      <c r="R464">
        <f t="shared" si="16"/>
        <v>-4.5732616024805389E-3</v>
      </c>
    </row>
    <row r="465" spans="1:18" x14ac:dyDescent="0.25">
      <c r="A465" s="4">
        <v>45968.705555555556</v>
      </c>
      <c r="B465" s="1">
        <v>150.88999999999999</v>
      </c>
      <c r="C465" s="1">
        <v>403.4</v>
      </c>
      <c r="D465" s="1">
        <v>22.29</v>
      </c>
      <c r="F465" s="1">
        <f t="shared" si="15"/>
        <v>4.6607630334909445E-3</v>
      </c>
      <c r="G465" s="1">
        <f t="shared" si="15"/>
        <v>-2.4727992087042461E-3</v>
      </c>
      <c r="H465" s="1">
        <f t="shared" si="15"/>
        <v>4.0540540540541237E-3</v>
      </c>
      <c r="R465">
        <f t="shared" si="16"/>
        <v>1.2805909353200918E-3</v>
      </c>
    </row>
    <row r="466" spans="1:18" x14ac:dyDescent="0.25">
      <c r="A466" s="4">
        <v>45971.705555555556</v>
      </c>
      <c r="B466" s="1">
        <v>151.91999999999999</v>
      </c>
      <c r="C466" s="1">
        <v>407.1</v>
      </c>
      <c r="D466" s="1">
        <v>22.71</v>
      </c>
      <c r="F466" s="1">
        <f t="shared" si="15"/>
        <v>6.826164755782349E-3</v>
      </c>
      <c r="G466" s="1">
        <f t="shared" si="15"/>
        <v>9.1720376797224112E-3</v>
      </c>
      <c r="H466" s="1">
        <f t="shared" si="15"/>
        <v>1.8842530282638048E-2</v>
      </c>
      <c r="R466">
        <f t="shared" si="16"/>
        <v>8.2835340024657086E-3</v>
      </c>
    </row>
    <row r="467" spans="1:18" x14ac:dyDescent="0.25">
      <c r="A467" s="4">
        <v>45972.705555555556</v>
      </c>
      <c r="B467" s="1">
        <v>154.28</v>
      </c>
      <c r="C467" s="1">
        <v>405.75</v>
      </c>
      <c r="D467" s="1">
        <v>22.73</v>
      </c>
      <c r="F467" s="1">
        <f t="shared" si="15"/>
        <v>1.5534491837809528E-2</v>
      </c>
      <c r="G467" s="1">
        <f t="shared" si="15"/>
        <v>-3.3161385408990718E-3</v>
      </c>
      <c r="H467" s="1">
        <f t="shared" si="15"/>
        <v>8.8066930867447546E-4</v>
      </c>
      <c r="R467">
        <f t="shared" si="16"/>
        <v>4.9754082496316302E-3</v>
      </c>
    </row>
    <row r="468" spans="1:18" x14ac:dyDescent="0.25">
      <c r="A468" s="4">
        <v>45973.705555555556</v>
      </c>
      <c r="B468" s="1">
        <v>154.4</v>
      </c>
      <c r="C468" s="1">
        <v>407.55</v>
      </c>
      <c r="D468" s="1">
        <v>23.18</v>
      </c>
      <c r="F468" s="1">
        <f t="shared" si="15"/>
        <v>7.7780658542914161E-4</v>
      </c>
      <c r="G468" s="1">
        <f t="shared" si="15"/>
        <v>4.4362292051756125E-3</v>
      </c>
      <c r="H468" s="1">
        <f t="shared" si="15"/>
        <v>1.9797624285085691E-2</v>
      </c>
      <c r="R468">
        <f t="shared" si="16"/>
        <v>4.0653767447504704E-3</v>
      </c>
    </row>
    <row r="469" spans="1:18" x14ac:dyDescent="0.25">
      <c r="A469" s="4">
        <v>45974.705555555556</v>
      </c>
      <c r="B469" s="1">
        <v>153.94</v>
      </c>
      <c r="C469" s="1">
        <v>401.5</v>
      </c>
      <c r="D469" s="1">
        <v>23.02</v>
      </c>
      <c r="F469" s="1">
        <f t="shared" si="15"/>
        <v>-2.9792746113990187E-3</v>
      </c>
      <c r="G469" s="1">
        <f t="shared" si="15"/>
        <v>-1.4844804318488558E-2</v>
      </c>
      <c r="H469" s="1">
        <f t="shared" si="15"/>
        <v>-6.90250215703192E-3</v>
      </c>
      <c r="R469">
        <f t="shared" si="16"/>
        <v>-7.8198817876582224E-3</v>
      </c>
    </row>
    <row r="470" spans="1:18" x14ac:dyDescent="0.25">
      <c r="A470" s="4">
        <v>45975.705555555556</v>
      </c>
      <c r="B470" s="1">
        <v>154.49</v>
      </c>
      <c r="C470" s="1">
        <v>401.1</v>
      </c>
      <c r="D470" s="1">
        <v>22.59</v>
      </c>
      <c r="F470" s="1">
        <f t="shared" si="15"/>
        <v>3.5728205794465229E-3</v>
      </c>
      <c r="G470" s="1">
        <f t="shared" si="15"/>
        <v>-9.9626400996255526E-4</v>
      </c>
      <c r="H470" s="1">
        <f t="shared" si="15"/>
        <v>-1.8679409209383158E-2</v>
      </c>
      <c r="R470">
        <f t="shared" si="16"/>
        <v>-8.373182931447282E-4</v>
      </c>
    </row>
    <row r="471" spans="1:18" x14ac:dyDescent="0.25">
      <c r="A471" s="4">
        <v>45978.705555555556</v>
      </c>
      <c r="B471" s="1">
        <v>153.78</v>
      </c>
      <c r="C471" s="1">
        <v>399.7</v>
      </c>
      <c r="D471" s="1">
        <v>22.46</v>
      </c>
      <c r="F471" s="1">
        <f t="shared" si="15"/>
        <v>-4.5957667162923599E-3</v>
      </c>
      <c r="G471" s="1">
        <f t="shared" si="15"/>
        <v>-3.4904013961606362E-3</v>
      </c>
      <c r="H471" s="1">
        <f t="shared" si="15"/>
        <v>-5.7547587428065095E-3</v>
      </c>
      <c r="R471">
        <f t="shared" si="16"/>
        <v>-3.8099431192618492E-3</v>
      </c>
    </row>
    <row r="472" spans="1:18" x14ac:dyDescent="0.25">
      <c r="A472" s="4">
        <v>45979.705555555556</v>
      </c>
      <c r="B472" s="1">
        <v>153.32</v>
      </c>
      <c r="C472" s="1">
        <v>396.15</v>
      </c>
      <c r="D472" s="1">
        <v>22.61</v>
      </c>
      <c r="F472" s="1">
        <f t="shared" si="15"/>
        <v>-2.9912862530888651E-3</v>
      </c>
      <c r="G472" s="1">
        <f t="shared" si="15"/>
        <v>-8.8816612459344801E-3</v>
      </c>
      <c r="H472" s="1">
        <f t="shared" si="15"/>
        <v>6.6785396260016228E-3</v>
      </c>
      <c r="R472">
        <f t="shared" si="16"/>
        <v>-4.0813250370091763E-3</v>
      </c>
    </row>
    <row r="473" spans="1:18" x14ac:dyDescent="0.25">
      <c r="A473" s="4">
        <v>45980.705555555556</v>
      </c>
      <c r="B473" s="1">
        <v>152.21</v>
      </c>
      <c r="C473" s="1">
        <v>398.2</v>
      </c>
      <c r="D473" s="1">
        <v>22.69</v>
      </c>
      <c r="F473" s="1">
        <f t="shared" si="15"/>
        <v>-7.2397599791285128E-3</v>
      </c>
      <c r="G473" s="1">
        <f t="shared" si="15"/>
        <v>5.1748075224031798E-3</v>
      </c>
      <c r="H473" s="1">
        <f t="shared" si="15"/>
        <v>3.5382574082265528E-3</v>
      </c>
      <c r="R473">
        <f t="shared" si="16"/>
        <v>-4.7215524186747807E-4</v>
      </c>
    </row>
    <row r="474" spans="1:18" x14ac:dyDescent="0.25">
      <c r="A474" s="4">
        <v>45982.705555555556</v>
      </c>
      <c r="B474" s="1">
        <v>151.61000000000001</v>
      </c>
      <c r="C474" s="1">
        <v>401.69</v>
      </c>
      <c r="D474" s="1">
        <v>22.9</v>
      </c>
      <c r="F474" s="1">
        <f t="shared" si="15"/>
        <v>-3.9419223441298223E-3</v>
      </c>
      <c r="G474" s="1">
        <f t="shared" si="15"/>
        <v>8.7644399799096107E-3</v>
      </c>
      <c r="H474" s="1">
        <f t="shared" si="15"/>
        <v>9.2551784927279446E-3</v>
      </c>
      <c r="R474">
        <f t="shared" si="16"/>
        <v>2.8545249035847094E-3</v>
      </c>
    </row>
    <row r="475" spans="1:18" x14ac:dyDescent="0.25">
      <c r="A475" s="4">
        <v>45985.705555555556</v>
      </c>
      <c r="B475" s="1">
        <v>152.09</v>
      </c>
      <c r="C475" s="1">
        <v>406.2</v>
      </c>
      <c r="D475" s="1">
        <v>23.21</v>
      </c>
      <c r="F475" s="1">
        <f t="shared" si="15"/>
        <v>3.1660180726864606E-3</v>
      </c>
      <c r="G475" s="1">
        <f t="shared" si="15"/>
        <v>1.1227563544026431E-2</v>
      </c>
      <c r="H475" s="1">
        <f t="shared" si="15"/>
        <v>1.3537117903930307E-2</v>
      </c>
      <c r="R475">
        <f t="shared" si="16"/>
        <v>7.1111444370781877E-3</v>
      </c>
    </row>
    <row r="476" spans="1:18" x14ac:dyDescent="0.25">
      <c r="A476" s="4">
        <v>45986.705555555556</v>
      </c>
      <c r="B476" s="1">
        <v>152.71</v>
      </c>
      <c r="C476" s="1">
        <v>409.65</v>
      </c>
      <c r="D476" s="1">
        <v>23.22</v>
      </c>
      <c r="F476" s="1">
        <f t="shared" si="15"/>
        <v>4.0765336314025902E-3</v>
      </c>
      <c r="G476" s="1">
        <f t="shared" si="15"/>
        <v>8.493353028064865E-3</v>
      </c>
      <c r="H476" s="1">
        <f t="shared" si="15"/>
        <v>4.3084877208099392E-4</v>
      </c>
      <c r="R476">
        <f t="shared" si="16"/>
        <v>5.0710395409950815E-3</v>
      </c>
    </row>
    <row r="477" spans="1:18" x14ac:dyDescent="0.25">
      <c r="A477" s="4">
        <v>45987.705555555556</v>
      </c>
      <c r="B477" s="1">
        <v>155.28</v>
      </c>
      <c r="C477" s="1">
        <v>408.65</v>
      </c>
      <c r="D477" s="1">
        <v>23.17</v>
      </c>
      <c r="F477" s="1">
        <f t="shared" si="15"/>
        <v>1.6829284264291644E-2</v>
      </c>
      <c r="G477" s="1">
        <f t="shared" si="15"/>
        <v>-2.4411082631514702E-3</v>
      </c>
      <c r="H477" s="1">
        <f t="shared" si="15"/>
        <v>-2.1533161068043594E-3</v>
      </c>
      <c r="R477">
        <f t="shared" si="16"/>
        <v>5.5399387897756341E-3</v>
      </c>
    </row>
    <row r="478" spans="1:18" x14ac:dyDescent="0.25">
      <c r="A478" s="4">
        <v>45988.705555555556</v>
      </c>
      <c r="B478" s="1">
        <v>155.13</v>
      </c>
      <c r="C478" s="1">
        <v>410.4</v>
      </c>
      <c r="D478" s="1">
        <v>23.22</v>
      </c>
      <c r="F478" s="1">
        <f t="shared" si="15"/>
        <v>-9.6599690880994071E-4</v>
      </c>
      <c r="G478" s="1">
        <f t="shared" si="15"/>
        <v>4.2823932460540615E-3</v>
      </c>
      <c r="H478" s="1">
        <f t="shared" si="15"/>
        <v>2.1579628830383779E-3</v>
      </c>
      <c r="R478">
        <f t="shared" si="16"/>
        <v>1.542354823201486E-3</v>
      </c>
    </row>
    <row r="479" spans="1:18" x14ac:dyDescent="0.25">
      <c r="A479" s="4">
        <v>45989.705555555556</v>
      </c>
      <c r="B479" s="1">
        <v>155.81</v>
      </c>
      <c r="C479" s="1">
        <v>411.09</v>
      </c>
      <c r="D479" s="1">
        <v>23.42</v>
      </c>
      <c r="F479" s="1">
        <f t="shared" si="15"/>
        <v>4.3834203571198049E-3</v>
      </c>
      <c r="G479" s="1">
        <f t="shared" si="15"/>
        <v>1.6812865497075613E-3</v>
      </c>
      <c r="H479" s="1">
        <f t="shared" si="15"/>
        <v>8.6132644272181036E-3</v>
      </c>
      <c r="R479">
        <f t="shared" si="16"/>
        <v>3.2872092054527569E-3</v>
      </c>
    </row>
    <row r="480" spans="1:18" x14ac:dyDescent="0.25">
      <c r="A480" s="4">
        <v>45992.705555555556</v>
      </c>
      <c r="B480" s="1">
        <v>155.38</v>
      </c>
      <c r="C480" s="1">
        <v>410.75</v>
      </c>
      <c r="D480" s="1">
        <v>23.67</v>
      </c>
      <c r="F480" s="1">
        <f t="shared" si="15"/>
        <v>-2.7597715165907921E-3</v>
      </c>
      <c r="G480" s="1">
        <f t="shared" si="15"/>
        <v>-8.2706949816335751E-4</v>
      </c>
      <c r="H480" s="1">
        <f t="shared" si="15"/>
        <v>1.0674637062339842E-2</v>
      </c>
      <c r="R480">
        <f t="shared" si="16"/>
        <v>-3.6727269966767588E-4</v>
      </c>
    </row>
    <row r="481" spans="1:18" x14ac:dyDescent="0.25">
      <c r="A481" s="4">
        <v>45993.705555555556</v>
      </c>
      <c r="B481" s="1">
        <v>157.77000000000001</v>
      </c>
      <c r="C481" s="1">
        <v>409.35</v>
      </c>
      <c r="D481" s="1">
        <v>23.39</v>
      </c>
      <c r="F481" s="1">
        <f t="shared" si="15"/>
        <v>1.5381644999356459E-2</v>
      </c>
      <c r="G481" s="1">
        <f t="shared" si="15"/>
        <v>-3.4083992696286591E-3</v>
      </c>
      <c r="H481" s="1">
        <f t="shared" si="15"/>
        <v>-1.1829319814110728E-2</v>
      </c>
      <c r="R481">
        <f t="shared" si="16"/>
        <v>3.6063663104800472E-3</v>
      </c>
    </row>
    <row r="482" spans="1:18" x14ac:dyDescent="0.25">
      <c r="A482" s="4">
        <v>45994.705555555556</v>
      </c>
      <c r="B482" s="1">
        <v>158.44</v>
      </c>
      <c r="C482" s="1">
        <v>409.31</v>
      </c>
      <c r="D482" s="1">
        <v>23.38</v>
      </c>
      <c r="F482" s="1">
        <f t="shared" si="15"/>
        <v>4.2466882170246745E-3</v>
      </c>
      <c r="G482" s="1">
        <f t="shared" si="15"/>
        <v>-9.7715891046790126E-5</v>
      </c>
      <c r="H482" s="1">
        <f t="shared" si="15"/>
        <v>-4.2753313381793667E-4</v>
      </c>
      <c r="R482">
        <f t="shared" si="16"/>
        <v>1.6168356170093603E-3</v>
      </c>
    </row>
    <row r="483" spans="1:18" x14ac:dyDescent="0.25">
      <c r="A483" s="4">
        <v>45995.705555555556</v>
      </c>
      <c r="B483" s="1">
        <v>161.06</v>
      </c>
      <c r="C483" s="1">
        <v>409.85</v>
      </c>
      <c r="D483" s="1">
        <v>23.32</v>
      </c>
      <c r="F483" s="1">
        <f t="shared" si="15"/>
        <v>1.6536228225195737E-2</v>
      </c>
      <c r="G483" s="1">
        <f t="shared" si="15"/>
        <v>1.3192934450660943E-3</v>
      </c>
      <c r="H483" s="1">
        <f t="shared" si="15"/>
        <v>-2.5662959794695572E-3</v>
      </c>
      <c r="R483">
        <f t="shared" si="16"/>
        <v>6.8855790701577773E-3</v>
      </c>
    </row>
    <row r="484" spans="1:18" x14ac:dyDescent="0.25">
      <c r="A484" s="4">
        <v>45996.705555555556</v>
      </c>
      <c r="B484" s="1">
        <v>154.26</v>
      </c>
      <c r="C484" s="1">
        <v>421.4</v>
      </c>
      <c r="D484" s="1">
        <v>23.86</v>
      </c>
      <c r="F484" s="1">
        <f t="shared" si="15"/>
        <v>-4.2220290574941033E-2</v>
      </c>
      <c r="G484" s="1">
        <f t="shared" si="15"/>
        <v>2.8181041844577148E-2</v>
      </c>
      <c r="H484" s="1">
        <f t="shared" si="15"/>
        <v>2.3156089193824947E-2</v>
      </c>
      <c r="R484">
        <f t="shared" si="16"/>
        <v>-3.3000905727630613E-3</v>
      </c>
    </row>
    <row r="485" spans="1:18" x14ac:dyDescent="0.25">
      <c r="A485" s="4">
        <v>45999.705555555556</v>
      </c>
      <c r="B485" s="1">
        <v>154.94999999999999</v>
      </c>
      <c r="C485" s="1">
        <v>418.82</v>
      </c>
      <c r="D485" s="1">
        <v>23.76</v>
      </c>
      <c r="F485" s="1">
        <f t="shared" si="15"/>
        <v>4.4729677168415805E-3</v>
      </c>
      <c r="G485" s="1">
        <f t="shared" si="15"/>
        <v>-6.1224489795917991E-3</v>
      </c>
      <c r="H485" s="1">
        <f t="shared" si="15"/>
        <v>-4.191114836546439E-3</v>
      </c>
      <c r="R485">
        <f t="shared" si="16"/>
        <v>-1.0789039887547313E-3</v>
      </c>
    </row>
    <row r="486" spans="1:18" x14ac:dyDescent="0.25">
      <c r="A486" s="4">
        <v>46000.705555555556</v>
      </c>
      <c r="B486" s="1">
        <v>154.77000000000001</v>
      </c>
      <c r="C486" s="1">
        <v>418.65</v>
      </c>
      <c r="D486" s="1">
        <v>23.88</v>
      </c>
      <c r="F486" s="1">
        <f t="shared" si="15"/>
        <v>-1.1616650532428885E-3</v>
      </c>
      <c r="G486" s="1">
        <f t="shared" si="15"/>
        <v>-4.0590229692949453E-4</v>
      </c>
      <c r="H486" s="1">
        <f t="shared" si="15"/>
        <v>5.050505050504972E-3</v>
      </c>
      <c r="R486">
        <f t="shared" si="16"/>
        <v>-1.2197643501845614E-4</v>
      </c>
    </row>
    <row r="487" spans="1:18" x14ac:dyDescent="0.25">
      <c r="A487" s="4">
        <v>46001.705555555556</v>
      </c>
      <c r="B487" s="1">
        <v>155.83000000000001</v>
      </c>
      <c r="C487" s="1">
        <v>424.15</v>
      </c>
      <c r="D487" s="1">
        <v>24.12</v>
      </c>
      <c r="F487" s="1">
        <f t="shared" si="15"/>
        <v>6.8488725205142487E-3</v>
      </c>
      <c r="G487" s="1">
        <f t="shared" si="15"/>
        <v>1.3137465663441983E-2</v>
      </c>
      <c r="H487" s="1">
        <f t="shared" si="15"/>
        <v>1.0050251256281451E-2</v>
      </c>
      <c r="R487">
        <f t="shared" si="16"/>
        <v>8.999560399210637E-3</v>
      </c>
    </row>
    <row r="488" spans="1:18" x14ac:dyDescent="0.25">
      <c r="A488" s="4">
        <v>46003.705555555556</v>
      </c>
      <c r="B488" s="1">
        <v>157.54</v>
      </c>
      <c r="C488" s="1">
        <v>416.76</v>
      </c>
      <c r="D488" s="1">
        <v>24.28</v>
      </c>
      <c r="F488" s="1">
        <f t="shared" si="15"/>
        <v>1.0973496759288937E-2</v>
      </c>
      <c r="G488" s="1">
        <f t="shared" si="15"/>
        <v>-1.7423081457031642E-2</v>
      </c>
      <c r="H488" s="1">
        <f t="shared" si="15"/>
        <v>6.6334991708125735E-3</v>
      </c>
      <c r="R488">
        <f t="shared" si="16"/>
        <v>-1.9164839620158254E-3</v>
      </c>
    </row>
    <row r="489" spans="1:18" x14ac:dyDescent="0.25">
      <c r="A489" s="4">
        <v>46006.705555555556</v>
      </c>
      <c r="B489" s="1">
        <v>159.19999999999999</v>
      </c>
      <c r="C489" s="1">
        <v>415.75</v>
      </c>
      <c r="D489" s="1">
        <v>24.33</v>
      </c>
      <c r="F489" s="1">
        <f t="shared" si="15"/>
        <v>1.0537006474546029E-2</v>
      </c>
      <c r="G489" s="1">
        <f t="shared" si="15"/>
        <v>-2.4234571455993281E-3</v>
      </c>
      <c r="H489" s="1">
        <f t="shared" si="15"/>
        <v>2.0593080724875534E-3</v>
      </c>
      <c r="R489">
        <f t="shared" si="16"/>
        <v>3.451350538827436E-3</v>
      </c>
    </row>
    <row r="490" spans="1:18" x14ac:dyDescent="0.25">
      <c r="A490" s="4">
        <v>46007.705555555556</v>
      </c>
      <c r="B490" s="1">
        <v>155.52000000000001</v>
      </c>
      <c r="C490" s="1">
        <v>418</v>
      </c>
      <c r="D490" s="1">
        <v>24.54</v>
      </c>
      <c r="F490" s="1">
        <f t="shared" si="15"/>
        <v>-2.311557788944707E-2</v>
      </c>
      <c r="G490" s="1">
        <f t="shared" si="15"/>
        <v>5.4119061936259705E-3</v>
      </c>
      <c r="H490" s="1">
        <f t="shared" si="15"/>
        <v>8.6313193588163362E-3</v>
      </c>
      <c r="R490">
        <f t="shared" si="16"/>
        <v>-6.2183367424468059E-3</v>
      </c>
    </row>
    <row r="491" spans="1:18" x14ac:dyDescent="0.25">
      <c r="A491" s="4">
        <v>46008.705555555556</v>
      </c>
      <c r="B491" s="1">
        <v>154.22999999999999</v>
      </c>
      <c r="C491" s="1">
        <v>417.17</v>
      </c>
      <c r="D491" s="1">
        <v>24.94</v>
      </c>
      <c r="F491" s="1">
        <f t="shared" si="15"/>
        <v>-8.2947530864199148E-3</v>
      </c>
      <c r="G491" s="1">
        <f t="shared" si="15"/>
        <v>-1.9856459330143128E-3</v>
      </c>
      <c r="H491" s="1">
        <f t="shared" si="15"/>
        <v>1.6299918500407573E-2</v>
      </c>
      <c r="R491">
        <f t="shared" si="16"/>
        <v>-2.4821677577329345E-3</v>
      </c>
    </row>
    <row r="492" spans="1:18" x14ac:dyDescent="0.25">
      <c r="A492" s="4">
        <v>46009.705555555556</v>
      </c>
      <c r="B492" s="1">
        <v>154.79</v>
      </c>
      <c r="C492" s="1">
        <v>420.5</v>
      </c>
      <c r="D492" s="1">
        <v>24.96</v>
      </c>
      <c r="F492" s="1">
        <f t="shared" si="15"/>
        <v>3.6309408026973244E-3</v>
      </c>
      <c r="G492" s="1">
        <f t="shared" si="15"/>
        <v>7.982357312366517E-3</v>
      </c>
      <c r="H492" s="1">
        <f t="shared" si="15"/>
        <v>8.0192461908579205E-4</v>
      </c>
      <c r="R492">
        <f t="shared" si="16"/>
        <v>4.7255117079341158E-3</v>
      </c>
    </row>
    <row r="493" spans="1:18" x14ac:dyDescent="0.25">
      <c r="A493" s="4">
        <v>46010.705555555556</v>
      </c>
      <c r="B493" s="1">
        <v>155.35</v>
      </c>
      <c r="C493" s="1">
        <v>425.9</v>
      </c>
      <c r="D493" s="1">
        <v>25.06</v>
      </c>
      <c r="F493" s="1">
        <f t="shared" si="15"/>
        <v>3.6178047677499769E-3</v>
      </c>
      <c r="G493" s="1">
        <f t="shared" si="15"/>
        <v>1.284185493460166E-2</v>
      </c>
      <c r="H493" s="1">
        <f t="shared" si="15"/>
        <v>4.0064102564101312E-3</v>
      </c>
      <c r="R493">
        <f t="shared" si="16"/>
        <v>6.9845049065816681E-3</v>
      </c>
    </row>
    <row r="494" spans="1:18" x14ac:dyDescent="0.25">
      <c r="A494" s="4">
        <v>46013.705555555556</v>
      </c>
      <c r="B494" s="1">
        <v>153.32</v>
      </c>
      <c r="C494" s="1">
        <v>432.15</v>
      </c>
      <c r="D494" s="1">
        <v>25.88</v>
      </c>
      <c r="F494" s="1">
        <f t="shared" si="15"/>
        <v>-1.3067267460572962E-2</v>
      </c>
      <c r="G494" s="1">
        <f t="shared" si="15"/>
        <v>1.4674806292557019E-2</v>
      </c>
      <c r="H494" s="1">
        <f t="shared" si="15"/>
        <v>3.2721468475658488E-2</v>
      </c>
      <c r="R494">
        <f t="shared" si="16"/>
        <v>3.9151623803594712E-3</v>
      </c>
    </row>
    <row r="495" spans="1:18" x14ac:dyDescent="0.25">
      <c r="A495" s="4">
        <v>46014.705555555556</v>
      </c>
      <c r="B495" s="1">
        <v>157.28</v>
      </c>
      <c r="C495" s="1">
        <v>429.5</v>
      </c>
      <c r="D495" s="1">
        <v>25.92</v>
      </c>
      <c r="F495" s="1">
        <f t="shared" si="15"/>
        <v>2.582833289851294E-2</v>
      </c>
      <c r="G495" s="1">
        <f t="shared" si="15"/>
        <v>-6.1321300474371787E-3</v>
      </c>
      <c r="H495" s="1">
        <f t="shared" si="15"/>
        <v>1.5455950540959051E-3</v>
      </c>
      <c r="R495">
        <f t="shared" si="16"/>
        <v>8.0330406458398954E-3</v>
      </c>
    </row>
    <row r="496" spans="1:18" x14ac:dyDescent="0.25">
      <c r="A496" s="4">
        <v>46017.705555555556</v>
      </c>
      <c r="B496" s="1">
        <v>157.77000000000001</v>
      </c>
      <c r="C496" s="1">
        <v>431.7</v>
      </c>
      <c r="D496" s="1">
        <v>26.19</v>
      </c>
      <c r="F496" s="1">
        <f t="shared" si="15"/>
        <v>3.11546286876907E-3</v>
      </c>
      <c r="G496" s="1">
        <f t="shared" si="15"/>
        <v>5.1222351571593716E-3</v>
      </c>
      <c r="H496" s="1">
        <f t="shared" si="15"/>
        <v>1.0416666666666741E-2</v>
      </c>
      <c r="R496">
        <f t="shared" si="16"/>
        <v>4.336745877038051E-3</v>
      </c>
    </row>
    <row r="497" spans="1:18" x14ac:dyDescent="0.25">
      <c r="A497" s="4">
        <v>46020.705555555556</v>
      </c>
      <c r="B497" s="1">
        <v>157.41</v>
      </c>
      <c r="C497" s="1">
        <v>433.08</v>
      </c>
      <c r="D497" s="1">
        <v>25.18</v>
      </c>
      <c r="F497" s="1">
        <f t="shared" si="15"/>
        <v>-2.2818026240730704E-3</v>
      </c>
      <c r="G497" s="1">
        <f t="shared" si="15"/>
        <v>3.196664350243239E-3</v>
      </c>
      <c r="H497" s="1">
        <f t="shared" si="15"/>
        <v>-3.8564337533409709E-2</v>
      </c>
      <c r="R497">
        <f t="shared" si="16"/>
        <v>-3.4904890628729025E-3</v>
      </c>
    </row>
    <row r="498" spans="1:18" x14ac:dyDescent="0.25">
      <c r="A498" s="4">
        <v>46021.705555555556</v>
      </c>
      <c r="B498" s="1">
        <v>158.01</v>
      </c>
      <c r="C498" s="1">
        <v>424.2</v>
      </c>
      <c r="D498" s="1">
        <v>24.77</v>
      </c>
      <c r="F498" s="1">
        <f t="shared" si="15"/>
        <v>3.8117019249095385E-3</v>
      </c>
      <c r="G498" s="1">
        <f t="shared" si="15"/>
        <v>-2.0504294818509239E-2</v>
      </c>
      <c r="H498" s="1">
        <f t="shared" si="15"/>
        <v>-1.6282764098490832E-2</v>
      </c>
      <c r="R498">
        <f t="shared" si="16"/>
        <v>-8.305313567288964E-3</v>
      </c>
    </row>
  </sheetData>
  <mergeCells count="9">
    <mergeCell ref="O26:P26"/>
    <mergeCell ref="K12:L12"/>
    <mergeCell ref="O18:P18"/>
    <mergeCell ref="O19:P19"/>
    <mergeCell ref="F1:H1"/>
    <mergeCell ref="K7:L7"/>
    <mergeCell ref="K9:L9"/>
    <mergeCell ref="K11:L11"/>
    <mergeCell ref="O25:P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B974-C9CE-4D84-ADED-EE7AF8849ECF}">
  <dimension ref="A1:U498"/>
  <sheetViews>
    <sheetView topLeftCell="C1" workbookViewId="0">
      <selection activeCell="P3" sqref="P3"/>
    </sheetView>
  </sheetViews>
  <sheetFormatPr defaultRowHeight="15" x14ac:dyDescent="0.25"/>
  <cols>
    <col min="1" max="1" width="15.5703125" bestFit="1" customWidth="1"/>
    <col min="11" max="11" width="12.85546875" bestFit="1" customWidth="1"/>
    <col min="19" max="19" width="12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F1" s="30" t="s">
        <v>4</v>
      </c>
      <c r="G1" s="30"/>
      <c r="H1" s="30"/>
      <c r="L1" s="15">
        <f>SUM(L2:L5)</f>
        <v>1</v>
      </c>
      <c r="M1" s="3" t="s">
        <v>4</v>
      </c>
      <c r="R1" s="5" t="s">
        <v>10</v>
      </c>
      <c r="S1" s="5" t="s">
        <v>26</v>
      </c>
    </row>
    <row r="2" spans="1:21" x14ac:dyDescent="0.25">
      <c r="A2" s="4">
        <v>45293.705555555556</v>
      </c>
      <c r="B2" s="1">
        <v>128.88</v>
      </c>
      <c r="C2" s="1">
        <v>259</v>
      </c>
      <c r="D2" s="1">
        <v>10.67</v>
      </c>
      <c r="F2" s="2" t="s">
        <v>1</v>
      </c>
      <c r="G2" s="2" t="s">
        <v>2</v>
      </c>
      <c r="H2" s="2" t="s">
        <v>3</v>
      </c>
      <c r="K2" s="6" t="s">
        <v>5</v>
      </c>
      <c r="L2" s="12">
        <v>0.3</v>
      </c>
      <c r="M2" s="9">
        <v>0.105</v>
      </c>
      <c r="O2" s="20" t="s">
        <v>27</v>
      </c>
      <c r="P2" s="21">
        <v>0.75</v>
      </c>
      <c r="R2" s="1" t="s">
        <v>11</v>
      </c>
    </row>
    <row r="3" spans="1:21" x14ac:dyDescent="0.25">
      <c r="A3" s="4">
        <v>45294.705555555556</v>
      </c>
      <c r="B3" s="1">
        <v>128.93</v>
      </c>
      <c r="C3" s="1">
        <v>257.10000000000002</v>
      </c>
      <c r="D3" s="1">
        <v>10.6</v>
      </c>
      <c r="F3" s="1">
        <f>(B3/B2)-1</f>
        <v>3.8795779019240584E-4</v>
      </c>
      <c r="G3" s="1">
        <f t="shared" ref="G3:H18" si="0">(C3/C2)-1</f>
        <v>-7.3359073359072768E-3</v>
      </c>
      <c r="H3" s="1">
        <f t="shared" si="0"/>
        <v>-6.5604498594189486E-3</v>
      </c>
      <c r="K3" s="6" t="s">
        <v>6</v>
      </c>
      <c r="L3" s="12">
        <f>L2</f>
        <v>0.3</v>
      </c>
      <c r="M3" s="9">
        <v>0.12</v>
      </c>
      <c r="R3">
        <f>$L$2*F3+G3*$L$3+H3*$L$4</f>
        <v>-4.0525198215401459E-3</v>
      </c>
      <c r="S3">
        <f>(R3^2)*((1-$P$2)^U3)</f>
        <v>3.923689179182621E-304</v>
      </c>
      <c r="T3">
        <v>1</v>
      </c>
      <c r="U3">
        <f>497-T3</f>
        <v>496</v>
      </c>
    </row>
    <row r="4" spans="1:21" x14ac:dyDescent="0.25">
      <c r="A4" s="4">
        <v>45295.705555555556</v>
      </c>
      <c r="B4" s="1">
        <v>127.42</v>
      </c>
      <c r="C4" s="1">
        <v>254.9</v>
      </c>
      <c r="D4" s="1">
        <v>10.57</v>
      </c>
      <c r="F4" s="1">
        <f t="shared" ref="F4:H67" si="1">(B4/B3)-1</f>
        <v>-1.1711781586907666E-2</v>
      </c>
      <c r="G4" s="1">
        <f t="shared" si="0"/>
        <v>-8.556981719175516E-3</v>
      </c>
      <c r="H4" s="1">
        <f t="shared" si="0"/>
        <v>-2.8301886792452269E-3</v>
      </c>
      <c r="K4" s="6" t="s">
        <v>7</v>
      </c>
      <c r="L4" s="12">
        <f>MIN(1-(L2+L3+L5),40%)</f>
        <v>0.30000000000000004</v>
      </c>
      <c r="M4" s="9">
        <v>9.5000000000000001E-2</v>
      </c>
      <c r="R4">
        <f>$L$2*F4+G4*$L$3+H4*$L$4</f>
        <v>-6.9296855955985233E-3</v>
      </c>
      <c r="S4">
        <f t="shared" ref="S4:S67" si="2">(R4^2)*((1-$P$2)^U4)</f>
        <v>4.5891405018074566E-303</v>
      </c>
      <c r="T4">
        <v>2</v>
      </c>
      <c r="U4">
        <f t="shared" ref="U4:U67" si="3">497-T4</f>
        <v>495</v>
      </c>
    </row>
    <row r="5" spans="1:21" x14ac:dyDescent="0.25">
      <c r="A5" s="4">
        <v>45296.705555555556</v>
      </c>
      <c r="B5" s="1">
        <v>128.13</v>
      </c>
      <c r="C5" s="1">
        <v>253.95</v>
      </c>
      <c r="D5" s="1">
        <v>10.51</v>
      </c>
      <c r="F5" s="1">
        <f t="shared" si="1"/>
        <v>5.5721236854495704E-3</v>
      </c>
      <c r="G5" s="1">
        <f t="shared" si="0"/>
        <v>-3.7269517457827472E-3</v>
      </c>
      <c r="H5" s="1">
        <f t="shared" si="0"/>
        <v>-5.6764427625355385E-3</v>
      </c>
      <c r="K5" s="6" t="s">
        <v>8</v>
      </c>
      <c r="L5" s="13">
        <v>0.1</v>
      </c>
      <c r="M5" s="9">
        <v>0.09</v>
      </c>
      <c r="R5">
        <f t="shared" ref="R5:R68" si="4">$L$2*F5+G5*$L$3+H5*$L$4</f>
        <v>-1.1493812468606149E-3</v>
      </c>
      <c r="S5">
        <f t="shared" si="2"/>
        <v>5.0500130211830781E-304</v>
      </c>
      <c r="T5">
        <v>3</v>
      </c>
      <c r="U5">
        <f t="shared" si="3"/>
        <v>494</v>
      </c>
    </row>
    <row r="6" spans="1:21" x14ac:dyDescent="0.25">
      <c r="A6" s="4">
        <v>45299.705555555556</v>
      </c>
      <c r="B6" s="1">
        <v>128.53</v>
      </c>
      <c r="C6" s="1">
        <v>257.11</v>
      </c>
      <c r="D6" s="1">
        <v>10.42</v>
      </c>
      <c r="F6" s="1">
        <f t="shared" si="1"/>
        <v>3.1218293920238782E-3</v>
      </c>
      <c r="G6" s="1">
        <f t="shared" si="0"/>
        <v>1.2443394368970351E-2</v>
      </c>
      <c r="H6" s="1">
        <f t="shared" si="0"/>
        <v>-8.5632730732635443E-3</v>
      </c>
      <c r="L6" s="1"/>
      <c r="M6" s="1"/>
      <c r="R6">
        <f t="shared" si="4"/>
        <v>2.1005852063192046E-3</v>
      </c>
      <c r="S6">
        <f t="shared" si="2"/>
        <v>6.7469094332533875E-303</v>
      </c>
      <c r="T6">
        <v>4</v>
      </c>
      <c r="U6">
        <f t="shared" si="3"/>
        <v>493</v>
      </c>
    </row>
    <row r="7" spans="1:21" x14ac:dyDescent="0.25">
      <c r="A7" s="4">
        <v>45300.705555555556</v>
      </c>
      <c r="B7" s="1">
        <v>127.61</v>
      </c>
      <c r="C7" s="1">
        <v>258.85000000000002</v>
      </c>
      <c r="D7" s="1">
        <v>10.49</v>
      </c>
      <c r="F7" s="1">
        <f t="shared" si="1"/>
        <v>-7.1578619777483699E-3</v>
      </c>
      <c r="G7" s="1">
        <f t="shared" si="0"/>
        <v>6.7675314067909831E-3</v>
      </c>
      <c r="H7" s="1">
        <f t="shared" si="0"/>
        <v>6.7178502879079449E-3</v>
      </c>
      <c r="K7" s="29" t="s">
        <v>9</v>
      </c>
      <c r="L7" s="29"/>
      <c r="M7" s="11">
        <f>L2*M2+L3*M3+L4*M4+L5*M5</f>
        <v>0.105</v>
      </c>
      <c r="R7">
        <f t="shared" si="4"/>
        <v>1.8982559150851675E-3</v>
      </c>
      <c r="S7">
        <f t="shared" si="2"/>
        <v>2.2039096694100996E-302</v>
      </c>
      <c r="T7">
        <v>5</v>
      </c>
      <c r="U7">
        <f t="shared" si="3"/>
        <v>492</v>
      </c>
    </row>
    <row r="8" spans="1:21" x14ac:dyDescent="0.25">
      <c r="A8" s="4">
        <v>45301.705555555556</v>
      </c>
      <c r="B8" s="1">
        <v>127.02</v>
      </c>
      <c r="C8" s="1">
        <v>259.27999999999997</v>
      </c>
      <c r="D8" s="1">
        <v>10.44</v>
      </c>
      <c r="F8" s="1">
        <f t="shared" si="1"/>
        <v>-4.6234621111198582E-3</v>
      </c>
      <c r="G8" s="1">
        <f t="shared" si="0"/>
        <v>1.6611937415489386E-3</v>
      </c>
      <c r="H8" s="1">
        <f t="shared" si="0"/>
        <v>-4.7664442326025291E-3</v>
      </c>
      <c r="L8" s="1"/>
      <c r="M8" s="1"/>
      <c r="R8">
        <f t="shared" si="4"/>
        <v>-2.318613780652035E-3</v>
      </c>
      <c r="S8">
        <f t="shared" si="2"/>
        <v>1.3152281134581146E-301</v>
      </c>
      <c r="T8">
        <v>6</v>
      </c>
      <c r="U8">
        <f t="shared" si="3"/>
        <v>491</v>
      </c>
    </row>
    <row r="9" spans="1:21" x14ac:dyDescent="0.25">
      <c r="A9" s="4">
        <v>45302.705555555556</v>
      </c>
      <c r="B9" s="1">
        <v>126.82</v>
      </c>
      <c r="C9" s="1">
        <v>258.2</v>
      </c>
      <c r="D9" s="1">
        <v>10.42</v>
      </c>
      <c r="F9" s="1">
        <f t="shared" si="1"/>
        <v>-1.57455518815941E-3</v>
      </c>
      <c r="G9" s="1">
        <f t="shared" si="0"/>
        <v>-4.1653810552297887E-3</v>
      </c>
      <c r="H9" s="1">
        <f t="shared" si="0"/>
        <v>-1.9157088122604415E-3</v>
      </c>
      <c r="K9" s="29" t="s">
        <v>29</v>
      </c>
      <c r="L9" s="29"/>
      <c r="M9" s="22">
        <f>SUM(S3:S498)</f>
        <v>3.3200964467561121E-5</v>
      </c>
      <c r="R9">
        <f t="shared" si="4"/>
        <v>-2.2966935166948924E-3</v>
      </c>
      <c r="S9">
        <f t="shared" si="2"/>
        <v>5.1619089303014476E-301</v>
      </c>
      <c r="T9">
        <v>7</v>
      </c>
      <c r="U9">
        <f t="shared" si="3"/>
        <v>490</v>
      </c>
    </row>
    <row r="10" spans="1:21" x14ac:dyDescent="0.25">
      <c r="A10" s="4">
        <v>45303.705555555556</v>
      </c>
      <c r="B10" s="1">
        <v>127.14</v>
      </c>
      <c r="C10" s="1">
        <v>257.48</v>
      </c>
      <c r="D10" s="1">
        <v>10.48</v>
      </c>
      <c r="F10" s="1">
        <f t="shared" si="1"/>
        <v>2.5232613152499361E-3</v>
      </c>
      <c r="G10" s="1">
        <f t="shared" si="0"/>
        <v>-2.788536018590082E-3</v>
      </c>
      <c r="H10" s="1">
        <f t="shared" si="0"/>
        <v>5.7581573896352545E-3</v>
      </c>
      <c r="K10" s="31" t="s">
        <v>28</v>
      </c>
      <c r="L10" s="31"/>
      <c r="M10" s="14">
        <f>SQRT(M9)</f>
        <v>5.7620278086417736E-3</v>
      </c>
      <c r="R10">
        <f t="shared" si="4"/>
        <v>1.647864805888533E-3</v>
      </c>
      <c r="S10">
        <f t="shared" si="2"/>
        <v>1.0629366885253419E-300</v>
      </c>
      <c r="T10">
        <v>8</v>
      </c>
      <c r="U10">
        <f t="shared" si="3"/>
        <v>489</v>
      </c>
    </row>
    <row r="11" spans="1:21" x14ac:dyDescent="0.25">
      <c r="A11" s="4">
        <v>45306.705555555556</v>
      </c>
      <c r="B11" s="1">
        <v>127.65</v>
      </c>
      <c r="C11" s="1">
        <v>258.11</v>
      </c>
      <c r="D11" s="1">
        <v>10.64</v>
      </c>
      <c r="F11" s="1">
        <f t="shared" si="1"/>
        <v>4.0113260972156617E-3</v>
      </c>
      <c r="G11" s="1">
        <f t="shared" si="0"/>
        <v>2.4467919838433438E-3</v>
      </c>
      <c r="H11" s="1">
        <f t="shared" si="0"/>
        <v>1.5267175572519109E-2</v>
      </c>
      <c r="L11" s="1"/>
      <c r="M11" s="1"/>
      <c r="R11">
        <f t="shared" si="4"/>
        <v>6.5175880960734352E-3</v>
      </c>
      <c r="S11">
        <f t="shared" si="2"/>
        <v>6.6511700590384805E-299</v>
      </c>
      <c r="T11">
        <v>9</v>
      </c>
      <c r="U11">
        <f t="shared" si="3"/>
        <v>488</v>
      </c>
    </row>
    <row r="12" spans="1:21" x14ac:dyDescent="0.25">
      <c r="A12" s="4">
        <v>45307.705555555556</v>
      </c>
      <c r="B12" s="1">
        <v>125.56</v>
      </c>
      <c r="C12" s="1">
        <v>260.27999999999997</v>
      </c>
      <c r="D12" s="1">
        <v>10.53</v>
      </c>
      <c r="F12" s="1">
        <f t="shared" si="1"/>
        <v>-1.6372894633764234E-2</v>
      </c>
      <c r="G12" s="1">
        <f t="shared" si="0"/>
        <v>8.4072682189761938E-3</v>
      </c>
      <c r="H12" s="1">
        <f t="shared" si="0"/>
        <v>-1.0338345864661758E-2</v>
      </c>
      <c r="K12" s="27" t="s">
        <v>13</v>
      </c>
      <c r="L12" s="28"/>
      <c r="M12" s="14">
        <f>M7-1.65*M10*SQRT(252)</f>
        <v>-4.5924437028135548E-2</v>
      </c>
      <c r="N12" s="24"/>
      <c r="R12">
        <f t="shared" si="4"/>
        <v>-5.4911916838349395E-3</v>
      </c>
      <c r="S12">
        <f t="shared" si="2"/>
        <v>1.8885019235110711E-298</v>
      </c>
      <c r="T12">
        <v>10</v>
      </c>
      <c r="U12">
        <f t="shared" si="3"/>
        <v>487</v>
      </c>
    </row>
    <row r="13" spans="1:21" x14ac:dyDescent="0.25">
      <c r="A13" s="4">
        <v>45308.705555555556</v>
      </c>
      <c r="B13" s="1">
        <v>124.77</v>
      </c>
      <c r="C13" s="1">
        <v>259</v>
      </c>
      <c r="D13" s="1">
        <v>10.44</v>
      </c>
      <c r="F13" s="1">
        <f t="shared" si="1"/>
        <v>-6.2918126791972062E-3</v>
      </c>
      <c r="G13" s="1">
        <f t="shared" si="0"/>
        <v>-4.9177808513907184E-3</v>
      </c>
      <c r="H13" s="1">
        <f t="shared" si="0"/>
        <v>-8.5470085470085166E-3</v>
      </c>
      <c r="K13" s="27" t="s">
        <v>14</v>
      </c>
      <c r="L13" s="28"/>
      <c r="M13" s="14">
        <f>M7-2.33*M10*SQRT(252)</f>
        <v>-0.10812359895488237</v>
      </c>
      <c r="N13" s="24"/>
      <c r="R13">
        <f t="shared" si="4"/>
        <v>-5.926980623278932E-3</v>
      </c>
      <c r="S13">
        <f t="shared" si="2"/>
        <v>8.8005786687696944E-298</v>
      </c>
      <c r="T13">
        <v>11</v>
      </c>
      <c r="U13">
        <f t="shared" si="3"/>
        <v>486</v>
      </c>
    </row>
    <row r="14" spans="1:21" x14ac:dyDescent="0.25">
      <c r="A14" s="4">
        <v>45309.705555555556</v>
      </c>
      <c r="B14" s="1">
        <v>123.61</v>
      </c>
      <c r="C14" s="1">
        <v>261.02</v>
      </c>
      <c r="D14" s="1">
        <v>10.51</v>
      </c>
      <c r="F14" s="1">
        <f t="shared" si="1"/>
        <v>-9.2971066762843613E-3</v>
      </c>
      <c r="G14" s="1">
        <f t="shared" si="0"/>
        <v>7.7992277992278147E-3</v>
      </c>
      <c r="H14" s="1">
        <f t="shared" si="0"/>
        <v>6.7049808429118229E-3</v>
      </c>
      <c r="L14" s="1"/>
      <c r="M14" s="1"/>
      <c r="R14">
        <f t="shared" si="4"/>
        <v>1.5621305897565831E-3</v>
      </c>
      <c r="S14">
        <f t="shared" si="2"/>
        <v>2.4453379038347348E-298</v>
      </c>
      <c r="T14">
        <v>12</v>
      </c>
      <c r="U14">
        <f t="shared" si="3"/>
        <v>485</v>
      </c>
    </row>
    <row r="15" spans="1:21" x14ac:dyDescent="0.25">
      <c r="A15" s="4">
        <v>45310.705555555556</v>
      </c>
      <c r="B15" s="1">
        <v>123.88</v>
      </c>
      <c r="C15" s="1">
        <v>264.43</v>
      </c>
      <c r="D15" s="1">
        <v>10.54</v>
      </c>
      <c r="F15" s="1">
        <f t="shared" si="1"/>
        <v>2.1842892969823335E-3</v>
      </c>
      <c r="G15" s="1">
        <f t="shared" si="0"/>
        <v>1.3064133016627233E-2</v>
      </c>
      <c r="H15" s="1">
        <f t="shared" si="0"/>
        <v>2.8544243577544037E-3</v>
      </c>
      <c r="K15" s="8" t="s">
        <v>30</v>
      </c>
      <c r="L15" s="8" t="s">
        <v>16</v>
      </c>
      <c r="M15" s="8" t="s">
        <v>17</v>
      </c>
      <c r="N15" s="8" t="s">
        <v>18</v>
      </c>
      <c r="O15" s="23">
        <v>0.94</v>
      </c>
      <c r="R15">
        <f t="shared" si="4"/>
        <v>5.4308540014091911E-3</v>
      </c>
      <c r="S15">
        <f t="shared" si="2"/>
        <v>1.1822258541916333E-296</v>
      </c>
      <c r="T15">
        <v>13</v>
      </c>
      <c r="U15">
        <f t="shared" si="3"/>
        <v>484</v>
      </c>
    </row>
    <row r="16" spans="1:21" x14ac:dyDescent="0.25">
      <c r="A16" s="4">
        <v>45313.705555555556</v>
      </c>
      <c r="B16" s="1">
        <v>122.91</v>
      </c>
      <c r="C16" s="1">
        <v>268.32</v>
      </c>
      <c r="D16" s="1">
        <v>10.61</v>
      </c>
      <c r="F16" s="1">
        <f t="shared" si="1"/>
        <v>-7.8301582176300011E-3</v>
      </c>
      <c r="G16" s="1">
        <f t="shared" si="0"/>
        <v>1.4710887569489017E-2</v>
      </c>
      <c r="H16" s="1">
        <f t="shared" si="0"/>
        <v>6.6413662239088733E-3</v>
      </c>
      <c r="K16" s="7" t="s">
        <v>19</v>
      </c>
      <c r="L16" s="9">
        <v>0.104</v>
      </c>
      <c r="M16" s="9">
        <v>2.41E-2</v>
      </c>
      <c r="N16" s="9">
        <v>-8.8999999999999999E-3</v>
      </c>
      <c r="R16">
        <f t="shared" si="4"/>
        <v>4.0566286727303676E-3</v>
      </c>
      <c r="S16">
        <f t="shared" si="2"/>
        <v>2.6384854314929841E-296</v>
      </c>
      <c r="T16">
        <v>14</v>
      </c>
      <c r="U16">
        <f t="shared" si="3"/>
        <v>483</v>
      </c>
    </row>
    <row r="17" spans="1:21" x14ac:dyDescent="0.25">
      <c r="A17" s="4">
        <v>45314.705555555556</v>
      </c>
      <c r="B17" s="1">
        <v>124.45</v>
      </c>
      <c r="C17" s="1">
        <v>267.48</v>
      </c>
      <c r="D17" s="1">
        <v>10.58</v>
      </c>
      <c r="F17" s="1">
        <f t="shared" si="1"/>
        <v>1.2529493125050806E-2</v>
      </c>
      <c r="G17" s="1">
        <f t="shared" si="0"/>
        <v>-3.1305903398926027E-3</v>
      </c>
      <c r="H17" s="1">
        <f t="shared" si="0"/>
        <v>-2.827521206408945E-3</v>
      </c>
      <c r="K17" s="7" t="s">
        <v>20</v>
      </c>
      <c r="L17" s="9">
        <v>0.1033</v>
      </c>
      <c r="M17" s="9">
        <v>3.0599999999999999E-2</v>
      </c>
      <c r="N17" s="9">
        <v>6.9999999999999999E-4</v>
      </c>
      <c r="R17">
        <f t="shared" si="4"/>
        <v>1.9714144736247773E-3</v>
      </c>
      <c r="S17">
        <f t="shared" si="2"/>
        <v>2.4925280898278951E-296</v>
      </c>
      <c r="T17">
        <v>15</v>
      </c>
      <c r="U17">
        <f t="shared" si="3"/>
        <v>482</v>
      </c>
    </row>
    <row r="18" spans="1:21" x14ac:dyDescent="0.25">
      <c r="A18" s="4">
        <v>45315.705555555556</v>
      </c>
      <c r="B18" s="1">
        <v>124.08</v>
      </c>
      <c r="C18" s="1">
        <v>266.35000000000002</v>
      </c>
      <c r="D18" s="1">
        <v>10.46</v>
      </c>
      <c r="F18" s="1">
        <f t="shared" si="1"/>
        <v>-2.9730815588590032E-3</v>
      </c>
      <c r="G18" s="1">
        <f t="shared" si="0"/>
        <v>-4.224614924480341E-3</v>
      </c>
      <c r="H18" s="1">
        <f t="shared" si="0"/>
        <v>-1.1342155009451682E-2</v>
      </c>
      <c r="K18" s="7" t="s">
        <v>21</v>
      </c>
      <c r="L18" s="9">
        <v>0.105</v>
      </c>
      <c r="M18" s="9">
        <v>3.9100000000000003E-2</v>
      </c>
      <c r="N18" s="9">
        <v>1.1900000000000001E-2</v>
      </c>
      <c r="R18">
        <f t="shared" si="4"/>
        <v>-5.5619554478373075E-3</v>
      </c>
      <c r="S18">
        <f t="shared" si="2"/>
        <v>7.9359547490053056E-295</v>
      </c>
      <c r="T18">
        <v>16</v>
      </c>
      <c r="U18">
        <f t="shared" si="3"/>
        <v>481</v>
      </c>
    </row>
    <row r="19" spans="1:21" x14ac:dyDescent="0.25">
      <c r="A19" s="4">
        <v>45316.705555555556</v>
      </c>
      <c r="B19" s="1">
        <v>124.39</v>
      </c>
      <c r="C19" s="1">
        <v>267.08</v>
      </c>
      <c r="D19" s="1">
        <v>10.47</v>
      </c>
      <c r="F19" s="1">
        <f t="shared" si="1"/>
        <v>2.4983881366860139E-3</v>
      </c>
      <c r="G19" s="1">
        <f t="shared" si="1"/>
        <v>2.7407546461422072E-3</v>
      </c>
      <c r="H19" s="1">
        <f t="shared" si="1"/>
        <v>9.5602294455066072E-4</v>
      </c>
      <c r="K19" s="7" t="s">
        <v>22</v>
      </c>
      <c r="L19" s="9">
        <v>0.10680000000000001</v>
      </c>
      <c r="M19" s="9">
        <v>4.7199999999999999E-2</v>
      </c>
      <c r="N19" s="9">
        <v>2.2599999999999999E-2</v>
      </c>
      <c r="O19" s="18"/>
      <c r="P19" s="19"/>
      <c r="R19">
        <f t="shared" si="4"/>
        <v>1.8585497182136645E-3</v>
      </c>
      <c r="S19">
        <f t="shared" si="2"/>
        <v>3.5444799942119717E-295</v>
      </c>
      <c r="T19">
        <v>17</v>
      </c>
      <c r="U19">
        <f t="shared" si="3"/>
        <v>480</v>
      </c>
    </row>
    <row r="20" spans="1:21" x14ac:dyDescent="0.25">
      <c r="A20" s="4">
        <v>45317.705555555556</v>
      </c>
      <c r="B20" s="1">
        <v>125.16</v>
      </c>
      <c r="C20" s="1">
        <v>266.83</v>
      </c>
      <c r="D20" s="1">
        <v>10.45</v>
      </c>
      <c r="F20" s="1">
        <f t="shared" si="1"/>
        <v>6.190208216094506E-3</v>
      </c>
      <c r="G20" s="1">
        <f t="shared" si="1"/>
        <v>-9.360491238580293E-4</v>
      </c>
      <c r="H20" s="1">
        <f t="shared" si="1"/>
        <v>-1.9102196752628364E-3</v>
      </c>
      <c r="K20" s="25" t="s">
        <v>23</v>
      </c>
      <c r="L20" s="26">
        <v>0.1085</v>
      </c>
      <c r="M20" s="26">
        <v>5.4899999999999997E-2</v>
      </c>
      <c r="N20" s="26">
        <v>3.2800000000000003E-2</v>
      </c>
      <c r="O20" s="18"/>
      <c r="P20" s="19"/>
      <c r="R20">
        <f t="shared" si="4"/>
        <v>1.0031818250920918E-3</v>
      </c>
      <c r="S20">
        <f t="shared" si="2"/>
        <v>4.1306981920453311E-295</v>
      </c>
      <c r="T20">
        <v>18</v>
      </c>
      <c r="U20">
        <f t="shared" si="3"/>
        <v>479</v>
      </c>
    </row>
    <row r="21" spans="1:21" x14ac:dyDescent="0.25">
      <c r="A21" s="4">
        <v>45320.705555555556</v>
      </c>
      <c r="B21" s="1">
        <v>124.74</v>
      </c>
      <c r="C21" s="1">
        <v>270.5</v>
      </c>
      <c r="D21" s="1">
        <v>10.6</v>
      </c>
      <c r="F21" s="1">
        <f t="shared" si="1"/>
        <v>-3.3557046979866278E-3</v>
      </c>
      <c r="G21" s="1">
        <f t="shared" si="1"/>
        <v>1.3754075628677587E-2</v>
      </c>
      <c r="H21" s="1">
        <f t="shared" si="1"/>
        <v>1.4354066985645897E-2</v>
      </c>
      <c r="L21" s="1"/>
      <c r="M21" s="1"/>
      <c r="R21">
        <f t="shared" si="4"/>
        <v>7.4257313749010578E-3</v>
      </c>
      <c r="S21">
        <f t="shared" si="2"/>
        <v>9.0532104168523796E-293</v>
      </c>
      <c r="T21">
        <v>19</v>
      </c>
      <c r="U21">
        <f t="shared" si="3"/>
        <v>478</v>
      </c>
    </row>
    <row r="22" spans="1:21" x14ac:dyDescent="0.25">
      <c r="A22" s="4">
        <v>45321.705555555556</v>
      </c>
      <c r="B22" s="1">
        <v>123.7</v>
      </c>
      <c r="C22" s="1">
        <v>270.13</v>
      </c>
      <c r="D22" s="1">
        <v>10.62</v>
      </c>
      <c r="F22" s="1">
        <f t="shared" si="1"/>
        <v>-8.3373416706749026E-3</v>
      </c>
      <c r="G22" s="1">
        <f t="shared" si="1"/>
        <v>-1.367837338262512E-3</v>
      </c>
      <c r="H22" s="1">
        <f t="shared" si="1"/>
        <v>1.8867924528300772E-3</v>
      </c>
      <c r="K22" s="8" t="s">
        <v>15</v>
      </c>
      <c r="L22" s="8" t="s">
        <v>16</v>
      </c>
      <c r="M22" s="8" t="s">
        <v>17</v>
      </c>
      <c r="N22" s="8" t="s">
        <v>18</v>
      </c>
      <c r="O22" s="23">
        <v>0.75</v>
      </c>
      <c r="R22">
        <f t="shared" si="4"/>
        <v>-2.3455159668322009E-3</v>
      </c>
      <c r="S22">
        <f t="shared" si="2"/>
        <v>3.6129414529965024E-293</v>
      </c>
      <c r="T22">
        <v>20</v>
      </c>
      <c r="U22">
        <f t="shared" si="3"/>
        <v>477</v>
      </c>
    </row>
    <row r="23" spans="1:21" x14ac:dyDescent="0.25">
      <c r="A23" s="4">
        <v>45322.705555555556</v>
      </c>
      <c r="B23" s="1">
        <v>123.99</v>
      </c>
      <c r="C23" s="1">
        <v>266.62</v>
      </c>
      <c r="D23" s="1">
        <v>10.64</v>
      </c>
      <c r="F23" s="1">
        <f t="shared" si="1"/>
        <v>2.3443815683104052E-3</v>
      </c>
      <c r="G23" s="1">
        <f t="shared" si="1"/>
        <v>-1.2993743753007769E-2</v>
      </c>
      <c r="H23" s="1">
        <f t="shared" si="1"/>
        <v>1.8832391713747842E-3</v>
      </c>
      <c r="K23" s="7" t="s">
        <v>19</v>
      </c>
      <c r="L23" s="9">
        <v>0.104</v>
      </c>
      <c r="M23" s="16">
        <v>-8.1699999999999995E-2</v>
      </c>
      <c r="N23" s="16">
        <v>-0.15820000000000001</v>
      </c>
      <c r="R23">
        <f t="shared" si="4"/>
        <v>-2.6298369039967737E-3</v>
      </c>
      <c r="S23">
        <f t="shared" si="2"/>
        <v>1.8167775673358987E-292</v>
      </c>
      <c r="T23">
        <v>21</v>
      </c>
      <c r="U23">
        <f t="shared" si="3"/>
        <v>476</v>
      </c>
    </row>
    <row r="24" spans="1:21" x14ac:dyDescent="0.25">
      <c r="A24" s="4">
        <v>45323.705555555556</v>
      </c>
      <c r="B24" s="1">
        <v>124.7</v>
      </c>
      <c r="C24" s="1">
        <v>267.45</v>
      </c>
      <c r="D24" s="1">
        <v>10.64</v>
      </c>
      <c r="F24" s="1">
        <f t="shared" si="1"/>
        <v>5.7262682474392701E-3</v>
      </c>
      <c r="G24" s="1">
        <f t="shared" si="1"/>
        <v>3.1130447828369157E-3</v>
      </c>
      <c r="H24" s="1">
        <f t="shared" si="1"/>
        <v>0</v>
      </c>
      <c r="K24" s="7" t="s">
        <v>20</v>
      </c>
      <c r="L24" s="9">
        <v>0.1033</v>
      </c>
      <c r="M24" s="16">
        <v>-7.0300000000000001E-2</v>
      </c>
      <c r="N24" s="16">
        <v>-0.14180000000000001</v>
      </c>
      <c r="R24">
        <f t="shared" si="4"/>
        <v>2.6517939090828554E-3</v>
      </c>
      <c r="S24">
        <f t="shared" si="2"/>
        <v>7.3889658047913949E-292</v>
      </c>
      <c r="T24">
        <v>22</v>
      </c>
      <c r="U24">
        <f t="shared" si="3"/>
        <v>475</v>
      </c>
    </row>
    <row r="25" spans="1:21" x14ac:dyDescent="0.25">
      <c r="A25" s="4">
        <v>45324.705555555556</v>
      </c>
      <c r="B25" s="1">
        <v>123.48</v>
      </c>
      <c r="C25" s="1">
        <v>273.01</v>
      </c>
      <c r="D25" s="1">
        <v>10.65</v>
      </c>
      <c r="F25" s="1">
        <f t="shared" si="1"/>
        <v>-9.7834803528468184E-3</v>
      </c>
      <c r="G25" s="1">
        <f t="shared" si="1"/>
        <v>2.0788932510749758E-2</v>
      </c>
      <c r="H25" s="1">
        <f t="shared" si="1"/>
        <v>9.3984962406024053E-4</v>
      </c>
      <c r="K25" s="7" t="s">
        <v>21</v>
      </c>
      <c r="L25" s="9">
        <v>0.105</v>
      </c>
      <c r="M25" s="9">
        <v>-4.5900000000000003E-2</v>
      </c>
      <c r="N25" s="16">
        <v>-0.1081</v>
      </c>
      <c r="R25">
        <f t="shared" si="4"/>
        <v>3.5835905345889536E-3</v>
      </c>
      <c r="S25">
        <f t="shared" si="2"/>
        <v>5.3976021751921674E-291</v>
      </c>
      <c r="T25">
        <v>23</v>
      </c>
      <c r="U25">
        <f t="shared" si="3"/>
        <v>474</v>
      </c>
    </row>
    <row r="26" spans="1:21" x14ac:dyDescent="0.25">
      <c r="A26" s="4">
        <v>45327.705555555556</v>
      </c>
      <c r="B26" s="1">
        <v>123.84</v>
      </c>
      <c r="C26" s="1">
        <v>273.44</v>
      </c>
      <c r="D26" s="1">
        <v>10.63</v>
      </c>
      <c r="F26" s="1">
        <f t="shared" si="1"/>
        <v>2.9154518950438302E-3</v>
      </c>
      <c r="G26" s="1">
        <f t="shared" si="1"/>
        <v>1.5750338815427867E-3</v>
      </c>
      <c r="H26" s="1">
        <f t="shared" si="1"/>
        <v>-1.87793427230043E-3</v>
      </c>
      <c r="K26" s="7" t="s">
        <v>22</v>
      </c>
      <c r="L26" s="9">
        <v>0.10680000000000001</v>
      </c>
      <c r="M26" s="9">
        <v>-2.3599999999999999E-2</v>
      </c>
      <c r="N26" s="9">
        <v>-7.7299999999999994E-2</v>
      </c>
      <c r="O26" s="18"/>
      <c r="P26" s="19"/>
      <c r="R26">
        <f t="shared" si="4"/>
        <v>7.8376545128585587E-4</v>
      </c>
      <c r="S26">
        <f t="shared" si="2"/>
        <v>1.0327526861448918E-291</v>
      </c>
      <c r="T26">
        <v>24</v>
      </c>
      <c r="U26">
        <f t="shared" si="3"/>
        <v>473</v>
      </c>
    </row>
    <row r="27" spans="1:21" x14ac:dyDescent="0.25">
      <c r="A27" s="4">
        <v>45328.705555555556</v>
      </c>
      <c r="B27" s="1">
        <v>126.52</v>
      </c>
      <c r="C27" s="1">
        <v>272.75</v>
      </c>
      <c r="D27" s="1">
        <v>10.64</v>
      </c>
      <c r="F27" s="1">
        <f t="shared" si="1"/>
        <v>2.1640826873384977E-2</v>
      </c>
      <c r="G27" s="1">
        <f t="shared" si="1"/>
        <v>-2.5234055002925082E-3</v>
      </c>
      <c r="H27" s="1">
        <f t="shared" si="1"/>
        <v>9.4073377234238365E-4</v>
      </c>
      <c r="K27" s="25" t="s">
        <v>23</v>
      </c>
      <c r="L27" s="26">
        <v>0.1085</v>
      </c>
      <c r="M27" s="26">
        <v>-4.4000000000000003E-3</v>
      </c>
      <c r="N27" s="26">
        <v>-5.0900000000000001E-2</v>
      </c>
      <c r="O27" s="18"/>
      <c r="P27" s="19"/>
      <c r="R27">
        <f t="shared" si="4"/>
        <v>6.0174465436304558E-3</v>
      </c>
      <c r="S27">
        <f t="shared" si="2"/>
        <v>2.4350538786083424E-289</v>
      </c>
      <c r="T27">
        <v>25</v>
      </c>
      <c r="U27">
        <f t="shared" si="3"/>
        <v>472</v>
      </c>
    </row>
    <row r="28" spans="1:21" x14ac:dyDescent="0.25">
      <c r="A28" s="4">
        <v>45329.705555555556</v>
      </c>
      <c r="B28" s="1">
        <v>126.15</v>
      </c>
      <c r="C28" s="1">
        <v>275.25</v>
      </c>
      <c r="D28" s="1">
        <v>10.66</v>
      </c>
      <c r="F28" s="1">
        <f t="shared" si="1"/>
        <v>-2.9244388239012542E-3</v>
      </c>
      <c r="G28" s="1">
        <f t="shared" si="1"/>
        <v>9.1659028414299293E-3</v>
      </c>
      <c r="H28" s="1">
        <f t="shared" si="1"/>
        <v>1.879699248120259E-3</v>
      </c>
      <c r="L28" s="1"/>
      <c r="M28" s="1"/>
      <c r="R28">
        <f t="shared" si="4"/>
        <v>2.4363489796946805E-3</v>
      </c>
      <c r="S28">
        <f t="shared" si="2"/>
        <v>1.5966990871504256E-289</v>
      </c>
      <c r="T28">
        <v>26</v>
      </c>
      <c r="U28">
        <f t="shared" si="3"/>
        <v>471</v>
      </c>
    </row>
    <row r="29" spans="1:21" x14ac:dyDescent="0.25">
      <c r="A29" s="4">
        <v>45330.705555555556</v>
      </c>
      <c r="B29" s="1">
        <v>124.49</v>
      </c>
      <c r="C29" s="1">
        <v>277.14999999999998</v>
      </c>
      <c r="D29" s="1">
        <v>10.7</v>
      </c>
      <c r="F29" s="1">
        <f t="shared" si="1"/>
        <v>-1.3158937772493107E-2</v>
      </c>
      <c r="G29" s="1">
        <f t="shared" si="1"/>
        <v>6.9028156221615511E-3</v>
      </c>
      <c r="H29" s="1">
        <f t="shared" si="1"/>
        <v>3.7523452157597337E-3</v>
      </c>
      <c r="L29" s="1"/>
      <c r="M29" s="1"/>
      <c r="R29">
        <f t="shared" si="4"/>
        <v>-7.5113308037154641E-4</v>
      </c>
      <c r="S29">
        <f t="shared" si="2"/>
        <v>6.0706871720080651E-290</v>
      </c>
      <c r="T29">
        <v>27</v>
      </c>
      <c r="U29">
        <f t="shared" si="3"/>
        <v>470</v>
      </c>
    </row>
    <row r="30" spans="1:21" x14ac:dyDescent="0.25">
      <c r="A30" s="4">
        <v>45331.705555555556</v>
      </c>
      <c r="B30" s="1">
        <v>124.27</v>
      </c>
      <c r="C30" s="1">
        <v>276.25</v>
      </c>
      <c r="D30" s="1">
        <v>10.58</v>
      </c>
      <c r="F30" s="1">
        <f t="shared" si="1"/>
        <v>-1.7672102176881088E-3</v>
      </c>
      <c r="G30" s="1">
        <f t="shared" si="1"/>
        <v>-3.2473389861085167E-3</v>
      </c>
      <c r="H30" s="1">
        <f t="shared" si="1"/>
        <v>-1.121495327102795E-2</v>
      </c>
      <c r="L30" s="1"/>
      <c r="M30" s="1"/>
      <c r="R30">
        <f t="shared" si="4"/>
        <v>-4.8688507424473736E-3</v>
      </c>
      <c r="S30">
        <f t="shared" si="2"/>
        <v>1.020274399499479E-287</v>
      </c>
      <c r="T30">
        <v>28</v>
      </c>
      <c r="U30">
        <f t="shared" si="3"/>
        <v>469</v>
      </c>
    </row>
    <row r="31" spans="1:21" x14ac:dyDescent="0.25">
      <c r="A31" s="4">
        <v>45336.705555555556</v>
      </c>
      <c r="B31" s="1">
        <v>123.31</v>
      </c>
      <c r="C31" s="1">
        <v>275.85000000000002</v>
      </c>
      <c r="D31" s="1">
        <v>10.44</v>
      </c>
      <c r="F31" s="1">
        <f t="shared" si="1"/>
        <v>-7.7251146696708517E-3</v>
      </c>
      <c r="G31" s="1">
        <f t="shared" si="1"/>
        <v>-1.44796380090495E-3</v>
      </c>
      <c r="H31" s="1">
        <f t="shared" si="1"/>
        <v>-1.3232514177693777E-2</v>
      </c>
      <c r="L31" s="1"/>
      <c r="M31" s="1"/>
      <c r="R31">
        <f t="shared" si="4"/>
        <v>-6.721677794480874E-3</v>
      </c>
      <c r="S31">
        <f t="shared" si="2"/>
        <v>7.7782059783579304E-287</v>
      </c>
      <c r="T31">
        <v>29</v>
      </c>
      <c r="U31">
        <f t="shared" si="3"/>
        <v>468</v>
      </c>
    </row>
    <row r="32" spans="1:21" x14ac:dyDescent="0.25">
      <c r="A32" s="4">
        <v>45337.705555555556</v>
      </c>
      <c r="B32" s="1">
        <v>124.03</v>
      </c>
      <c r="C32" s="1">
        <v>277.7</v>
      </c>
      <c r="D32" s="1">
        <v>10.51</v>
      </c>
      <c r="F32" s="1">
        <f t="shared" si="1"/>
        <v>5.8389425026357245E-3</v>
      </c>
      <c r="G32" s="1">
        <f t="shared" si="1"/>
        <v>6.7065434112740796E-3</v>
      </c>
      <c r="H32" s="1">
        <f t="shared" si="1"/>
        <v>6.7049808429118229E-3</v>
      </c>
      <c r="L32" s="1"/>
      <c r="M32" s="1"/>
      <c r="R32">
        <f t="shared" si="4"/>
        <v>5.7751400270464881E-3</v>
      </c>
      <c r="S32">
        <f t="shared" si="2"/>
        <v>2.2967254745558694E-286</v>
      </c>
      <c r="T32">
        <v>30</v>
      </c>
      <c r="U32">
        <f t="shared" si="3"/>
        <v>467</v>
      </c>
    </row>
    <row r="33" spans="1:21" x14ac:dyDescent="0.25">
      <c r="A33" s="4">
        <v>45338.705555555556</v>
      </c>
      <c r="B33" s="1">
        <v>124.91</v>
      </c>
      <c r="C33" s="1">
        <v>276.35000000000002</v>
      </c>
      <c r="D33" s="1">
        <v>10.54</v>
      </c>
      <c r="F33" s="1">
        <f t="shared" si="1"/>
        <v>7.0950576473434168E-3</v>
      </c>
      <c r="G33" s="1">
        <f t="shared" si="1"/>
        <v>-4.8613611811305635E-3</v>
      </c>
      <c r="H33" s="1">
        <f t="shared" si="1"/>
        <v>2.8544243577544037E-3</v>
      </c>
      <c r="L33" s="1"/>
      <c r="M33" s="1"/>
      <c r="R33">
        <f t="shared" si="4"/>
        <v>1.5264362471901776E-3</v>
      </c>
      <c r="S33">
        <f t="shared" si="2"/>
        <v>6.4180246665254241E-287</v>
      </c>
      <c r="T33">
        <v>31</v>
      </c>
      <c r="U33">
        <f t="shared" si="3"/>
        <v>466</v>
      </c>
    </row>
    <row r="34" spans="1:21" x14ac:dyDescent="0.25">
      <c r="A34" s="4">
        <v>45341.705555555556</v>
      </c>
      <c r="B34" s="1">
        <v>125.23</v>
      </c>
      <c r="C34" s="1">
        <v>276.7</v>
      </c>
      <c r="D34" s="1">
        <v>10.58</v>
      </c>
      <c r="F34" s="1">
        <f t="shared" si="1"/>
        <v>2.5618445280601865E-3</v>
      </c>
      <c r="G34" s="1">
        <f t="shared" si="1"/>
        <v>1.2665098606838843E-3</v>
      </c>
      <c r="H34" s="1">
        <f t="shared" si="1"/>
        <v>3.7950664136623402E-3</v>
      </c>
      <c r="L34" s="1"/>
      <c r="M34" s="1"/>
      <c r="R34">
        <f t="shared" si="4"/>
        <v>2.2870262407219235E-3</v>
      </c>
      <c r="S34">
        <f t="shared" si="2"/>
        <v>5.762969587590205E-286</v>
      </c>
      <c r="T34">
        <v>32</v>
      </c>
      <c r="U34">
        <f t="shared" si="3"/>
        <v>465</v>
      </c>
    </row>
    <row r="35" spans="1:21" x14ac:dyDescent="0.25">
      <c r="A35" s="4">
        <v>45342.705555555556</v>
      </c>
      <c r="B35" s="1">
        <v>126.08</v>
      </c>
      <c r="C35" s="1">
        <v>272.3</v>
      </c>
      <c r="D35" s="1">
        <v>10.51</v>
      </c>
      <c r="F35" s="1">
        <f t="shared" si="1"/>
        <v>6.7875109797970179E-3</v>
      </c>
      <c r="G35" s="1">
        <f t="shared" si="1"/>
        <v>-1.5901698590531144E-2</v>
      </c>
      <c r="H35" s="1">
        <f t="shared" si="1"/>
        <v>-6.6162570888469441E-3</v>
      </c>
      <c r="L35" s="1"/>
      <c r="M35" s="1"/>
      <c r="R35">
        <f t="shared" si="4"/>
        <v>-4.7191334098743206E-3</v>
      </c>
      <c r="S35">
        <f t="shared" si="2"/>
        <v>9.814959996666581E-285</v>
      </c>
      <c r="T35">
        <v>33</v>
      </c>
      <c r="U35">
        <f t="shared" si="3"/>
        <v>464</v>
      </c>
    </row>
    <row r="36" spans="1:21" x14ac:dyDescent="0.25">
      <c r="A36" s="4">
        <v>45343.705555555556</v>
      </c>
      <c r="B36" s="1">
        <v>126.21</v>
      </c>
      <c r="C36" s="1">
        <v>273.8</v>
      </c>
      <c r="D36" s="1">
        <v>10.52</v>
      </c>
      <c r="F36" s="1">
        <f t="shared" si="1"/>
        <v>1.0310913705582347E-3</v>
      </c>
      <c r="G36" s="1">
        <f t="shared" si="1"/>
        <v>5.5086301872935284E-3</v>
      </c>
      <c r="H36" s="1">
        <f t="shared" si="1"/>
        <v>9.5147478591806056E-4</v>
      </c>
      <c r="L36" s="1"/>
      <c r="M36" s="1"/>
      <c r="R36">
        <f t="shared" si="4"/>
        <v>2.2473589031309473E-3</v>
      </c>
      <c r="S36">
        <f t="shared" si="2"/>
        <v>8.9036665041911551E-285</v>
      </c>
      <c r="T36">
        <v>34</v>
      </c>
      <c r="U36">
        <f t="shared" si="3"/>
        <v>463</v>
      </c>
    </row>
    <row r="37" spans="1:21" x14ac:dyDescent="0.25">
      <c r="A37" s="4">
        <v>45344.705555555556</v>
      </c>
      <c r="B37" s="1">
        <v>126.41</v>
      </c>
      <c r="C37" s="1">
        <v>280.3</v>
      </c>
      <c r="D37" s="1">
        <v>10.6</v>
      </c>
      <c r="F37" s="1">
        <f t="shared" si="1"/>
        <v>1.5846604864908631E-3</v>
      </c>
      <c r="G37" s="1">
        <f t="shared" si="1"/>
        <v>2.3739956172388554E-2</v>
      </c>
      <c r="H37" s="1">
        <f t="shared" si="1"/>
        <v>7.6045627376426506E-3</v>
      </c>
      <c r="L37" s="1"/>
      <c r="M37" s="1"/>
      <c r="R37">
        <f t="shared" si="4"/>
        <v>9.8787538189566201E-3</v>
      </c>
      <c r="S37">
        <f t="shared" si="2"/>
        <v>6.8815826800927223E-283</v>
      </c>
      <c r="T37">
        <v>35</v>
      </c>
      <c r="U37">
        <f t="shared" si="3"/>
        <v>462</v>
      </c>
    </row>
    <row r="38" spans="1:21" x14ac:dyDescent="0.25">
      <c r="A38" s="4">
        <v>45345.705555555556</v>
      </c>
      <c r="B38" s="1">
        <v>125.64</v>
      </c>
      <c r="C38" s="1">
        <v>282.2</v>
      </c>
      <c r="D38" s="1">
        <v>10.72</v>
      </c>
      <c r="F38" s="1">
        <f t="shared" si="1"/>
        <v>-6.0912902460248386E-3</v>
      </c>
      <c r="G38" s="1">
        <f t="shared" si="1"/>
        <v>6.7784516589368682E-3</v>
      </c>
      <c r="H38" s="1">
        <f t="shared" si="1"/>
        <v>1.132075471698113E-2</v>
      </c>
      <c r="L38" s="1"/>
      <c r="M38" s="1"/>
      <c r="R38">
        <f t="shared" si="4"/>
        <v>3.6023748389679483E-3</v>
      </c>
      <c r="S38">
        <f t="shared" si="2"/>
        <v>3.6603431286064605E-283</v>
      </c>
      <c r="T38">
        <v>36</v>
      </c>
      <c r="U38">
        <f t="shared" si="3"/>
        <v>461</v>
      </c>
    </row>
    <row r="39" spans="1:21" x14ac:dyDescent="0.25">
      <c r="A39" s="4">
        <v>45348.705555555556</v>
      </c>
      <c r="B39" s="1">
        <v>125.8</v>
      </c>
      <c r="C39" s="1">
        <v>280.42</v>
      </c>
      <c r="D39" s="1">
        <v>10.65</v>
      </c>
      <c r="F39" s="1">
        <f t="shared" si="1"/>
        <v>1.2734797835083356E-3</v>
      </c>
      <c r="G39" s="1">
        <f t="shared" si="1"/>
        <v>-6.3075832742734983E-3</v>
      </c>
      <c r="H39" s="1">
        <f t="shared" si="1"/>
        <v>-6.5298507462686617E-3</v>
      </c>
      <c r="L39" s="1"/>
      <c r="M39" s="1"/>
      <c r="R39">
        <f t="shared" si="4"/>
        <v>-3.4691862711101473E-3</v>
      </c>
      <c r="S39">
        <f t="shared" si="2"/>
        <v>1.3578732325181011E-282</v>
      </c>
      <c r="T39">
        <v>37</v>
      </c>
      <c r="U39">
        <f t="shared" si="3"/>
        <v>460</v>
      </c>
    </row>
    <row r="40" spans="1:21" x14ac:dyDescent="0.25">
      <c r="A40" s="4">
        <v>45349.705555555556</v>
      </c>
      <c r="B40" s="1">
        <v>127.77</v>
      </c>
      <c r="C40" s="1">
        <v>278.2</v>
      </c>
      <c r="D40" s="1">
        <v>10.55</v>
      </c>
      <c r="F40" s="1">
        <f t="shared" si="1"/>
        <v>1.5659777424483323E-2</v>
      </c>
      <c r="G40" s="1">
        <f t="shared" si="1"/>
        <v>-7.9166963839955029E-3</v>
      </c>
      <c r="H40" s="1">
        <f t="shared" si="1"/>
        <v>-9.3896713615022609E-3</v>
      </c>
      <c r="L40" s="1"/>
      <c r="M40" s="1"/>
      <c r="R40">
        <f t="shared" si="4"/>
        <v>-4.9397709630433304E-4</v>
      </c>
      <c r="S40">
        <f t="shared" si="2"/>
        <v>1.1012289154509595E-283</v>
      </c>
      <c r="T40">
        <v>38</v>
      </c>
      <c r="U40">
        <f t="shared" si="3"/>
        <v>459</v>
      </c>
    </row>
    <row r="41" spans="1:21" x14ac:dyDescent="0.25">
      <c r="A41" s="4">
        <v>45350.705555555556</v>
      </c>
      <c r="B41" s="1">
        <v>126.38</v>
      </c>
      <c r="C41" s="1">
        <v>279.95</v>
      </c>
      <c r="D41" s="1">
        <v>10.64</v>
      </c>
      <c r="F41" s="1">
        <f t="shared" si="1"/>
        <v>-1.0878923064882251E-2</v>
      </c>
      <c r="G41" s="1">
        <f t="shared" si="1"/>
        <v>6.2904385334292545E-3</v>
      </c>
      <c r="H41" s="1">
        <f t="shared" si="1"/>
        <v>8.5308056872037685E-3</v>
      </c>
      <c r="L41" s="1"/>
      <c r="M41" s="1"/>
      <c r="R41">
        <f t="shared" si="4"/>
        <v>1.1826963467252319E-3</v>
      </c>
      <c r="S41">
        <f t="shared" si="2"/>
        <v>2.5250529079002754E-282</v>
      </c>
      <c r="T41">
        <v>39</v>
      </c>
      <c r="U41">
        <f t="shared" si="3"/>
        <v>458</v>
      </c>
    </row>
    <row r="42" spans="1:21" x14ac:dyDescent="0.25">
      <c r="A42" s="4">
        <v>45351.705555555556</v>
      </c>
      <c r="B42" s="1">
        <v>125.27</v>
      </c>
      <c r="C42" s="1">
        <v>281.10000000000002</v>
      </c>
      <c r="D42" s="1">
        <v>10.7</v>
      </c>
      <c r="F42" s="1">
        <f t="shared" si="1"/>
        <v>-8.7830352903940367E-3</v>
      </c>
      <c r="G42" s="1">
        <f t="shared" si="1"/>
        <v>4.1078764065012319E-3</v>
      </c>
      <c r="H42" s="1">
        <f t="shared" si="1"/>
        <v>5.639097744360777E-3</v>
      </c>
      <c r="L42" s="1"/>
      <c r="M42" s="1"/>
      <c r="R42">
        <f t="shared" si="4"/>
        <v>2.8918165814039169E-4</v>
      </c>
      <c r="S42">
        <f t="shared" si="2"/>
        <v>6.0384496627155267E-283</v>
      </c>
      <c r="T42">
        <v>40</v>
      </c>
      <c r="U42">
        <f t="shared" si="3"/>
        <v>457</v>
      </c>
    </row>
    <row r="43" spans="1:21" x14ac:dyDescent="0.25">
      <c r="A43" s="4">
        <v>45352.705555555556</v>
      </c>
      <c r="B43" s="1">
        <v>125.39</v>
      </c>
      <c r="C43" s="1">
        <v>282.74</v>
      </c>
      <c r="D43" s="1">
        <v>10.87</v>
      </c>
      <c r="F43" s="1">
        <f t="shared" si="1"/>
        <v>9.5793086932238758E-4</v>
      </c>
      <c r="G43" s="1">
        <f t="shared" si="1"/>
        <v>5.8342226965493182E-3</v>
      </c>
      <c r="H43" s="1">
        <f t="shared" si="1"/>
        <v>1.5887850467289688E-2</v>
      </c>
      <c r="L43" s="1"/>
      <c r="M43" s="1"/>
      <c r="R43">
        <f t="shared" si="4"/>
        <v>6.8040012099484185E-3</v>
      </c>
      <c r="S43">
        <f t="shared" si="2"/>
        <v>1.3371271859141641E-279</v>
      </c>
      <c r="T43">
        <v>41</v>
      </c>
      <c r="U43">
        <f t="shared" si="3"/>
        <v>456</v>
      </c>
    </row>
    <row r="44" spans="1:21" x14ac:dyDescent="0.25">
      <c r="A44" s="4">
        <v>45355.705555555556</v>
      </c>
      <c r="B44" s="1">
        <v>124.61</v>
      </c>
      <c r="C44" s="1">
        <v>282.33999999999997</v>
      </c>
      <c r="D44" s="1">
        <v>11.04</v>
      </c>
      <c r="F44" s="1">
        <f t="shared" si="1"/>
        <v>-6.220591753728355E-3</v>
      </c>
      <c r="G44" s="1">
        <f t="shared" si="1"/>
        <v>-1.4147273113108705E-3</v>
      </c>
      <c r="H44" s="1">
        <f t="shared" si="1"/>
        <v>1.5639374425022945E-2</v>
      </c>
      <c r="L44" s="1"/>
      <c r="M44" s="1"/>
      <c r="R44">
        <f t="shared" si="4"/>
        <v>2.4012166079951168E-3</v>
      </c>
      <c r="S44">
        <f t="shared" si="2"/>
        <v>6.6614170263570065E-280</v>
      </c>
      <c r="T44">
        <v>42</v>
      </c>
      <c r="U44">
        <f t="shared" si="3"/>
        <v>455</v>
      </c>
    </row>
    <row r="45" spans="1:21" x14ac:dyDescent="0.25">
      <c r="A45" s="4">
        <v>45356.705555555556</v>
      </c>
      <c r="B45" s="1">
        <v>124.35</v>
      </c>
      <c r="C45" s="1">
        <v>279.86</v>
      </c>
      <c r="D45" s="1">
        <v>11.14</v>
      </c>
      <c r="F45" s="1">
        <f t="shared" si="1"/>
        <v>-2.0865099109220742E-3</v>
      </c>
      <c r="G45" s="1">
        <f t="shared" si="1"/>
        <v>-8.7837359212296073E-3</v>
      </c>
      <c r="H45" s="1">
        <f t="shared" si="1"/>
        <v>9.0579710144929049E-3</v>
      </c>
      <c r="L45" s="1"/>
      <c r="M45" s="1"/>
      <c r="R45">
        <f t="shared" si="4"/>
        <v>-5.4368244529763229E-4</v>
      </c>
      <c r="S45">
        <f t="shared" si="2"/>
        <v>1.3660121371393416E-280</v>
      </c>
      <c r="T45">
        <v>43</v>
      </c>
      <c r="U45">
        <f t="shared" si="3"/>
        <v>454</v>
      </c>
    </row>
    <row r="46" spans="1:21" x14ac:dyDescent="0.25">
      <c r="A46" s="4">
        <v>45357.705555555556</v>
      </c>
      <c r="B46" s="1">
        <v>125.09</v>
      </c>
      <c r="C46" s="1">
        <v>280.42</v>
      </c>
      <c r="D46" s="1">
        <v>11.19</v>
      </c>
      <c r="F46" s="1">
        <f t="shared" si="1"/>
        <v>5.9509449135506376E-3</v>
      </c>
      <c r="G46" s="1">
        <f t="shared" si="1"/>
        <v>2.0010005002502051E-3</v>
      </c>
      <c r="H46" s="1">
        <f t="shared" si="1"/>
        <v>4.488330341112956E-3</v>
      </c>
      <c r="L46" s="1"/>
      <c r="M46" s="1"/>
      <c r="R46">
        <f t="shared" si="4"/>
        <v>3.7320827264741398E-3</v>
      </c>
      <c r="S46">
        <f t="shared" si="2"/>
        <v>2.5746989280550983E-278</v>
      </c>
      <c r="T46">
        <v>44</v>
      </c>
      <c r="U46">
        <f t="shared" si="3"/>
        <v>453</v>
      </c>
    </row>
    <row r="47" spans="1:21" x14ac:dyDescent="0.25">
      <c r="A47" s="4">
        <v>45358.705555555556</v>
      </c>
      <c r="B47" s="1">
        <v>124.6</v>
      </c>
      <c r="C47" s="1">
        <v>282.62</v>
      </c>
      <c r="D47" s="1">
        <v>11.23</v>
      </c>
      <c r="F47" s="1">
        <f t="shared" si="1"/>
        <v>-3.9171796306659568E-3</v>
      </c>
      <c r="G47" s="1">
        <f t="shared" si="1"/>
        <v>7.8453747949502883E-3</v>
      </c>
      <c r="H47" s="1">
        <f t="shared" si="1"/>
        <v>3.5746201966042612E-3</v>
      </c>
      <c r="L47" s="1"/>
      <c r="M47" s="1"/>
      <c r="R47">
        <f t="shared" si="4"/>
        <v>2.2508446082665778E-3</v>
      </c>
      <c r="S47">
        <f t="shared" si="2"/>
        <v>3.7460618792925827E-278</v>
      </c>
      <c r="T47">
        <v>45</v>
      </c>
      <c r="U47">
        <f t="shared" si="3"/>
        <v>452</v>
      </c>
    </row>
    <row r="48" spans="1:21" x14ac:dyDescent="0.25">
      <c r="A48" s="4">
        <v>45359.705555555556</v>
      </c>
      <c r="B48" s="1">
        <v>123.38</v>
      </c>
      <c r="C48" s="1">
        <v>283.75</v>
      </c>
      <c r="D48" s="1">
        <v>11.43</v>
      </c>
      <c r="F48" s="1">
        <f t="shared" si="1"/>
        <v>-9.7913322632423583E-3</v>
      </c>
      <c r="G48" s="1">
        <f t="shared" si="1"/>
        <v>3.9983016063973587E-3</v>
      </c>
      <c r="H48" s="1">
        <f t="shared" si="1"/>
        <v>1.780943900267129E-2</v>
      </c>
      <c r="L48" s="1"/>
      <c r="M48" s="1"/>
      <c r="R48">
        <f t="shared" si="4"/>
        <v>3.604922503747888E-3</v>
      </c>
      <c r="S48">
        <f t="shared" si="2"/>
        <v>3.8435786917041279E-277</v>
      </c>
      <c r="T48">
        <v>46</v>
      </c>
      <c r="U48">
        <f t="shared" si="3"/>
        <v>451</v>
      </c>
    </row>
    <row r="49" spans="1:21" x14ac:dyDescent="0.25">
      <c r="A49" s="4">
        <v>45362.705555555556</v>
      </c>
      <c r="B49" s="1">
        <v>122.45</v>
      </c>
      <c r="C49" s="1">
        <v>283.25</v>
      </c>
      <c r="D49" s="1">
        <v>11.44</v>
      </c>
      <c r="F49" s="1">
        <f t="shared" si="1"/>
        <v>-7.5376884422110324E-3</v>
      </c>
      <c r="G49" s="1">
        <f t="shared" si="1"/>
        <v>-1.7621145374449032E-3</v>
      </c>
      <c r="H49" s="1">
        <f t="shared" si="1"/>
        <v>8.7489063867018935E-4</v>
      </c>
      <c r="L49" s="1"/>
      <c r="M49" s="1"/>
      <c r="R49">
        <f t="shared" si="4"/>
        <v>-2.5274737022957239E-3</v>
      </c>
      <c r="S49">
        <f t="shared" si="2"/>
        <v>7.5574832542559396E-277</v>
      </c>
      <c r="T49">
        <v>47</v>
      </c>
      <c r="U49">
        <f t="shared" si="3"/>
        <v>450</v>
      </c>
    </row>
    <row r="50" spans="1:21" x14ac:dyDescent="0.25">
      <c r="A50" s="4">
        <v>45363.705555555556</v>
      </c>
      <c r="B50" s="1">
        <v>123.89</v>
      </c>
      <c r="C50" s="1">
        <v>286.24</v>
      </c>
      <c r="D50" s="1">
        <v>11.3</v>
      </c>
      <c r="F50" s="1">
        <f t="shared" si="1"/>
        <v>1.1759902000816558E-2</v>
      </c>
      <c r="G50" s="1">
        <f t="shared" si="1"/>
        <v>1.0556045895851796E-2</v>
      </c>
      <c r="H50" s="1">
        <f t="shared" si="1"/>
        <v>-1.2237762237762184E-2</v>
      </c>
      <c r="L50" s="1"/>
      <c r="M50" s="1"/>
      <c r="R50">
        <f t="shared" si="4"/>
        <v>3.0234556976718504E-3</v>
      </c>
      <c r="S50">
        <f t="shared" si="2"/>
        <v>4.3258465765931373E-276</v>
      </c>
      <c r="T50">
        <v>48</v>
      </c>
      <c r="U50">
        <f t="shared" si="3"/>
        <v>449</v>
      </c>
    </row>
    <row r="51" spans="1:21" x14ac:dyDescent="0.25">
      <c r="A51" s="4">
        <v>45364.705555555556</v>
      </c>
      <c r="B51" s="1">
        <v>124.24</v>
      </c>
      <c r="C51" s="1">
        <v>285.57</v>
      </c>
      <c r="D51" s="1">
        <v>11.39</v>
      </c>
      <c r="F51" s="1">
        <f t="shared" si="1"/>
        <v>2.8250867705221783E-3</v>
      </c>
      <c r="G51" s="1">
        <f t="shared" si="1"/>
        <v>-2.3406931246506835E-3</v>
      </c>
      <c r="H51" s="1">
        <f t="shared" si="1"/>
        <v>7.964601769911539E-3</v>
      </c>
      <c r="L51" s="1"/>
      <c r="M51" s="1"/>
      <c r="R51">
        <f t="shared" si="4"/>
        <v>2.5346986247349107E-3</v>
      </c>
      <c r="S51">
        <f t="shared" si="2"/>
        <v>1.2161203153895974E-275</v>
      </c>
      <c r="T51">
        <v>49</v>
      </c>
      <c r="U51">
        <f t="shared" si="3"/>
        <v>448</v>
      </c>
    </row>
    <row r="52" spans="1:21" x14ac:dyDescent="0.25">
      <c r="A52" s="4">
        <v>45365.705555555556</v>
      </c>
      <c r="B52" s="1">
        <v>123.95</v>
      </c>
      <c r="C52" s="1">
        <v>285.75</v>
      </c>
      <c r="D52" s="1">
        <v>11.37</v>
      </c>
      <c r="F52" s="1">
        <f t="shared" si="1"/>
        <v>-2.3341918866709443E-3</v>
      </c>
      <c r="G52" s="1">
        <f t="shared" si="1"/>
        <v>6.3031831074700229E-4</v>
      </c>
      <c r="H52" s="1">
        <f t="shared" si="1"/>
        <v>-1.7559262510975504E-3</v>
      </c>
      <c r="L52" s="1"/>
      <c r="M52" s="1"/>
      <c r="R52">
        <f t="shared" si="4"/>
        <v>-1.0379399481064478E-3</v>
      </c>
      <c r="S52">
        <f t="shared" si="2"/>
        <v>8.1569599712442348E-276</v>
      </c>
      <c r="T52">
        <v>50</v>
      </c>
      <c r="U52">
        <f t="shared" si="3"/>
        <v>447</v>
      </c>
    </row>
    <row r="53" spans="1:21" x14ac:dyDescent="0.25">
      <c r="A53" s="4">
        <v>45366.705555555556</v>
      </c>
      <c r="B53" s="1">
        <v>123.04</v>
      </c>
      <c r="C53" s="1">
        <v>284.39999999999998</v>
      </c>
      <c r="D53" s="1">
        <v>11.35</v>
      </c>
      <c r="F53" s="1">
        <f t="shared" si="1"/>
        <v>-7.3416700282371572E-3</v>
      </c>
      <c r="G53" s="1">
        <f t="shared" si="1"/>
        <v>-4.7244094488190225E-3</v>
      </c>
      <c r="H53" s="1">
        <f t="shared" si="1"/>
        <v>-1.7590149516270026E-3</v>
      </c>
      <c r="L53" s="1"/>
      <c r="M53" s="1"/>
      <c r="R53">
        <f t="shared" si="4"/>
        <v>-4.1475283286049542E-3</v>
      </c>
      <c r="S53">
        <f t="shared" si="2"/>
        <v>5.2098184547477469E-274</v>
      </c>
      <c r="T53">
        <v>51</v>
      </c>
      <c r="U53">
        <f t="shared" si="3"/>
        <v>446</v>
      </c>
    </row>
    <row r="54" spans="1:21" x14ac:dyDescent="0.25">
      <c r="A54" s="4">
        <v>45369.705555555556</v>
      </c>
      <c r="B54" s="1">
        <v>123.23</v>
      </c>
      <c r="C54" s="1">
        <v>288</v>
      </c>
      <c r="D54" s="1">
        <v>11.42</v>
      </c>
      <c r="F54" s="1">
        <f t="shared" si="1"/>
        <v>1.5442132639791328E-3</v>
      </c>
      <c r="G54" s="1">
        <f t="shared" si="1"/>
        <v>1.2658227848101333E-2</v>
      </c>
      <c r="H54" s="1">
        <f t="shared" si="1"/>
        <v>6.1674008810572722E-3</v>
      </c>
      <c r="L54" s="1"/>
      <c r="M54" s="1"/>
      <c r="R54">
        <f t="shared" si="4"/>
        <v>6.1109525979413225E-3</v>
      </c>
      <c r="S54">
        <f t="shared" si="2"/>
        <v>4.5239905488640066E-273</v>
      </c>
      <c r="T54">
        <v>52</v>
      </c>
      <c r="U54">
        <f t="shared" si="3"/>
        <v>445</v>
      </c>
    </row>
    <row r="55" spans="1:21" x14ac:dyDescent="0.25">
      <c r="A55" s="4">
        <v>45370.705555555556</v>
      </c>
      <c r="B55" s="1">
        <v>123.78</v>
      </c>
      <c r="C55" s="1">
        <v>289.52</v>
      </c>
      <c r="D55" s="1">
        <v>11.43</v>
      </c>
      <c r="F55" s="1">
        <f t="shared" si="1"/>
        <v>4.4631988963725888E-3</v>
      </c>
      <c r="G55" s="1">
        <f t="shared" si="1"/>
        <v>5.2777777777777146E-3</v>
      </c>
      <c r="H55" s="1">
        <f t="shared" si="1"/>
        <v>8.756567425569628E-4</v>
      </c>
      <c r="L55" s="1"/>
      <c r="M55" s="1"/>
      <c r="R55">
        <f t="shared" si="4"/>
        <v>3.1849900250121802E-3</v>
      </c>
      <c r="S55">
        <f t="shared" si="2"/>
        <v>4.9156392515190604E-273</v>
      </c>
      <c r="T55">
        <v>53</v>
      </c>
      <c r="U55">
        <f t="shared" si="3"/>
        <v>444</v>
      </c>
    </row>
    <row r="56" spans="1:21" x14ac:dyDescent="0.25">
      <c r="A56" s="4">
        <v>45371.705555555556</v>
      </c>
      <c r="B56" s="1">
        <v>125.31</v>
      </c>
      <c r="C56" s="1">
        <v>288.75</v>
      </c>
      <c r="D56" s="1">
        <v>11.43</v>
      </c>
      <c r="F56" s="1">
        <f t="shared" si="1"/>
        <v>1.2360639844886112E-2</v>
      </c>
      <c r="G56" s="1">
        <f t="shared" si="1"/>
        <v>-2.6595744680850686E-3</v>
      </c>
      <c r="H56" s="1">
        <f t="shared" si="1"/>
        <v>0</v>
      </c>
      <c r="L56" s="1"/>
      <c r="M56" s="1"/>
      <c r="R56">
        <f t="shared" si="4"/>
        <v>2.9103196130403131E-3</v>
      </c>
      <c r="S56">
        <f t="shared" si="2"/>
        <v>1.6417431536539935E-272</v>
      </c>
      <c r="T56">
        <v>54</v>
      </c>
      <c r="U56">
        <f t="shared" si="3"/>
        <v>443</v>
      </c>
    </row>
    <row r="57" spans="1:21" x14ac:dyDescent="0.25">
      <c r="A57" s="4">
        <v>45372.705555555556</v>
      </c>
      <c r="B57" s="1">
        <v>124.43</v>
      </c>
      <c r="C57" s="1">
        <v>289.3</v>
      </c>
      <c r="D57" s="1">
        <v>11.43</v>
      </c>
      <c r="F57" s="1">
        <f t="shared" si="1"/>
        <v>-7.0225839917005262E-3</v>
      </c>
      <c r="G57" s="1">
        <f t="shared" si="1"/>
        <v>1.9047619047618536E-3</v>
      </c>
      <c r="H57" s="1">
        <f t="shared" si="1"/>
        <v>0</v>
      </c>
      <c r="L57" s="1"/>
      <c r="M57" s="1"/>
      <c r="R57">
        <f t="shared" si="4"/>
        <v>-1.5353466260816019E-3</v>
      </c>
      <c r="S57">
        <f t="shared" si="2"/>
        <v>1.8276654875259842E-272</v>
      </c>
      <c r="T57">
        <v>55</v>
      </c>
      <c r="U57">
        <f t="shared" si="3"/>
        <v>442</v>
      </c>
    </row>
    <row r="58" spans="1:21" x14ac:dyDescent="0.25">
      <c r="A58" s="4">
        <v>45373.705555555556</v>
      </c>
      <c r="B58" s="1">
        <v>123.35</v>
      </c>
      <c r="C58" s="1">
        <v>290.62</v>
      </c>
      <c r="D58" s="1">
        <v>11.38</v>
      </c>
      <c r="F58" s="1">
        <f t="shared" si="1"/>
        <v>-8.6795788796915074E-3</v>
      </c>
      <c r="G58" s="1">
        <f t="shared" si="1"/>
        <v>4.5627376425856347E-3</v>
      </c>
      <c r="H58" s="1">
        <f t="shared" si="1"/>
        <v>-4.3744531933507247E-3</v>
      </c>
      <c r="L58" s="1"/>
      <c r="M58" s="1"/>
      <c r="R58">
        <f t="shared" si="4"/>
        <v>-2.5473883291369792E-3</v>
      </c>
      <c r="S58">
        <f t="shared" si="2"/>
        <v>2.012491866709267E-271</v>
      </c>
      <c r="T58">
        <v>56</v>
      </c>
      <c r="U58">
        <f t="shared" si="3"/>
        <v>441</v>
      </c>
    </row>
    <row r="59" spans="1:21" x14ac:dyDescent="0.25">
      <c r="A59" s="4">
        <v>45376.705555555556</v>
      </c>
      <c r="B59" s="1">
        <v>123.23</v>
      </c>
      <c r="C59" s="1">
        <v>288.33</v>
      </c>
      <c r="D59" s="1">
        <v>11.37</v>
      </c>
      <c r="F59" s="1">
        <f t="shared" si="1"/>
        <v>-9.7284150790422075E-4</v>
      </c>
      <c r="G59" s="1">
        <f t="shared" si="1"/>
        <v>-7.8797054572982139E-3</v>
      </c>
      <c r="H59" s="1">
        <f t="shared" si="1"/>
        <v>-8.7873462214427267E-4</v>
      </c>
      <c r="L59" s="1"/>
      <c r="M59" s="1"/>
      <c r="R59">
        <f t="shared" si="4"/>
        <v>-2.9193844762040125E-3</v>
      </c>
      <c r="S59">
        <f t="shared" si="2"/>
        <v>1.0572712052474294E-270</v>
      </c>
      <c r="T59">
        <v>57</v>
      </c>
      <c r="U59">
        <f t="shared" si="3"/>
        <v>440</v>
      </c>
    </row>
    <row r="60" spans="1:21" x14ac:dyDescent="0.25">
      <c r="A60" s="4">
        <v>45377.705555555556</v>
      </c>
      <c r="B60" s="1">
        <v>123.17</v>
      </c>
      <c r="C60" s="1">
        <v>288</v>
      </c>
      <c r="D60" s="1">
        <v>11.42</v>
      </c>
      <c r="F60" s="1">
        <f t="shared" si="1"/>
        <v>-4.8689442505889247E-4</v>
      </c>
      <c r="G60" s="1">
        <f t="shared" si="1"/>
        <v>-1.1445219019872166E-3</v>
      </c>
      <c r="H60" s="1">
        <f t="shared" si="1"/>
        <v>4.3975373790678951E-3</v>
      </c>
      <c r="L60" s="1"/>
      <c r="M60" s="1"/>
      <c r="R60">
        <f t="shared" si="4"/>
        <v>8.2983631560653616E-4</v>
      </c>
      <c r="S60">
        <f t="shared" si="2"/>
        <v>3.4170291237339037E-271</v>
      </c>
      <c r="T60">
        <v>58</v>
      </c>
      <c r="U60">
        <f t="shared" si="3"/>
        <v>439</v>
      </c>
    </row>
    <row r="61" spans="1:21" x14ac:dyDescent="0.25">
      <c r="A61" s="4">
        <v>45378.705555555556</v>
      </c>
      <c r="B61" s="1">
        <v>123.95</v>
      </c>
      <c r="C61" s="1">
        <v>290.66000000000003</v>
      </c>
      <c r="D61" s="1">
        <v>11.51</v>
      </c>
      <c r="F61" s="1">
        <f t="shared" si="1"/>
        <v>6.3327108873914018E-3</v>
      </c>
      <c r="G61" s="1">
        <f t="shared" si="1"/>
        <v>9.2361111111112226E-3</v>
      </c>
      <c r="H61" s="1">
        <f t="shared" si="1"/>
        <v>7.8809106830122211E-3</v>
      </c>
      <c r="L61" s="1"/>
      <c r="M61" s="1"/>
      <c r="R61">
        <f t="shared" si="4"/>
        <v>7.0349198044544533E-3</v>
      </c>
      <c r="S61">
        <f t="shared" si="2"/>
        <v>9.8229537751731059E-269</v>
      </c>
      <c r="T61">
        <v>59</v>
      </c>
      <c r="U61">
        <f t="shared" si="3"/>
        <v>438</v>
      </c>
    </row>
    <row r="62" spans="1:21" x14ac:dyDescent="0.25">
      <c r="A62" s="4">
        <v>45379.705555555556</v>
      </c>
      <c r="B62" s="1">
        <v>124.37</v>
      </c>
      <c r="C62" s="1">
        <v>292.60000000000002</v>
      </c>
      <c r="D62" s="1">
        <v>11.72</v>
      </c>
      <c r="F62" s="1">
        <f t="shared" si="1"/>
        <v>3.3884630899556623E-3</v>
      </c>
      <c r="G62" s="1">
        <f t="shared" si="1"/>
        <v>6.6744650106653758E-3</v>
      </c>
      <c r="H62" s="1">
        <f t="shared" si="1"/>
        <v>1.8245004344048743E-2</v>
      </c>
      <c r="L62" s="1"/>
      <c r="M62" s="1"/>
      <c r="R62">
        <f t="shared" si="4"/>
        <v>8.492379733400935E-3</v>
      </c>
      <c r="S62">
        <f t="shared" si="2"/>
        <v>5.7258847211043443E-268</v>
      </c>
      <c r="T62">
        <v>60</v>
      </c>
      <c r="U62">
        <f t="shared" si="3"/>
        <v>437</v>
      </c>
    </row>
    <row r="63" spans="1:21" x14ac:dyDescent="0.25">
      <c r="A63" s="4">
        <v>45383.705555555556</v>
      </c>
      <c r="B63" s="1">
        <v>123.32</v>
      </c>
      <c r="C63" s="1">
        <v>294.7</v>
      </c>
      <c r="D63" s="1">
        <v>11.95</v>
      </c>
      <c r="F63" s="1">
        <f t="shared" si="1"/>
        <v>-8.4425504542897656E-3</v>
      </c>
      <c r="G63" s="1">
        <f t="shared" si="1"/>
        <v>7.1770334928229484E-3</v>
      </c>
      <c r="H63" s="1">
        <f t="shared" si="1"/>
        <v>1.9624573378839383E-2</v>
      </c>
      <c r="L63" s="1"/>
      <c r="M63" s="1"/>
      <c r="R63">
        <f t="shared" si="4"/>
        <v>5.5077169252117711E-3</v>
      </c>
      <c r="S63">
        <f t="shared" si="2"/>
        <v>9.6335643629949276E-268</v>
      </c>
      <c r="T63">
        <v>61</v>
      </c>
      <c r="U63">
        <f t="shared" si="3"/>
        <v>436</v>
      </c>
    </row>
    <row r="64" spans="1:21" x14ac:dyDescent="0.25">
      <c r="A64" s="4">
        <v>45384.705555555556</v>
      </c>
      <c r="B64" s="1">
        <v>123.82</v>
      </c>
      <c r="C64" s="1">
        <v>292.7</v>
      </c>
      <c r="D64" s="1">
        <v>12.14</v>
      </c>
      <c r="F64" s="1">
        <f t="shared" si="1"/>
        <v>4.0544923775542863E-3</v>
      </c>
      <c r="G64" s="1">
        <f t="shared" si="1"/>
        <v>-6.7865626060400475E-3</v>
      </c>
      <c r="H64" s="1">
        <f t="shared" si="1"/>
        <v>1.58995815899583E-2</v>
      </c>
      <c r="L64" s="1"/>
      <c r="M64" s="1"/>
      <c r="R64">
        <f t="shared" si="4"/>
        <v>3.9502534084417621E-3</v>
      </c>
      <c r="S64">
        <f t="shared" si="2"/>
        <v>1.9822283597073698E-267</v>
      </c>
      <c r="T64">
        <v>62</v>
      </c>
      <c r="U64">
        <f t="shared" si="3"/>
        <v>435</v>
      </c>
    </row>
    <row r="65" spans="1:21" x14ac:dyDescent="0.25">
      <c r="A65" s="4">
        <v>45385.705555555556</v>
      </c>
      <c r="B65" s="1">
        <v>123.62</v>
      </c>
      <c r="C65" s="1">
        <v>291.95</v>
      </c>
      <c r="D65" s="1">
        <v>12.16</v>
      </c>
      <c r="F65" s="1">
        <f t="shared" si="1"/>
        <v>-1.6152479405587838E-3</v>
      </c>
      <c r="G65" s="1">
        <f t="shared" si="1"/>
        <v>-2.5623505295524485E-3</v>
      </c>
      <c r="H65" s="1">
        <f t="shared" si="1"/>
        <v>1.6474464579900872E-3</v>
      </c>
      <c r="L65" s="1"/>
      <c r="M65" s="1"/>
      <c r="R65">
        <f t="shared" si="4"/>
        <v>-7.5904560363634357E-4</v>
      </c>
      <c r="S65">
        <f t="shared" si="2"/>
        <v>2.9275175147563845E-268</v>
      </c>
      <c r="T65">
        <v>63</v>
      </c>
      <c r="U65">
        <f t="shared" si="3"/>
        <v>434</v>
      </c>
    </row>
    <row r="66" spans="1:21" x14ac:dyDescent="0.25">
      <c r="A66" s="4">
        <v>45386.705555555556</v>
      </c>
      <c r="B66" s="1">
        <v>123.72</v>
      </c>
      <c r="C66" s="1">
        <v>289.01</v>
      </c>
      <c r="D66" s="1">
        <v>12.16</v>
      </c>
      <c r="F66" s="1">
        <f t="shared" si="1"/>
        <v>8.0893059375508614E-4</v>
      </c>
      <c r="G66" s="1">
        <f t="shared" si="1"/>
        <v>-1.0070217502997081E-2</v>
      </c>
      <c r="H66" s="1">
        <f t="shared" si="1"/>
        <v>0</v>
      </c>
      <c r="L66" s="1"/>
      <c r="M66" s="1"/>
      <c r="R66">
        <f t="shared" si="4"/>
        <v>-2.7783860727725986E-3</v>
      </c>
      <c r="S66">
        <f t="shared" si="2"/>
        <v>1.5689494151581271E-266</v>
      </c>
      <c r="T66">
        <v>64</v>
      </c>
      <c r="U66">
        <f t="shared" si="3"/>
        <v>433</v>
      </c>
    </row>
    <row r="67" spans="1:21" x14ac:dyDescent="0.25">
      <c r="A67" s="4">
        <v>45387.705555555556</v>
      </c>
      <c r="B67" s="1">
        <v>123.12</v>
      </c>
      <c r="C67" s="1">
        <v>292.81</v>
      </c>
      <c r="D67" s="1">
        <v>12.43</v>
      </c>
      <c r="F67" s="1">
        <f t="shared" si="1"/>
        <v>-4.8496605237633439E-3</v>
      </c>
      <c r="G67" s="1">
        <f t="shared" si="1"/>
        <v>1.3148333967682779E-2</v>
      </c>
      <c r="H67" s="1">
        <f t="shared" si="1"/>
        <v>2.2203947368421018E-2</v>
      </c>
      <c r="L67" s="1"/>
      <c r="M67" s="1"/>
      <c r="R67">
        <f t="shared" si="4"/>
        <v>9.1507862437021359E-3</v>
      </c>
      <c r="S67">
        <f t="shared" si="2"/>
        <v>6.8077024841873882E-265</v>
      </c>
      <c r="T67">
        <v>65</v>
      </c>
      <c r="U67">
        <f t="shared" si="3"/>
        <v>432</v>
      </c>
    </row>
    <row r="68" spans="1:21" x14ac:dyDescent="0.25">
      <c r="A68" s="4">
        <v>45390.705555555556</v>
      </c>
      <c r="B68" s="1">
        <v>125.06</v>
      </c>
      <c r="C68" s="1">
        <v>291</v>
      </c>
      <c r="D68" s="1">
        <v>12.4</v>
      </c>
      <c r="F68" s="1">
        <f t="shared" ref="F68:H131" si="5">(B68/B67)-1</f>
        <v>1.5756985055230599E-2</v>
      </c>
      <c r="G68" s="1">
        <f t="shared" si="5"/>
        <v>-6.1814828728526949E-3</v>
      </c>
      <c r="H68" s="1">
        <f t="shared" si="5"/>
        <v>-2.4135156878519748E-3</v>
      </c>
      <c r="L68" s="1"/>
      <c r="M68" s="1"/>
      <c r="R68">
        <f t="shared" si="4"/>
        <v>2.1485959483577787E-3</v>
      </c>
      <c r="S68">
        <f t="shared" ref="S68:S131" si="6">(R68^2)*((1-$P$2)^U68)</f>
        <v>1.5012507678064819E-265</v>
      </c>
      <c r="T68">
        <v>66</v>
      </c>
      <c r="U68">
        <f t="shared" ref="U68:U131" si="7">497-T68</f>
        <v>431</v>
      </c>
    </row>
    <row r="69" spans="1:21" x14ac:dyDescent="0.25">
      <c r="A69" s="4">
        <v>45391.705555555556</v>
      </c>
      <c r="B69" s="1">
        <v>126.09</v>
      </c>
      <c r="C69" s="1">
        <v>290.2</v>
      </c>
      <c r="D69" s="1">
        <v>12.41</v>
      </c>
      <c r="F69" s="1">
        <f t="shared" si="5"/>
        <v>8.2360466975852642E-3</v>
      </c>
      <c r="G69" s="1">
        <f t="shared" si="5"/>
        <v>-2.7491408934707806E-3</v>
      </c>
      <c r="H69" s="1">
        <f t="shared" si="5"/>
        <v>8.0645161290315848E-4</v>
      </c>
      <c r="L69" s="1"/>
      <c r="M69" s="1"/>
      <c r="R69">
        <f t="shared" ref="R69:R132" si="8">$L$2*F69+G69*$L$3+H69*$L$4</f>
        <v>1.8880072251052926E-3</v>
      </c>
      <c r="S69">
        <f t="shared" si="6"/>
        <v>4.6367217310400257E-265</v>
      </c>
      <c r="T69">
        <v>67</v>
      </c>
      <c r="U69">
        <f t="shared" si="7"/>
        <v>430</v>
      </c>
    </row>
    <row r="70" spans="1:21" x14ac:dyDescent="0.25">
      <c r="A70" s="4">
        <v>45392.705555555556</v>
      </c>
      <c r="B70" s="1">
        <v>124.37</v>
      </c>
      <c r="C70" s="1">
        <v>291</v>
      </c>
      <c r="D70" s="1">
        <v>12.44</v>
      </c>
      <c r="F70" s="1">
        <f t="shared" si="5"/>
        <v>-1.3641050043619596E-2</v>
      </c>
      <c r="G70" s="1">
        <f t="shared" si="5"/>
        <v>2.7567195037905279E-3</v>
      </c>
      <c r="H70" s="1">
        <f t="shared" si="5"/>
        <v>2.4174053182917099E-3</v>
      </c>
      <c r="L70" s="1"/>
      <c r="M70" s="1"/>
      <c r="R70">
        <f t="shared" si="8"/>
        <v>-2.5400775664612069E-3</v>
      </c>
      <c r="S70">
        <f t="shared" si="6"/>
        <v>3.3570489827299429E-264</v>
      </c>
      <c r="T70">
        <v>68</v>
      </c>
      <c r="U70">
        <f t="shared" si="7"/>
        <v>429</v>
      </c>
    </row>
    <row r="71" spans="1:21" x14ac:dyDescent="0.25">
      <c r="A71" s="4">
        <v>45393.705555555556</v>
      </c>
      <c r="B71" s="1">
        <v>123.7</v>
      </c>
      <c r="C71" s="1">
        <v>294.10000000000002</v>
      </c>
      <c r="D71" s="1">
        <v>12.71</v>
      </c>
      <c r="F71" s="1">
        <f t="shared" si="5"/>
        <v>-5.387151242260968E-3</v>
      </c>
      <c r="G71" s="1">
        <f t="shared" si="5"/>
        <v>1.0652920962199497E-2</v>
      </c>
      <c r="H71" s="1">
        <f t="shared" si="5"/>
        <v>2.1704180064308742E-2</v>
      </c>
      <c r="L71" s="1"/>
      <c r="M71" s="1"/>
      <c r="R71">
        <f t="shared" si="8"/>
        <v>8.0909849352741835E-3</v>
      </c>
      <c r="S71">
        <f t="shared" si="6"/>
        <v>1.3624685830636142E-262</v>
      </c>
      <c r="T71">
        <v>69</v>
      </c>
      <c r="U71">
        <f t="shared" si="7"/>
        <v>428</v>
      </c>
    </row>
    <row r="72" spans="1:21" x14ac:dyDescent="0.25">
      <c r="A72" s="4">
        <v>45394.705555555556</v>
      </c>
      <c r="B72" s="1">
        <v>122.31</v>
      </c>
      <c r="C72" s="1">
        <v>292.10000000000002</v>
      </c>
      <c r="D72" s="1">
        <v>12.64</v>
      </c>
      <c r="F72" s="1">
        <f t="shared" si="5"/>
        <v>-1.1236863379143092E-2</v>
      </c>
      <c r="G72" s="1">
        <f t="shared" si="5"/>
        <v>-6.8004080244814524E-3</v>
      </c>
      <c r="H72" s="1">
        <f t="shared" si="5"/>
        <v>-5.5074744295829925E-3</v>
      </c>
      <c r="L72" s="1"/>
      <c r="M72" s="1"/>
      <c r="R72">
        <f t="shared" si="8"/>
        <v>-7.0634237499622608E-3</v>
      </c>
      <c r="S72">
        <f t="shared" si="6"/>
        <v>4.1535001027325714E-262</v>
      </c>
      <c r="T72">
        <v>70</v>
      </c>
      <c r="U72">
        <f t="shared" si="7"/>
        <v>427</v>
      </c>
    </row>
    <row r="73" spans="1:21" x14ac:dyDescent="0.25">
      <c r="A73" s="4">
        <v>45397.705555555556</v>
      </c>
      <c r="B73" s="1">
        <v>121.7</v>
      </c>
      <c r="C73" s="1">
        <v>291.55</v>
      </c>
      <c r="D73" s="1">
        <v>13.04</v>
      </c>
      <c r="F73" s="1">
        <f t="shared" si="5"/>
        <v>-4.9873272831330029E-3</v>
      </c>
      <c r="G73" s="1">
        <f t="shared" si="5"/>
        <v>-1.882916809311963E-3</v>
      </c>
      <c r="H73" s="1">
        <f t="shared" si="5"/>
        <v>3.1645569620253111E-2</v>
      </c>
      <c r="L73" s="1"/>
      <c r="M73" s="1"/>
      <c r="R73">
        <f t="shared" si="8"/>
        <v>7.4325976583424439E-3</v>
      </c>
      <c r="S73">
        <f t="shared" si="6"/>
        <v>1.8396065307120032E-261</v>
      </c>
      <c r="T73">
        <v>71</v>
      </c>
      <c r="U73">
        <f t="shared" si="7"/>
        <v>426</v>
      </c>
    </row>
    <row r="74" spans="1:21" x14ac:dyDescent="0.25">
      <c r="A74" s="4">
        <v>45398.705555555556</v>
      </c>
      <c r="B74" s="1">
        <v>120.79</v>
      </c>
      <c r="C74" s="1">
        <v>295.81</v>
      </c>
      <c r="D74" s="1">
        <v>13.26</v>
      </c>
      <c r="F74" s="1">
        <f t="shared" si="5"/>
        <v>-7.4774034511092546E-3</v>
      </c>
      <c r="G74" s="1">
        <f t="shared" si="5"/>
        <v>1.46115589092779E-2</v>
      </c>
      <c r="H74" s="1">
        <f t="shared" si="5"/>
        <v>1.6871165644171793E-2</v>
      </c>
      <c r="L74" s="1"/>
      <c r="M74" s="1"/>
      <c r="R74">
        <f t="shared" si="8"/>
        <v>7.2015963307021317E-3</v>
      </c>
      <c r="S74">
        <f t="shared" si="6"/>
        <v>6.9081416522964634E-261</v>
      </c>
      <c r="T74">
        <v>72</v>
      </c>
      <c r="U74">
        <f t="shared" si="7"/>
        <v>425</v>
      </c>
    </row>
    <row r="75" spans="1:21" x14ac:dyDescent="0.25">
      <c r="A75" s="4">
        <v>45399.705555555556</v>
      </c>
      <c r="B75" s="1">
        <v>120.56</v>
      </c>
      <c r="C75" s="1">
        <v>292.39999999999998</v>
      </c>
      <c r="D75" s="1">
        <v>13.13</v>
      </c>
      <c r="F75" s="1">
        <f t="shared" si="5"/>
        <v>-1.904131136683529E-3</v>
      </c>
      <c r="G75" s="1">
        <f t="shared" si="5"/>
        <v>-1.1527669788039652E-2</v>
      </c>
      <c r="H75" s="1">
        <f t="shared" si="5"/>
        <v>-9.8039215686274161E-3</v>
      </c>
      <c r="L75" s="1"/>
      <c r="M75" s="1"/>
      <c r="R75">
        <f t="shared" si="8"/>
        <v>-6.9707167480051787E-3</v>
      </c>
      <c r="S75">
        <f t="shared" si="6"/>
        <v>2.5889195103492684E-260</v>
      </c>
      <c r="T75">
        <v>73</v>
      </c>
      <c r="U75">
        <f t="shared" si="7"/>
        <v>424</v>
      </c>
    </row>
    <row r="76" spans="1:21" x14ac:dyDescent="0.25">
      <c r="A76" s="4">
        <v>45400.705555555556</v>
      </c>
      <c r="B76" s="1">
        <v>120.58</v>
      </c>
      <c r="C76" s="1">
        <v>292.3</v>
      </c>
      <c r="D76" s="1">
        <v>13.15</v>
      </c>
      <c r="F76" s="1">
        <f t="shared" si="5"/>
        <v>1.6589250165899294E-4</v>
      </c>
      <c r="G76" s="1">
        <f t="shared" si="5"/>
        <v>-3.419972640217317E-4</v>
      </c>
      <c r="H76" s="1">
        <f t="shared" si="5"/>
        <v>1.5232292460014563E-3</v>
      </c>
      <c r="L76" s="1"/>
      <c r="M76" s="1"/>
      <c r="R76">
        <f t="shared" si="8"/>
        <v>4.0413734509161533E-4</v>
      </c>
      <c r="S76">
        <f t="shared" si="6"/>
        <v>3.4808205679097388E-262</v>
      </c>
      <c r="T76">
        <v>74</v>
      </c>
      <c r="U76">
        <f t="shared" si="7"/>
        <v>423</v>
      </c>
    </row>
    <row r="77" spans="1:21" x14ac:dyDescent="0.25">
      <c r="A77" s="4">
        <v>45401.705555555556</v>
      </c>
      <c r="B77" s="1">
        <v>121.46</v>
      </c>
      <c r="C77" s="1">
        <v>287</v>
      </c>
      <c r="D77" s="1">
        <v>13.07</v>
      </c>
      <c r="F77" s="1">
        <f t="shared" si="5"/>
        <v>7.2980593796649895E-3</v>
      </c>
      <c r="G77" s="1">
        <f t="shared" si="5"/>
        <v>-1.8132056106739736E-2</v>
      </c>
      <c r="H77" s="1">
        <f t="shared" si="5"/>
        <v>-6.0836501901140316E-3</v>
      </c>
      <c r="L77" s="1"/>
      <c r="M77" s="1"/>
      <c r="R77">
        <f t="shared" si="8"/>
        <v>-5.0752940751566337E-3</v>
      </c>
      <c r="S77">
        <f t="shared" si="6"/>
        <v>2.1958672545779078E-259</v>
      </c>
      <c r="T77">
        <v>75</v>
      </c>
      <c r="U77">
        <f t="shared" si="7"/>
        <v>422</v>
      </c>
    </row>
    <row r="78" spans="1:21" x14ac:dyDescent="0.25">
      <c r="A78" s="4">
        <v>45404.705555555556</v>
      </c>
      <c r="B78" s="1">
        <v>121.91</v>
      </c>
      <c r="C78" s="1">
        <v>288.29000000000002</v>
      </c>
      <c r="D78" s="1">
        <v>12.67</v>
      </c>
      <c r="F78" s="1">
        <f t="shared" si="5"/>
        <v>3.7049234315824631E-3</v>
      </c>
      <c r="G78" s="1">
        <f t="shared" si="5"/>
        <v>4.4947735191638305E-3</v>
      </c>
      <c r="H78" s="1">
        <f t="shared" si="5"/>
        <v>-3.0604437643458327E-2</v>
      </c>
      <c r="L78" s="1"/>
      <c r="M78" s="1"/>
      <c r="R78">
        <f t="shared" si="8"/>
        <v>-6.7214222078136113E-3</v>
      </c>
      <c r="S78">
        <f t="shared" si="6"/>
        <v>1.5405152577910394E-258</v>
      </c>
      <c r="T78">
        <v>76</v>
      </c>
      <c r="U78">
        <f t="shared" si="7"/>
        <v>421</v>
      </c>
    </row>
    <row r="79" spans="1:21" x14ac:dyDescent="0.25">
      <c r="A79" s="4">
        <v>45405.705555555556</v>
      </c>
      <c r="B79" s="1">
        <v>121.52</v>
      </c>
      <c r="C79" s="1">
        <v>289.7</v>
      </c>
      <c r="D79" s="1">
        <v>12.54</v>
      </c>
      <c r="F79" s="1">
        <f t="shared" si="5"/>
        <v>-3.1990812894758802E-3</v>
      </c>
      <c r="G79" s="1">
        <f t="shared" si="5"/>
        <v>4.8909084602308806E-3</v>
      </c>
      <c r="H79" s="1">
        <f t="shared" si="5"/>
        <v>-1.0260457774269982E-2</v>
      </c>
      <c r="L79" s="1"/>
      <c r="M79" s="1"/>
      <c r="R79">
        <f t="shared" si="8"/>
        <v>-2.570589181054495E-3</v>
      </c>
      <c r="S79">
        <f t="shared" si="6"/>
        <v>9.0129921540753286E-259</v>
      </c>
      <c r="T79">
        <v>77</v>
      </c>
      <c r="U79">
        <f t="shared" si="7"/>
        <v>420</v>
      </c>
    </row>
    <row r="80" spans="1:21" x14ac:dyDescent="0.25">
      <c r="A80" s="4">
        <v>45406.705555555556</v>
      </c>
      <c r="B80" s="1">
        <v>121.12</v>
      </c>
      <c r="C80" s="1">
        <v>289.73</v>
      </c>
      <c r="D80" s="1">
        <v>12.57</v>
      </c>
      <c r="F80" s="1">
        <f t="shared" si="5"/>
        <v>-3.2916392363395719E-3</v>
      </c>
      <c r="G80" s="1">
        <f t="shared" si="5"/>
        <v>1.0355540214024295E-4</v>
      </c>
      <c r="H80" s="1">
        <f t="shared" si="5"/>
        <v>2.3923444976077235E-3</v>
      </c>
      <c r="L80" s="1"/>
      <c r="M80" s="1"/>
      <c r="R80">
        <f t="shared" si="8"/>
        <v>-2.3872180097748151E-4</v>
      </c>
      <c r="S80">
        <f t="shared" si="6"/>
        <v>3.1091938360401765E-260</v>
      </c>
      <c r="T80">
        <v>78</v>
      </c>
      <c r="U80">
        <f t="shared" si="7"/>
        <v>419</v>
      </c>
    </row>
    <row r="81" spans="1:21" x14ac:dyDescent="0.25">
      <c r="A81" s="4">
        <v>45407.705555555556</v>
      </c>
      <c r="B81" s="1">
        <v>121.02</v>
      </c>
      <c r="C81" s="1">
        <v>290.51</v>
      </c>
      <c r="D81" s="1">
        <v>12.67</v>
      </c>
      <c r="F81" s="1">
        <f t="shared" si="5"/>
        <v>-8.2562747688252891E-4</v>
      </c>
      <c r="G81" s="1">
        <f t="shared" si="5"/>
        <v>2.6921616677595406E-3</v>
      </c>
      <c r="H81" s="1">
        <f t="shared" si="5"/>
        <v>7.9554494828957267E-3</v>
      </c>
      <c r="L81" s="1"/>
      <c r="M81" s="1"/>
      <c r="R81">
        <f t="shared" si="8"/>
        <v>2.9465951021318219E-3</v>
      </c>
      <c r="S81">
        <f t="shared" si="6"/>
        <v>1.894805122566643E-257</v>
      </c>
      <c r="T81">
        <v>79</v>
      </c>
      <c r="U81">
        <f t="shared" si="7"/>
        <v>418</v>
      </c>
    </row>
    <row r="82" spans="1:21" x14ac:dyDescent="0.25">
      <c r="A82" s="4">
        <v>45408.705555555556</v>
      </c>
      <c r="B82" s="1">
        <v>122.82</v>
      </c>
      <c r="C82" s="1">
        <v>289.8</v>
      </c>
      <c r="D82" s="1">
        <v>12.62</v>
      </c>
      <c r="F82" s="1">
        <f t="shared" si="5"/>
        <v>1.4873574615765994E-2</v>
      </c>
      <c r="G82" s="1">
        <f t="shared" si="5"/>
        <v>-2.4439778320882732E-3</v>
      </c>
      <c r="H82" s="1">
        <f t="shared" si="5"/>
        <v>-3.9463299131807794E-3</v>
      </c>
      <c r="L82" s="1"/>
      <c r="M82" s="1"/>
      <c r="R82">
        <f t="shared" si="8"/>
        <v>2.5449800611490828E-3</v>
      </c>
      <c r="S82">
        <f t="shared" si="6"/>
        <v>5.6539554814003594E-257</v>
      </c>
      <c r="T82">
        <v>80</v>
      </c>
      <c r="U82">
        <f t="shared" si="7"/>
        <v>417</v>
      </c>
    </row>
    <row r="83" spans="1:21" x14ac:dyDescent="0.25">
      <c r="A83" s="4">
        <v>45411.705555555556</v>
      </c>
      <c r="B83" s="1">
        <v>123.63</v>
      </c>
      <c r="C83" s="1">
        <v>290.95</v>
      </c>
      <c r="D83" s="1">
        <v>12.56</v>
      </c>
      <c r="F83" s="1">
        <f t="shared" si="5"/>
        <v>6.595017098192546E-3</v>
      </c>
      <c r="G83" s="1">
        <f t="shared" si="5"/>
        <v>3.9682539682539542E-3</v>
      </c>
      <c r="H83" s="1">
        <f t="shared" si="5"/>
        <v>-4.7543581616480424E-3</v>
      </c>
      <c r="L83" s="1"/>
      <c r="M83" s="1"/>
      <c r="R83">
        <f t="shared" si="8"/>
        <v>1.742673871439537E-3</v>
      </c>
      <c r="S83">
        <f t="shared" si="6"/>
        <v>1.0604149624032753E-256</v>
      </c>
      <c r="T83">
        <v>81</v>
      </c>
      <c r="U83">
        <f t="shared" si="7"/>
        <v>416</v>
      </c>
    </row>
    <row r="84" spans="1:21" x14ac:dyDescent="0.25">
      <c r="A84" s="4">
        <v>45412.705555555556</v>
      </c>
      <c r="B84" s="1">
        <v>122.29</v>
      </c>
      <c r="C84" s="1">
        <v>291</v>
      </c>
      <c r="D84" s="1">
        <v>12.51</v>
      </c>
      <c r="F84" s="1">
        <f t="shared" si="5"/>
        <v>-1.083879317317793E-2</v>
      </c>
      <c r="G84" s="1">
        <f t="shared" si="5"/>
        <v>1.7185083347648344E-4</v>
      </c>
      <c r="H84" s="1">
        <f t="shared" si="5"/>
        <v>-3.9808917197452498E-3</v>
      </c>
      <c r="L84" s="1"/>
      <c r="M84" s="1"/>
      <c r="R84">
        <f t="shared" si="8"/>
        <v>-4.3943502178340086E-3</v>
      </c>
      <c r="S84">
        <f t="shared" si="6"/>
        <v>2.697074426025182E-255</v>
      </c>
      <c r="T84">
        <v>82</v>
      </c>
      <c r="U84">
        <f t="shared" si="7"/>
        <v>415</v>
      </c>
    </row>
    <row r="85" spans="1:21" x14ac:dyDescent="0.25">
      <c r="A85" s="4">
        <v>45414.705555555556</v>
      </c>
      <c r="B85" s="1">
        <v>123.4</v>
      </c>
      <c r="C85" s="1">
        <v>288</v>
      </c>
      <c r="D85" s="1">
        <v>12.4</v>
      </c>
      <c r="F85" s="1">
        <f t="shared" si="5"/>
        <v>9.0767846921253614E-3</v>
      </c>
      <c r="G85" s="1">
        <f t="shared" si="5"/>
        <v>-1.0309278350515427E-2</v>
      </c>
      <c r="H85" s="1">
        <f t="shared" si="5"/>
        <v>-8.7929656274979839E-3</v>
      </c>
      <c r="L85" s="1"/>
      <c r="M85" s="1"/>
      <c r="R85">
        <f t="shared" si="8"/>
        <v>-3.0076377857664151E-3</v>
      </c>
      <c r="S85">
        <f t="shared" si="6"/>
        <v>5.0537604797280825E-255</v>
      </c>
      <c r="T85">
        <v>83</v>
      </c>
      <c r="U85">
        <f t="shared" si="7"/>
        <v>414</v>
      </c>
    </row>
    <row r="86" spans="1:21" x14ac:dyDescent="0.25">
      <c r="A86" s="4">
        <v>45415.705555555556</v>
      </c>
      <c r="B86" s="1">
        <v>124.78</v>
      </c>
      <c r="C86" s="1">
        <v>289.55</v>
      </c>
      <c r="D86" s="1">
        <v>12.28</v>
      </c>
      <c r="F86" s="1">
        <f t="shared" si="5"/>
        <v>1.1183144246353249E-2</v>
      </c>
      <c r="G86" s="1">
        <f t="shared" si="5"/>
        <v>5.3819444444445086E-3</v>
      </c>
      <c r="H86" s="1">
        <f t="shared" si="5"/>
        <v>-9.6774193548387899E-3</v>
      </c>
      <c r="L86" s="1"/>
      <c r="M86" s="1"/>
      <c r="R86">
        <f t="shared" si="8"/>
        <v>2.0663008007876901E-3</v>
      </c>
      <c r="S86">
        <f t="shared" si="6"/>
        <v>9.5413685082136803E-255</v>
      </c>
      <c r="T86">
        <v>84</v>
      </c>
      <c r="U86">
        <f t="shared" si="7"/>
        <v>413</v>
      </c>
    </row>
    <row r="87" spans="1:21" x14ac:dyDescent="0.25">
      <c r="A87" s="4">
        <v>45418.705555555556</v>
      </c>
      <c r="B87" s="1">
        <v>124.73</v>
      </c>
      <c r="C87" s="1">
        <v>292.10000000000002</v>
      </c>
      <c r="D87" s="1">
        <v>12.4</v>
      </c>
      <c r="F87" s="1">
        <f t="shared" si="5"/>
        <v>-4.0070524122448603E-4</v>
      </c>
      <c r="G87" s="1">
        <f t="shared" si="5"/>
        <v>8.8067691245035107E-3</v>
      </c>
      <c r="H87" s="1">
        <f t="shared" si="5"/>
        <v>9.7719869706840434E-3</v>
      </c>
      <c r="L87" s="1"/>
      <c r="M87" s="1"/>
      <c r="R87">
        <f t="shared" si="8"/>
        <v>5.4534152561889204E-3</v>
      </c>
      <c r="S87">
        <f t="shared" si="6"/>
        <v>2.6584023391816102E-253</v>
      </c>
      <c r="T87">
        <v>85</v>
      </c>
      <c r="U87">
        <f t="shared" si="7"/>
        <v>412</v>
      </c>
    </row>
    <row r="88" spans="1:21" x14ac:dyDescent="0.25">
      <c r="A88" s="4">
        <v>45419.705555555556</v>
      </c>
      <c r="B88" s="1">
        <v>125.43</v>
      </c>
      <c r="C88" s="1">
        <v>292.25</v>
      </c>
      <c r="D88" s="1">
        <v>12.34</v>
      </c>
      <c r="F88" s="1">
        <f t="shared" si="5"/>
        <v>5.6121221839173785E-3</v>
      </c>
      <c r="G88" s="1">
        <f t="shared" si="5"/>
        <v>5.1352276617588899E-4</v>
      </c>
      <c r="H88" s="1">
        <f t="shared" si="5"/>
        <v>-4.8387096774193949E-3</v>
      </c>
      <c r="L88" s="1"/>
      <c r="M88" s="1"/>
      <c r="R88">
        <f t="shared" si="8"/>
        <v>3.8608058180216137E-4</v>
      </c>
      <c r="S88">
        <f t="shared" si="6"/>
        <v>5.3296597263173483E-255</v>
      </c>
      <c r="T88">
        <v>86</v>
      </c>
      <c r="U88">
        <f t="shared" si="7"/>
        <v>411</v>
      </c>
    </row>
    <row r="89" spans="1:21" x14ac:dyDescent="0.25">
      <c r="A89" s="4">
        <v>45420.705555555556</v>
      </c>
      <c r="B89" s="1">
        <v>125.7</v>
      </c>
      <c r="C89" s="1">
        <v>293.39999999999998</v>
      </c>
      <c r="D89" s="1">
        <v>12.36</v>
      </c>
      <c r="F89" s="1">
        <f t="shared" si="5"/>
        <v>2.1525950729490706E-3</v>
      </c>
      <c r="G89" s="1">
        <f t="shared" si="5"/>
        <v>3.9349871685199211E-3</v>
      </c>
      <c r="H89" s="1">
        <f t="shared" si="5"/>
        <v>1.6207455429497752E-3</v>
      </c>
      <c r="L89" s="1"/>
      <c r="M89" s="1"/>
      <c r="R89">
        <f t="shared" si="8"/>
        <v>2.3124983353256302E-3</v>
      </c>
      <c r="S89">
        <f t="shared" si="6"/>
        <v>7.648326390832938E-253</v>
      </c>
      <c r="T89">
        <v>87</v>
      </c>
      <c r="U89">
        <f t="shared" si="7"/>
        <v>410</v>
      </c>
    </row>
    <row r="90" spans="1:21" x14ac:dyDescent="0.25">
      <c r="A90" s="4">
        <v>45421.705555555556</v>
      </c>
      <c r="B90" s="1">
        <v>124.48</v>
      </c>
      <c r="C90" s="1">
        <v>298.3</v>
      </c>
      <c r="D90" s="1">
        <v>12.66</v>
      </c>
      <c r="F90" s="1">
        <f t="shared" si="5"/>
        <v>-9.7056483691329021E-3</v>
      </c>
      <c r="G90" s="1">
        <f t="shared" si="5"/>
        <v>1.670074982958436E-2</v>
      </c>
      <c r="H90" s="1">
        <f t="shared" si="5"/>
        <v>2.4271844660194164E-2</v>
      </c>
      <c r="L90" s="1"/>
      <c r="M90" s="1"/>
      <c r="R90">
        <f t="shared" si="8"/>
        <v>9.3800838361936881E-3</v>
      </c>
      <c r="S90">
        <f t="shared" si="6"/>
        <v>5.0335801329310861E-251</v>
      </c>
      <c r="T90">
        <v>88</v>
      </c>
      <c r="U90">
        <f t="shared" si="7"/>
        <v>409</v>
      </c>
    </row>
    <row r="91" spans="1:21" x14ac:dyDescent="0.25">
      <c r="A91" s="4">
        <v>45422.705555555556</v>
      </c>
      <c r="B91" s="1">
        <v>123.9</v>
      </c>
      <c r="C91" s="1">
        <v>299.35000000000002</v>
      </c>
      <c r="D91" s="1">
        <v>12.84</v>
      </c>
      <c r="F91" s="1">
        <f t="shared" si="5"/>
        <v>-4.6593830334190622E-3</v>
      </c>
      <c r="G91" s="1">
        <f t="shared" si="5"/>
        <v>3.5199463627222372E-3</v>
      </c>
      <c r="H91" s="1">
        <f t="shared" si="5"/>
        <v>1.4218009478673022E-2</v>
      </c>
      <c r="L91" s="1"/>
      <c r="M91" s="1"/>
      <c r="R91">
        <f t="shared" si="8"/>
        <v>3.9235718423928593E-3</v>
      </c>
      <c r="S91">
        <f t="shared" si="6"/>
        <v>3.5227900132156882E-251</v>
      </c>
      <c r="T91">
        <v>89</v>
      </c>
      <c r="U91">
        <f t="shared" si="7"/>
        <v>408</v>
      </c>
    </row>
    <row r="92" spans="1:21" x14ac:dyDescent="0.25">
      <c r="A92" s="4">
        <v>45425.705555555556</v>
      </c>
      <c r="B92" s="1">
        <v>124.41</v>
      </c>
      <c r="C92" s="1">
        <v>299.10000000000002</v>
      </c>
      <c r="D92" s="1">
        <v>12.68</v>
      </c>
      <c r="F92" s="1">
        <f t="shared" si="5"/>
        <v>4.1162227602904444E-3</v>
      </c>
      <c r="G92" s="1">
        <f t="shared" si="5"/>
        <v>-8.3514280942043051E-4</v>
      </c>
      <c r="H92" s="1">
        <f t="shared" si="5"/>
        <v>-1.2461059190031154E-2</v>
      </c>
      <c r="L92" s="1"/>
      <c r="M92" s="1"/>
      <c r="R92">
        <f t="shared" si="8"/>
        <v>-2.7539937717483429E-3</v>
      </c>
      <c r="S92">
        <f t="shared" si="6"/>
        <v>6.9423968705958756E-251</v>
      </c>
      <c r="T92">
        <v>90</v>
      </c>
      <c r="U92">
        <f t="shared" si="7"/>
        <v>407</v>
      </c>
    </row>
    <row r="93" spans="1:21" x14ac:dyDescent="0.25">
      <c r="A93" s="4">
        <v>45426.705555555556</v>
      </c>
      <c r="B93" s="1">
        <v>124.77</v>
      </c>
      <c r="C93" s="1">
        <v>299.3</v>
      </c>
      <c r="D93" s="1">
        <v>12.73</v>
      </c>
      <c r="F93" s="1">
        <f t="shared" si="5"/>
        <v>2.8936580660718914E-3</v>
      </c>
      <c r="G93" s="1">
        <f t="shared" si="5"/>
        <v>6.6867268472070585E-4</v>
      </c>
      <c r="H93" s="1">
        <f t="shared" si="5"/>
        <v>3.9432176656151174E-3</v>
      </c>
      <c r="L93" s="1"/>
      <c r="M93" s="1"/>
      <c r="R93">
        <f t="shared" si="8"/>
        <v>2.2516645249223144E-3</v>
      </c>
      <c r="S93">
        <f t="shared" si="6"/>
        <v>1.856311657159018E-250</v>
      </c>
      <c r="T93">
        <v>91</v>
      </c>
      <c r="U93">
        <f t="shared" si="7"/>
        <v>406</v>
      </c>
    </row>
    <row r="94" spans="1:21" x14ac:dyDescent="0.25">
      <c r="A94" s="4">
        <v>45427.705555555556</v>
      </c>
      <c r="B94" s="1">
        <v>124.32</v>
      </c>
      <c r="C94" s="1">
        <v>303.2</v>
      </c>
      <c r="D94" s="1">
        <v>12.91</v>
      </c>
      <c r="F94" s="1">
        <f t="shared" si="5"/>
        <v>-3.6066362106276229E-3</v>
      </c>
      <c r="G94" s="1">
        <f t="shared" si="5"/>
        <v>1.3030404276645369E-2</v>
      </c>
      <c r="H94" s="1">
        <f t="shared" si="5"/>
        <v>1.4139827179890041E-2</v>
      </c>
      <c r="L94" s="1"/>
      <c r="M94" s="1"/>
      <c r="R94">
        <f t="shared" si="8"/>
        <v>7.0690785737723364E-3</v>
      </c>
      <c r="S94">
        <f t="shared" si="6"/>
        <v>7.3186188521569056E-249</v>
      </c>
      <c r="T94">
        <v>92</v>
      </c>
      <c r="U94">
        <f t="shared" si="7"/>
        <v>405</v>
      </c>
    </row>
    <row r="95" spans="1:21" x14ac:dyDescent="0.25">
      <c r="A95" s="4">
        <v>45428.705555555556</v>
      </c>
      <c r="B95" s="1">
        <v>124.54</v>
      </c>
      <c r="C95" s="1">
        <v>302.64999999999998</v>
      </c>
      <c r="D95" s="1">
        <v>12.85</v>
      </c>
      <c r="F95" s="1">
        <f t="shared" si="5"/>
        <v>1.7696267696267753E-3</v>
      </c>
      <c r="G95" s="1">
        <f t="shared" si="5"/>
        <v>-1.8139841688654679E-3</v>
      </c>
      <c r="H95" s="1">
        <f t="shared" si="5"/>
        <v>-4.6475600309837661E-3</v>
      </c>
      <c r="L95" s="1"/>
      <c r="M95" s="1"/>
      <c r="R95">
        <f t="shared" si="8"/>
        <v>-1.4075752290667379E-3</v>
      </c>
      <c r="S95">
        <f t="shared" si="6"/>
        <v>1.1606645880035401E-249</v>
      </c>
      <c r="T95">
        <v>93</v>
      </c>
      <c r="U95">
        <f t="shared" si="7"/>
        <v>404</v>
      </c>
    </row>
    <row r="96" spans="1:21" x14ac:dyDescent="0.25">
      <c r="A96" s="4">
        <v>45429.705555555556</v>
      </c>
      <c r="B96" s="1">
        <v>124.42</v>
      </c>
      <c r="C96" s="1">
        <v>301.14</v>
      </c>
      <c r="D96" s="1">
        <v>12.98</v>
      </c>
      <c r="F96" s="1">
        <f t="shared" si="5"/>
        <v>-9.6354584872337945E-4</v>
      </c>
      <c r="G96" s="1">
        <f t="shared" si="5"/>
        <v>-4.9892615232115523E-3</v>
      </c>
      <c r="H96" s="1">
        <f t="shared" si="5"/>
        <v>1.0116731517509692E-2</v>
      </c>
      <c r="L96" s="1"/>
      <c r="M96" s="1"/>
      <c r="R96">
        <f t="shared" si="8"/>
        <v>1.2491772436724283E-3</v>
      </c>
      <c r="S96">
        <f t="shared" si="6"/>
        <v>3.6565508973296421E-249</v>
      </c>
      <c r="T96">
        <v>94</v>
      </c>
      <c r="U96">
        <f t="shared" si="7"/>
        <v>403</v>
      </c>
    </row>
    <row r="97" spans="1:21" x14ac:dyDescent="0.25">
      <c r="A97" s="4">
        <v>45432.705555555556</v>
      </c>
      <c r="B97" s="1">
        <v>124.04</v>
      </c>
      <c r="C97" s="1">
        <v>301.7</v>
      </c>
      <c r="D97" s="1">
        <v>13.03</v>
      </c>
      <c r="F97" s="1">
        <f t="shared" si="5"/>
        <v>-3.0541713550875649E-3</v>
      </c>
      <c r="G97" s="1">
        <f t="shared" si="5"/>
        <v>1.8596001859600975E-3</v>
      </c>
      <c r="H97" s="1">
        <f t="shared" si="5"/>
        <v>3.8520801232664326E-3</v>
      </c>
      <c r="L97" s="1"/>
      <c r="M97" s="1"/>
      <c r="R97">
        <f t="shared" si="8"/>
        <v>7.9725268624168981E-4</v>
      </c>
      <c r="S97">
        <f t="shared" si="6"/>
        <v>5.9576566243749428E-249</v>
      </c>
      <c r="T97">
        <v>95</v>
      </c>
      <c r="U97">
        <f t="shared" si="7"/>
        <v>402</v>
      </c>
    </row>
    <row r="98" spans="1:21" x14ac:dyDescent="0.25">
      <c r="A98" s="4">
        <v>45433.705555555556</v>
      </c>
      <c r="B98" s="1">
        <v>123.71</v>
      </c>
      <c r="C98" s="1">
        <v>303.08999999999997</v>
      </c>
      <c r="D98" s="1">
        <v>13.06</v>
      </c>
      <c r="F98" s="1">
        <f t="shared" si="5"/>
        <v>-2.6604321186715074E-3</v>
      </c>
      <c r="G98" s="1">
        <f t="shared" si="5"/>
        <v>4.6072257209148759E-3</v>
      </c>
      <c r="H98" s="1">
        <f t="shared" si="5"/>
        <v>2.3023791250960102E-3</v>
      </c>
      <c r="L98" s="1"/>
      <c r="M98" s="1"/>
      <c r="R98">
        <f t="shared" si="8"/>
        <v>1.2747518182018138E-3</v>
      </c>
      <c r="S98">
        <f t="shared" si="6"/>
        <v>6.0924890548977518E-248</v>
      </c>
      <c r="T98">
        <v>96</v>
      </c>
      <c r="U98">
        <f t="shared" si="7"/>
        <v>401</v>
      </c>
    </row>
    <row r="99" spans="1:21" x14ac:dyDescent="0.25">
      <c r="A99" s="4">
        <v>45434.705555555556</v>
      </c>
      <c r="B99" s="1">
        <v>122.02</v>
      </c>
      <c r="C99" s="1">
        <v>304.61</v>
      </c>
      <c r="D99" s="1">
        <v>12.91</v>
      </c>
      <c r="F99" s="1">
        <f t="shared" si="5"/>
        <v>-1.366098132729765E-2</v>
      </c>
      <c r="G99" s="1">
        <f t="shared" si="5"/>
        <v>5.0150120426277756E-3</v>
      </c>
      <c r="H99" s="1">
        <f t="shared" si="5"/>
        <v>-1.1485451761102605E-2</v>
      </c>
      <c r="L99" s="1"/>
      <c r="M99" s="1"/>
      <c r="R99">
        <f t="shared" si="8"/>
        <v>-6.0394263137317442E-3</v>
      </c>
      <c r="S99">
        <f t="shared" si="6"/>
        <v>5.4700946685327328E-246</v>
      </c>
      <c r="T99">
        <v>97</v>
      </c>
      <c r="U99">
        <f t="shared" si="7"/>
        <v>400</v>
      </c>
    </row>
    <row r="100" spans="1:21" x14ac:dyDescent="0.25">
      <c r="A100" s="4">
        <v>45435.705555555556</v>
      </c>
      <c r="B100" s="1">
        <v>121.11</v>
      </c>
      <c r="C100" s="1">
        <v>302.25</v>
      </c>
      <c r="D100" s="1">
        <v>12.65</v>
      </c>
      <c r="F100" s="1">
        <f t="shared" si="5"/>
        <v>-7.4577938042943437E-3</v>
      </c>
      <c r="G100" s="1">
        <f t="shared" si="5"/>
        <v>-7.7476117002068801E-3</v>
      </c>
      <c r="H100" s="1">
        <f t="shared" si="5"/>
        <v>-2.0139426800929505E-2</v>
      </c>
      <c r="L100" s="1"/>
      <c r="M100" s="1"/>
      <c r="R100">
        <f t="shared" si="8"/>
        <v>-1.060344969162922E-2</v>
      </c>
      <c r="S100">
        <f t="shared" si="6"/>
        <v>6.7446251950809262E-245</v>
      </c>
      <c r="T100">
        <v>98</v>
      </c>
      <c r="U100">
        <f t="shared" si="7"/>
        <v>399</v>
      </c>
    </row>
    <row r="101" spans="1:21" x14ac:dyDescent="0.25">
      <c r="A101" s="4">
        <v>45436.705555555556</v>
      </c>
      <c r="B101" s="1">
        <v>120.69</v>
      </c>
      <c r="C101" s="1">
        <v>304.55</v>
      </c>
      <c r="D101" s="1">
        <v>12.69</v>
      </c>
      <c r="F101" s="1">
        <f t="shared" si="5"/>
        <v>-3.4679217240525251E-3</v>
      </c>
      <c r="G101" s="1">
        <f t="shared" si="5"/>
        <v>7.6095947063690161E-3</v>
      </c>
      <c r="H101" s="1">
        <f t="shared" si="5"/>
        <v>3.1620553359683612E-3</v>
      </c>
      <c r="L101" s="1"/>
      <c r="M101" s="1"/>
      <c r="R101">
        <f t="shared" si="8"/>
        <v>2.1911184954854558E-3</v>
      </c>
      <c r="S101">
        <f t="shared" si="6"/>
        <v>1.1520071672514216E-245</v>
      </c>
      <c r="T101">
        <v>99</v>
      </c>
      <c r="U101">
        <f t="shared" si="7"/>
        <v>398</v>
      </c>
    </row>
    <row r="102" spans="1:21" x14ac:dyDescent="0.25">
      <c r="A102" s="4">
        <v>45439.705555555556</v>
      </c>
      <c r="B102" s="1">
        <v>120.86</v>
      </c>
      <c r="C102" s="1">
        <v>306.12</v>
      </c>
      <c r="D102" s="1">
        <v>12.85</v>
      </c>
      <c r="F102" s="1">
        <f t="shared" si="5"/>
        <v>1.4085674040931195E-3</v>
      </c>
      <c r="G102" s="1">
        <f t="shared" si="5"/>
        <v>5.1551469381054815E-3</v>
      </c>
      <c r="H102" s="1">
        <f t="shared" si="5"/>
        <v>1.2608353033884967E-2</v>
      </c>
      <c r="L102" s="1"/>
      <c r="M102" s="1"/>
      <c r="R102">
        <f t="shared" si="8"/>
        <v>5.7516202128250708E-3</v>
      </c>
      <c r="S102">
        <f t="shared" si="6"/>
        <v>3.1751470635773506E-244</v>
      </c>
      <c r="T102">
        <v>100</v>
      </c>
      <c r="U102">
        <f t="shared" si="7"/>
        <v>397</v>
      </c>
    </row>
    <row r="103" spans="1:21" x14ac:dyDescent="0.25">
      <c r="A103" s="4">
        <v>45440.705555555556</v>
      </c>
      <c r="B103" s="1">
        <v>120.18</v>
      </c>
      <c r="C103" s="1">
        <v>304.61</v>
      </c>
      <c r="D103" s="1">
        <v>12.8</v>
      </c>
      <c r="F103" s="1">
        <f t="shared" si="5"/>
        <v>-5.6263445308620819E-3</v>
      </c>
      <c r="G103" s="1">
        <f t="shared" si="5"/>
        <v>-4.9327061283156448E-3</v>
      </c>
      <c r="H103" s="1">
        <f t="shared" si="5"/>
        <v>-3.8910505836574627E-3</v>
      </c>
      <c r="L103" s="1"/>
      <c r="M103" s="1"/>
      <c r="R103">
        <f t="shared" si="8"/>
        <v>-4.335030372850557E-3</v>
      </c>
      <c r="S103">
        <f t="shared" si="6"/>
        <v>7.2148569290178591E-244</v>
      </c>
      <c r="T103">
        <v>101</v>
      </c>
      <c r="U103">
        <f t="shared" si="7"/>
        <v>396</v>
      </c>
    </row>
    <row r="104" spans="1:21" x14ac:dyDescent="0.25">
      <c r="A104" s="4">
        <v>45441.705555555556</v>
      </c>
      <c r="B104" s="1">
        <v>119.15</v>
      </c>
      <c r="C104" s="1">
        <v>305.45</v>
      </c>
      <c r="D104" s="1">
        <v>12.8</v>
      </c>
      <c r="F104" s="1">
        <f t="shared" si="5"/>
        <v>-8.5704776169079899E-3</v>
      </c>
      <c r="G104" s="1">
        <f t="shared" si="5"/>
        <v>2.7576245034632851E-3</v>
      </c>
      <c r="H104" s="1">
        <f t="shared" si="5"/>
        <v>0</v>
      </c>
      <c r="L104" s="1"/>
      <c r="M104" s="1"/>
      <c r="R104">
        <f t="shared" si="8"/>
        <v>-1.7438559340334113E-3</v>
      </c>
      <c r="S104">
        <f t="shared" si="6"/>
        <v>4.6700833575828811E-244</v>
      </c>
      <c r="T104">
        <v>102</v>
      </c>
      <c r="U104">
        <f t="shared" si="7"/>
        <v>395</v>
      </c>
    </row>
    <row r="105" spans="1:21" x14ac:dyDescent="0.25">
      <c r="A105" s="4">
        <v>45443.705555555556</v>
      </c>
      <c r="B105" s="1">
        <v>118.55</v>
      </c>
      <c r="C105" s="1">
        <v>308.2</v>
      </c>
      <c r="D105" s="1">
        <v>12.87</v>
      </c>
      <c r="F105" s="1">
        <f t="shared" si="5"/>
        <v>-5.0356693243811534E-3</v>
      </c>
      <c r="G105" s="1">
        <f t="shared" si="5"/>
        <v>9.0031101653298418E-3</v>
      </c>
      <c r="H105" s="1">
        <f t="shared" si="5"/>
        <v>5.4687499999999112E-3</v>
      </c>
      <c r="L105" s="1"/>
      <c r="M105" s="1"/>
      <c r="R105">
        <f t="shared" si="8"/>
        <v>2.8308572522845804E-3</v>
      </c>
      <c r="S105">
        <f t="shared" si="6"/>
        <v>4.9226545216432988E-243</v>
      </c>
      <c r="T105">
        <v>103</v>
      </c>
      <c r="U105">
        <f t="shared" si="7"/>
        <v>394</v>
      </c>
    </row>
    <row r="106" spans="1:21" x14ac:dyDescent="0.25">
      <c r="A106" s="4">
        <v>45446.705555555556</v>
      </c>
      <c r="B106" s="1">
        <v>118.48</v>
      </c>
      <c r="C106" s="1">
        <v>308</v>
      </c>
      <c r="D106" s="1">
        <v>12.93</v>
      </c>
      <c r="F106" s="1">
        <f t="shared" si="5"/>
        <v>-5.904681568957848E-4</v>
      </c>
      <c r="G106" s="1">
        <f t="shared" si="5"/>
        <v>-6.489292667098967E-4</v>
      </c>
      <c r="H106" s="1">
        <f t="shared" si="5"/>
        <v>4.6620046620047262E-3</v>
      </c>
      <c r="L106" s="1"/>
      <c r="M106" s="1"/>
      <c r="R106">
        <f t="shared" si="8"/>
        <v>1.0267821715197138E-3</v>
      </c>
      <c r="S106">
        <f t="shared" si="6"/>
        <v>2.5904788243848931E-243</v>
      </c>
      <c r="T106">
        <v>104</v>
      </c>
      <c r="U106">
        <f t="shared" si="7"/>
        <v>393</v>
      </c>
    </row>
    <row r="107" spans="1:21" x14ac:dyDescent="0.25">
      <c r="A107" s="4">
        <v>45447.705555555556</v>
      </c>
      <c r="B107" s="1">
        <v>118.23</v>
      </c>
      <c r="C107" s="1">
        <v>311.3</v>
      </c>
      <c r="D107" s="1">
        <v>12.92</v>
      </c>
      <c r="F107" s="1">
        <f t="shared" si="5"/>
        <v>-2.1100607697501772E-3</v>
      </c>
      <c r="G107" s="1">
        <f t="shared" si="5"/>
        <v>1.0714285714285676E-2</v>
      </c>
      <c r="H107" s="1">
        <f t="shared" si="5"/>
        <v>-7.7339520494967839E-4</v>
      </c>
      <c r="L107" s="1"/>
      <c r="M107" s="1"/>
      <c r="R107">
        <f t="shared" si="8"/>
        <v>2.3492489218757467E-3</v>
      </c>
      <c r="S107">
        <f t="shared" si="6"/>
        <v>5.4242721596941562E-242</v>
      </c>
      <c r="T107">
        <v>105</v>
      </c>
      <c r="U107">
        <f t="shared" si="7"/>
        <v>392</v>
      </c>
    </row>
    <row r="108" spans="1:21" x14ac:dyDescent="0.25">
      <c r="A108" s="4">
        <v>45448.705555555556</v>
      </c>
      <c r="B108" s="1">
        <v>117.88</v>
      </c>
      <c r="C108" s="1">
        <v>315.58</v>
      </c>
      <c r="D108" s="1">
        <v>13.13</v>
      </c>
      <c r="F108" s="1">
        <f t="shared" si="5"/>
        <v>-2.9603315571344879E-3</v>
      </c>
      <c r="G108" s="1">
        <f t="shared" si="5"/>
        <v>1.3748795374237011E-2</v>
      </c>
      <c r="H108" s="1">
        <f t="shared" si="5"/>
        <v>1.6253869969040213E-2</v>
      </c>
      <c r="L108" s="1"/>
      <c r="M108" s="1"/>
      <c r="R108">
        <f t="shared" si="8"/>
        <v>8.1127001358428201E-3</v>
      </c>
      <c r="S108">
        <f t="shared" si="6"/>
        <v>2.587463536443923E-240</v>
      </c>
      <c r="T108">
        <v>106</v>
      </c>
      <c r="U108">
        <f t="shared" si="7"/>
        <v>391</v>
      </c>
    </row>
    <row r="109" spans="1:21" x14ac:dyDescent="0.25">
      <c r="A109" s="4">
        <v>45449.705555555556</v>
      </c>
      <c r="B109" s="1">
        <v>119.3</v>
      </c>
      <c r="C109" s="1">
        <v>312.89999999999998</v>
      </c>
      <c r="D109" s="1">
        <v>13.1</v>
      </c>
      <c r="F109" s="1">
        <f t="shared" si="5"/>
        <v>1.2046148625721065E-2</v>
      </c>
      <c r="G109" s="1">
        <f t="shared" si="5"/>
        <v>-8.4922998922618564E-3</v>
      </c>
      <c r="H109" s="1">
        <f t="shared" si="5"/>
        <v>-2.2848438690024064E-3</v>
      </c>
      <c r="L109" s="1"/>
      <c r="M109" s="1"/>
      <c r="R109">
        <f t="shared" si="8"/>
        <v>3.8070145933704052E-4</v>
      </c>
      <c r="S109">
        <f t="shared" si="6"/>
        <v>2.279147672521736E-242</v>
      </c>
      <c r="T109">
        <v>107</v>
      </c>
      <c r="U109">
        <f t="shared" si="7"/>
        <v>390</v>
      </c>
    </row>
    <row r="110" spans="1:21" x14ac:dyDescent="0.25">
      <c r="A110" s="4">
        <v>45450.705555555556</v>
      </c>
      <c r="B110" s="1">
        <v>117.29</v>
      </c>
      <c r="C110" s="1">
        <v>317.02999999999997</v>
      </c>
      <c r="D110" s="1">
        <v>12.86</v>
      </c>
      <c r="F110" s="1">
        <f t="shared" si="5"/>
        <v>-1.6848281642916962E-2</v>
      </c>
      <c r="G110" s="1">
        <f t="shared" si="5"/>
        <v>1.3199105145413892E-2</v>
      </c>
      <c r="H110" s="1">
        <f t="shared" si="5"/>
        <v>-1.8320610687022953E-2</v>
      </c>
      <c r="L110" s="1"/>
      <c r="M110" s="1"/>
      <c r="R110">
        <f t="shared" si="8"/>
        <v>-6.5909361553578077E-3</v>
      </c>
      <c r="S110">
        <f t="shared" si="6"/>
        <v>2.732483718924328E-239</v>
      </c>
      <c r="T110">
        <v>108</v>
      </c>
      <c r="U110">
        <f t="shared" si="7"/>
        <v>389</v>
      </c>
    </row>
    <row r="111" spans="1:21" x14ac:dyDescent="0.25">
      <c r="A111" s="4">
        <v>45453.705555555556</v>
      </c>
      <c r="B111" s="1">
        <v>117.24</v>
      </c>
      <c r="C111" s="1">
        <v>320</v>
      </c>
      <c r="D111" s="1">
        <v>13.01</v>
      </c>
      <c r="F111" s="1">
        <f t="shared" si="5"/>
        <v>-4.2629380168823783E-4</v>
      </c>
      <c r="G111" s="1">
        <f t="shared" si="5"/>
        <v>9.3681985931932665E-3</v>
      </c>
      <c r="H111" s="1">
        <f t="shared" si="5"/>
        <v>1.1664074650077794E-2</v>
      </c>
      <c r="L111" s="1"/>
      <c r="M111" s="1"/>
      <c r="R111">
        <f t="shared" si="8"/>
        <v>6.1817938324748474E-3</v>
      </c>
      <c r="S111">
        <f t="shared" si="6"/>
        <v>9.615068853892018E-239</v>
      </c>
      <c r="T111">
        <v>109</v>
      </c>
      <c r="U111">
        <f t="shared" si="7"/>
        <v>388</v>
      </c>
    </row>
    <row r="112" spans="1:21" x14ac:dyDescent="0.25">
      <c r="A112" s="4">
        <v>45454.705555555556</v>
      </c>
      <c r="B112" s="1">
        <v>118.08</v>
      </c>
      <c r="C112" s="1">
        <v>320.52</v>
      </c>
      <c r="D112" s="1">
        <v>13.05</v>
      </c>
      <c r="F112" s="1">
        <f t="shared" si="5"/>
        <v>7.164790174002178E-3</v>
      </c>
      <c r="G112" s="1">
        <f t="shared" si="5"/>
        <v>1.6249999999999876E-3</v>
      </c>
      <c r="H112" s="1">
        <f t="shared" si="5"/>
        <v>3.0745580322828481E-3</v>
      </c>
      <c r="L112" s="1"/>
      <c r="M112" s="1"/>
      <c r="R112">
        <f t="shared" si="8"/>
        <v>3.5593044618855039E-3</v>
      </c>
      <c r="S112">
        <f t="shared" si="6"/>
        <v>1.2750101266155096E-238</v>
      </c>
      <c r="T112">
        <v>110</v>
      </c>
      <c r="U112">
        <f t="shared" si="7"/>
        <v>387</v>
      </c>
    </row>
    <row r="113" spans="1:21" x14ac:dyDescent="0.25">
      <c r="A113" s="4">
        <v>45455.705555555556</v>
      </c>
      <c r="B113" s="1">
        <v>116.52</v>
      </c>
      <c r="C113" s="1">
        <v>326</v>
      </c>
      <c r="D113" s="1">
        <v>13.21</v>
      </c>
      <c r="F113" s="1">
        <f t="shared" si="5"/>
        <v>-1.3211382113821113E-2</v>
      </c>
      <c r="G113" s="1">
        <f t="shared" si="5"/>
        <v>1.7097217022338684E-2</v>
      </c>
      <c r="H113" s="1">
        <f t="shared" si="5"/>
        <v>1.2260536398467359E-2</v>
      </c>
      <c r="L113" s="1"/>
      <c r="M113" s="1"/>
      <c r="R113">
        <f t="shared" si="8"/>
        <v>4.8439113920954787E-3</v>
      </c>
      <c r="S113">
        <f t="shared" si="6"/>
        <v>9.44573435683016E-238</v>
      </c>
      <c r="T113">
        <v>111</v>
      </c>
      <c r="U113">
        <f t="shared" si="7"/>
        <v>386</v>
      </c>
    </row>
    <row r="114" spans="1:21" x14ac:dyDescent="0.25">
      <c r="A114" s="4">
        <v>45456.705555555556</v>
      </c>
      <c r="B114" s="1">
        <v>116.14</v>
      </c>
      <c r="C114" s="1">
        <v>324.7</v>
      </c>
      <c r="D114" s="1">
        <v>13</v>
      </c>
      <c r="F114" s="1">
        <f t="shared" si="5"/>
        <v>-3.2612427051149639E-3</v>
      </c>
      <c r="G114" s="1">
        <f t="shared" si="5"/>
        <v>-3.9877300613497813E-3</v>
      </c>
      <c r="H114" s="1">
        <f t="shared" si="5"/>
        <v>-1.5897047691143085E-2</v>
      </c>
      <c r="L114" s="1"/>
      <c r="M114" s="1"/>
      <c r="R114">
        <f t="shared" si="8"/>
        <v>-6.943806137282349E-3</v>
      </c>
      <c r="S114">
        <f t="shared" si="6"/>
        <v>7.7642321708320737E-237</v>
      </c>
      <c r="T114">
        <v>112</v>
      </c>
      <c r="U114">
        <f t="shared" si="7"/>
        <v>385</v>
      </c>
    </row>
    <row r="115" spans="1:21" x14ac:dyDescent="0.25">
      <c r="A115" s="4">
        <v>45457.705555555556</v>
      </c>
      <c r="B115" s="1">
        <v>116.23</v>
      </c>
      <c r="C115" s="1">
        <v>325.38</v>
      </c>
      <c r="D115" s="1">
        <v>13.19</v>
      </c>
      <c r="F115" s="1">
        <f t="shared" si="5"/>
        <v>7.7492681246771333E-4</v>
      </c>
      <c r="G115" s="1">
        <f t="shared" si="5"/>
        <v>2.0942408376962707E-3</v>
      </c>
      <c r="H115" s="1">
        <f t="shared" si="5"/>
        <v>1.4615384615384475E-2</v>
      </c>
      <c r="L115" s="1"/>
      <c r="M115" s="1"/>
      <c r="R115">
        <f t="shared" si="8"/>
        <v>5.2453656796645383E-3</v>
      </c>
      <c r="S115">
        <f t="shared" si="6"/>
        <v>1.7722087265745973E-236</v>
      </c>
      <c r="T115">
        <v>113</v>
      </c>
      <c r="U115">
        <f t="shared" si="7"/>
        <v>384</v>
      </c>
    </row>
    <row r="116" spans="1:21" x14ac:dyDescent="0.25">
      <c r="A116" s="4">
        <v>45460.705555555556</v>
      </c>
      <c r="B116" s="1">
        <v>115.74</v>
      </c>
      <c r="C116" s="1">
        <v>330.1</v>
      </c>
      <c r="D116" s="1">
        <v>13.21</v>
      </c>
      <c r="F116" s="1">
        <f t="shared" si="5"/>
        <v>-4.215779058762914E-3</v>
      </c>
      <c r="G116" s="1">
        <f t="shared" si="5"/>
        <v>1.4506115925994267E-2</v>
      </c>
      <c r="H116" s="1">
        <f t="shared" si="5"/>
        <v>1.5163002274451998E-3</v>
      </c>
      <c r="L116" s="1"/>
      <c r="M116" s="1"/>
      <c r="R116">
        <f t="shared" si="8"/>
        <v>3.5419911284029658E-3</v>
      </c>
      <c r="S116">
        <f t="shared" si="6"/>
        <v>3.2323491019917399E-236</v>
      </c>
      <c r="T116">
        <v>114</v>
      </c>
      <c r="U116">
        <f t="shared" si="7"/>
        <v>383</v>
      </c>
    </row>
    <row r="117" spans="1:21" x14ac:dyDescent="0.25">
      <c r="A117" s="4">
        <v>45461.705555555556</v>
      </c>
      <c r="B117" s="1">
        <v>116.22</v>
      </c>
      <c r="C117" s="1">
        <v>331.93</v>
      </c>
      <c r="D117" s="1">
        <v>13.3</v>
      </c>
      <c r="F117" s="1">
        <f t="shared" si="5"/>
        <v>4.147226542249971E-3</v>
      </c>
      <c r="G117" s="1">
        <f t="shared" si="5"/>
        <v>5.5437746137534383E-3</v>
      </c>
      <c r="H117" s="1">
        <f t="shared" si="5"/>
        <v>6.8130204390612903E-3</v>
      </c>
      <c r="L117" s="1"/>
      <c r="M117" s="1"/>
      <c r="R117">
        <f t="shared" si="8"/>
        <v>4.9512064785194095E-3</v>
      </c>
      <c r="S117">
        <f t="shared" si="6"/>
        <v>2.5264190570923762E-235</v>
      </c>
      <c r="T117">
        <v>115</v>
      </c>
      <c r="U117">
        <f t="shared" si="7"/>
        <v>382</v>
      </c>
    </row>
    <row r="118" spans="1:21" x14ac:dyDescent="0.25">
      <c r="A118" s="4">
        <v>45462.705555555556</v>
      </c>
      <c r="B118" s="1">
        <v>116.83</v>
      </c>
      <c r="C118" s="1">
        <v>332.75</v>
      </c>
      <c r="D118" s="1">
        <v>13.36</v>
      </c>
      <c r="F118" s="1">
        <f t="shared" si="5"/>
        <v>5.2486663224917685E-3</v>
      </c>
      <c r="G118" s="1">
        <f t="shared" si="5"/>
        <v>2.4704003856235168E-3</v>
      </c>
      <c r="H118" s="1">
        <f t="shared" si="5"/>
        <v>4.5112781954885772E-3</v>
      </c>
      <c r="L118" s="1"/>
      <c r="M118" s="1"/>
      <c r="R118">
        <f t="shared" si="8"/>
        <v>3.6691034710811593E-3</v>
      </c>
      <c r="S118">
        <f t="shared" si="6"/>
        <v>5.5496196938947231E-235</v>
      </c>
      <c r="T118">
        <v>116</v>
      </c>
      <c r="U118">
        <f t="shared" si="7"/>
        <v>381</v>
      </c>
    </row>
    <row r="119" spans="1:21" x14ac:dyDescent="0.25">
      <c r="A119" s="4">
        <v>45463.705555555556</v>
      </c>
      <c r="B119" s="1">
        <v>117.02</v>
      </c>
      <c r="C119" s="1">
        <v>332.68</v>
      </c>
      <c r="D119" s="1">
        <v>13.54</v>
      </c>
      <c r="F119" s="1">
        <f t="shared" si="5"/>
        <v>1.6262946161087477E-3</v>
      </c>
      <c r="G119" s="1">
        <f t="shared" si="5"/>
        <v>-2.1036814425245964E-4</v>
      </c>
      <c r="H119" s="1">
        <f t="shared" si="5"/>
        <v>1.3473053892215647E-2</v>
      </c>
      <c r="L119" s="1"/>
      <c r="M119" s="1"/>
      <c r="R119">
        <f t="shared" si="8"/>
        <v>4.4666941092215817E-3</v>
      </c>
      <c r="S119">
        <f t="shared" si="6"/>
        <v>3.2898471388258301E-234</v>
      </c>
      <c r="T119">
        <v>117</v>
      </c>
      <c r="U119">
        <f t="shared" si="7"/>
        <v>380</v>
      </c>
    </row>
    <row r="120" spans="1:21" x14ac:dyDescent="0.25">
      <c r="A120" s="4">
        <v>45464.705555555556</v>
      </c>
      <c r="B120" s="1">
        <v>117.89</v>
      </c>
      <c r="C120" s="1">
        <v>330.85</v>
      </c>
      <c r="D120" s="1">
        <v>13.29</v>
      </c>
      <c r="F120" s="1">
        <f t="shared" si="5"/>
        <v>7.4346265595623962E-3</v>
      </c>
      <c r="G120" s="1">
        <f t="shared" si="5"/>
        <v>-5.5007815318023345E-3</v>
      </c>
      <c r="H120" s="1">
        <f t="shared" si="5"/>
        <v>-1.846381093057603E-2</v>
      </c>
      <c r="L120" s="1"/>
      <c r="M120" s="1"/>
      <c r="R120">
        <f t="shared" si="8"/>
        <v>-4.9589897708447912E-3</v>
      </c>
      <c r="S120">
        <f t="shared" si="6"/>
        <v>1.6219957488007184E-233</v>
      </c>
      <c r="T120">
        <v>118</v>
      </c>
      <c r="U120">
        <f t="shared" si="7"/>
        <v>379</v>
      </c>
    </row>
    <row r="121" spans="1:21" x14ac:dyDescent="0.25">
      <c r="A121" s="4">
        <v>45467.705555555556</v>
      </c>
      <c r="B121" s="1">
        <v>119.15</v>
      </c>
      <c r="C121" s="1">
        <v>327</v>
      </c>
      <c r="D121" s="1">
        <v>13.21</v>
      </c>
      <c r="F121" s="1">
        <f t="shared" si="5"/>
        <v>1.068792942573582E-2</v>
      </c>
      <c r="G121" s="1">
        <f t="shared" si="5"/>
        <v>-1.1636693365573603E-2</v>
      </c>
      <c r="H121" s="1">
        <f t="shared" si="5"/>
        <v>-6.0195635816402415E-3</v>
      </c>
      <c r="L121" s="1"/>
      <c r="M121" s="1"/>
      <c r="R121">
        <f t="shared" si="8"/>
        <v>-2.0904982564434078E-3</v>
      </c>
      <c r="S121">
        <f t="shared" si="6"/>
        <v>1.152982982531524E-233</v>
      </c>
      <c r="T121">
        <v>119</v>
      </c>
      <c r="U121">
        <f t="shared" si="7"/>
        <v>378</v>
      </c>
    </row>
    <row r="122" spans="1:21" x14ac:dyDescent="0.25">
      <c r="A122" s="4">
        <v>45468.705555555556</v>
      </c>
      <c r="B122" s="1">
        <v>118.88</v>
      </c>
      <c r="C122" s="1">
        <v>332</v>
      </c>
      <c r="D122" s="1">
        <v>13.28</v>
      </c>
      <c r="F122" s="1">
        <f t="shared" si="5"/>
        <v>-2.2660511959715635E-3</v>
      </c>
      <c r="G122" s="1">
        <f t="shared" si="5"/>
        <v>1.5290519877675823E-2</v>
      </c>
      <c r="H122" s="1">
        <f t="shared" si="5"/>
        <v>5.2990158970476209E-3</v>
      </c>
      <c r="L122" s="1"/>
      <c r="M122" s="1"/>
      <c r="R122">
        <f t="shared" si="8"/>
        <v>5.4970453736255635E-3</v>
      </c>
      <c r="S122">
        <f t="shared" si="6"/>
        <v>3.1889074330331358E-232</v>
      </c>
      <c r="T122">
        <v>120</v>
      </c>
      <c r="U122">
        <f t="shared" si="7"/>
        <v>377</v>
      </c>
    </row>
    <row r="123" spans="1:21" x14ac:dyDescent="0.25">
      <c r="A123" s="4">
        <v>45469.705555555556</v>
      </c>
      <c r="B123" s="1">
        <v>119.17</v>
      </c>
      <c r="C123" s="1">
        <v>336.16</v>
      </c>
      <c r="D123" s="1">
        <v>13.32</v>
      </c>
      <c r="F123" s="1">
        <f t="shared" si="5"/>
        <v>2.4394347240914716E-3</v>
      </c>
      <c r="G123" s="1">
        <f t="shared" si="5"/>
        <v>1.2530120481927698E-2</v>
      </c>
      <c r="H123" s="1">
        <f t="shared" si="5"/>
        <v>3.0120481927711218E-3</v>
      </c>
      <c r="L123" s="1"/>
      <c r="M123" s="1"/>
      <c r="R123">
        <f t="shared" si="8"/>
        <v>5.3944810196370875E-3</v>
      </c>
      <c r="S123">
        <f t="shared" si="6"/>
        <v>1.2284078962686863E-231</v>
      </c>
      <c r="T123">
        <v>121</v>
      </c>
      <c r="U123">
        <f t="shared" si="7"/>
        <v>376</v>
      </c>
    </row>
    <row r="124" spans="1:21" x14ac:dyDescent="0.25">
      <c r="A124" s="4">
        <v>45470.705555555556</v>
      </c>
      <c r="B124" s="1">
        <v>120.75</v>
      </c>
      <c r="C124" s="1">
        <v>336.25</v>
      </c>
      <c r="D124" s="1">
        <v>13.45</v>
      </c>
      <c r="F124" s="1">
        <f t="shared" si="5"/>
        <v>1.3258370395233587E-2</v>
      </c>
      <c r="G124" s="1">
        <f t="shared" si="5"/>
        <v>2.6772965254640013E-4</v>
      </c>
      <c r="H124" s="1">
        <f t="shared" si="5"/>
        <v>9.7597597597596231E-3</v>
      </c>
      <c r="L124" s="1"/>
      <c r="M124" s="1"/>
      <c r="R124">
        <f t="shared" si="8"/>
        <v>6.9857579422618835E-3</v>
      </c>
      <c r="S124">
        <f t="shared" si="6"/>
        <v>8.2400589442183462E-231</v>
      </c>
      <c r="T124">
        <v>122</v>
      </c>
      <c r="U124">
        <f t="shared" si="7"/>
        <v>375</v>
      </c>
    </row>
    <row r="125" spans="1:21" x14ac:dyDescent="0.25">
      <c r="A125" s="4">
        <v>45471.705555555556</v>
      </c>
      <c r="B125" s="1">
        <v>120.41</v>
      </c>
      <c r="C125" s="1">
        <v>339.83</v>
      </c>
      <c r="D125" s="1">
        <v>13.65</v>
      </c>
      <c r="F125" s="1">
        <f t="shared" si="5"/>
        <v>-2.8157349896480444E-3</v>
      </c>
      <c r="G125" s="1">
        <f t="shared" si="5"/>
        <v>1.0646840148698766E-2</v>
      </c>
      <c r="H125" s="1">
        <f t="shared" si="5"/>
        <v>1.4869888475836479E-2</v>
      </c>
      <c r="L125" s="1"/>
      <c r="M125" s="1"/>
      <c r="R125">
        <f t="shared" si="8"/>
        <v>6.8102980904661608E-3</v>
      </c>
      <c r="S125">
        <f t="shared" si="6"/>
        <v>3.1325317867975114E-230</v>
      </c>
      <c r="T125">
        <v>123</v>
      </c>
      <c r="U125">
        <f t="shared" si="7"/>
        <v>374</v>
      </c>
    </row>
    <row r="126" spans="1:21" x14ac:dyDescent="0.25">
      <c r="A126" s="4">
        <v>45474.705555555556</v>
      </c>
      <c r="B126" s="1">
        <v>121.2</v>
      </c>
      <c r="C126" s="1">
        <v>344.9</v>
      </c>
      <c r="D126" s="1">
        <v>13.84</v>
      </c>
      <c r="F126" s="1">
        <f t="shared" si="5"/>
        <v>6.5609168673699259E-3</v>
      </c>
      <c r="G126" s="1">
        <f t="shared" si="5"/>
        <v>1.491922431804138E-2</v>
      </c>
      <c r="H126" s="1">
        <f t="shared" si="5"/>
        <v>1.391941391941387E-2</v>
      </c>
      <c r="L126" s="1"/>
      <c r="M126" s="1"/>
      <c r="R126">
        <f t="shared" si="8"/>
        <v>1.0619866531447551E-2</v>
      </c>
      <c r="S126">
        <f t="shared" si="6"/>
        <v>3.0469221077875684E-229</v>
      </c>
      <c r="T126">
        <v>124</v>
      </c>
      <c r="U126">
        <f t="shared" si="7"/>
        <v>373</v>
      </c>
    </row>
    <row r="127" spans="1:21" x14ac:dyDescent="0.25">
      <c r="A127" s="4">
        <v>45475.705555555556</v>
      </c>
      <c r="B127" s="1">
        <v>121.28</v>
      </c>
      <c r="C127" s="1">
        <v>347.01</v>
      </c>
      <c r="D127" s="1">
        <v>13.86</v>
      </c>
      <c r="F127" s="1">
        <f t="shared" si="5"/>
        <v>6.6006600660073467E-4</v>
      </c>
      <c r="G127" s="1">
        <f t="shared" si="5"/>
        <v>6.1177152797913248E-3</v>
      </c>
      <c r="H127" s="1">
        <f t="shared" si="5"/>
        <v>1.4450867052022698E-3</v>
      </c>
      <c r="L127" s="1"/>
      <c r="M127" s="1"/>
      <c r="R127">
        <f t="shared" si="8"/>
        <v>2.4668603974782985E-3</v>
      </c>
      <c r="S127">
        <f t="shared" si="6"/>
        <v>6.5761600109239653E-230</v>
      </c>
      <c r="T127">
        <v>125</v>
      </c>
      <c r="U127">
        <f t="shared" si="7"/>
        <v>372</v>
      </c>
    </row>
    <row r="128" spans="1:21" x14ac:dyDescent="0.25">
      <c r="A128" s="4">
        <v>45476.705555555556</v>
      </c>
      <c r="B128" s="1">
        <v>122.12</v>
      </c>
      <c r="C128" s="1">
        <v>342</v>
      </c>
      <c r="D128" s="1">
        <v>13.81</v>
      </c>
      <c r="F128" s="1">
        <f t="shared" si="5"/>
        <v>6.926121372031746E-3</v>
      </c>
      <c r="G128" s="1">
        <f t="shared" si="5"/>
        <v>-1.4437624275957406E-2</v>
      </c>
      <c r="H128" s="1">
        <f t="shared" si="5"/>
        <v>-3.6075036075035039E-3</v>
      </c>
      <c r="L128" s="1"/>
      <c r="M128" s="1"/>
      <c r="R128">
        <f t="shared" si="8"/>
        <v>-3.3357019534287487E-3</v>
      </c>
      <c r="S128">
        <f t="shared" si="6"/>
        <v>4.8096967587358444E-229</v>
      </c>
      <c r="T128">
        <v>126</v>
      </c>
      <c r="U128">
        <f t="shared" si="7"/>
        <v>371</v>
      </c>
    </row>
    <row r="129" spans="1:21" x14ac:dyDescent="0.25">
      <c r="A129" s="4">
        <v>45477.705555555556</v>
      </c>
      <c r="B129" s="1">
        <v>122.61</v>
      </c>
      <c r="C129" s="1">
        <v>337.92</v>
      </c>
      <c r="D129" s="1">
        <v>13.66</v>
      </c>
      <c r="F129" s="1">
        <f t="shared" si="5"/>
        <v>4.0124467736653013E-3</v>
      </c>
      <c r="G129" s="1">
        <f t="shared" si="5"/>
        <v>-1.1929824561403457E-2</v>
      </c>
      <c r="H129" s="1">
        <f t="shared" si="5"/>
        <v>-1.086169442433027E-2</v>
      </c>
      <c r="L129" s="1"/>
      <c r="M129" s="1"/>
      <c r="R129">
        <f t="shared" si="8"/>
        <v>-5.6337216636205278E-3</v>
      </c>
      <c r="S129">
        <f t="shared" si="6"/>
        <v>5.4877457490786773E-228</v>
      </c>
      <c r="T129">
        <v>127</v>
      </c>
      <c r="U129">
        <f t="shared" si="7"/>
        <v>370</v>
      </c>
    </row>
    <row r="130" spans="1:21" x14ac:dyDescent="0.25">
      <c r="A130" s="4">
        <v>45478.705555555556</v>
      </c>
      <c r="B130" s="1">
        <v>122.72</v>
      </c>
      <c r="C130" s="1">
        <v>338.51</v>
      </c>
      <c r="D130" s="1">
        <v>13.7</v>
      </c>
      <c r="F130" s="1">
        <f t="shared" si="5"/>
        <v>8.9715357638042725E-4</v>
      </c>
      <c r="G130" s="1">
        <f t="shared" si="5"/>
        <v>1.7459753787878451E-3</v>
      </c>
      <c r="H130" s="1">
        <f t="shared" si="5"/>
        <v>2.9282576866762611E-3</v>
      </c>
      <c r="L130" s="1"/>
      <c r="M130" s="1"/>
      <c r="R130">
        <f t="shared" si="8"/>
        <v>1.6714159925533601E-3</v>
      </c>
      <c r="S130">
        <f t="shared" si="6"/>
        <v>1.9321120388519574E-228</v>
      </c>
      <c r="T130">
        <v>128</v>
      </c>
      <c r="U130">
        <f t="shared" si="7"/>
        <v>369</v>
      </c>
    </row>
    <row r="131" spans="1:21" x14ac:dyDescent="0.25">
      <c r="A131" s="4">
        <v>45481.705555555556</v>
      </c>
      <c r="B131" s="1">
        <v>122.99</v>
      </c>
      <c r="C131" s="1">
        <v>339.67</v>
      </c>
      <c r="D131" s="1">
        <v>13.58</v>
      </c>
      <c r="F131" s="1">
        <f t="shared" si="5"/>
        <v>2.2001303780965209E-3</v>
      </c>
      <c r="G131" s="1">
        <f t="shared" si="5"/>
        <v>3.4267820743849597E-3</v>
      </c>
      <c r="H131" s="1">
        <f t="shared" si="5"/>
        <v>-8.7591240875911636E-3</v>
      </c>
      <c r="L131" s="1"/>
      <c r="M131" s="1"/>
      <c r="R131">
        <f t="shared" si="8"/>
        <v>-9.396634905329054E-4</v>
      </c>
      <c r="S131">
        <f t="shared" si="6"/>
        <v>2.4426874309906737E-228</v>
      </c>
      <c r="T131">
        <v>129</v>
      </c>
      <c r="U131">
        <f t="shared" si="7"/>
        <v>368</v>
      </c>
    </row>
    <row r="132" spans="1:21" x14ac:dyDescent="0.25">
      <c r="A132" s="4">
        <v>45482.705555555556</v>
      </c>
      <c r="B132" s="1">
        <v>123.53</v>
      </c>
      <c r="C132" s="1">
        <v>336.22</v>
      </c>
      <c r="D132" s="1">
        <v>13.46</v>
      </c>
      <c r="F132" s="1">
        <f t="shared" ref="F132:H195" si="9">(B132/B131)-1</f>
        <v>4.3906008618588288E-3</v>
      </c>
      <c r="G132" s="1">
        <f t="shared" si="9"/>
        <v>-1.0156917007683841E-2</v>
      </c>
      <c r="H132" s="1">
        <f t="shared" si="9"/>
        <v>-8.8365243004417948E-3</v>
      </c>
      <c r="L132" s="1"/>
      <c r="M132" s="1"/>
      <c r="R132">
        <f t="shared" si="8"/>
        <v>-4.3808521338800427E-3</v>
      </c>
      <c r="S132">
        <f t="shared" ref="S132:S195" si="10">(R132^2)*((1-$P$2)^U132)</f>
        <v>2.1237352332905314E-226</v>
      </c>
      <c r="T132">
        <v>130</v>
      </c>
      <c r="U132">
        <f t="shared" ref="U132:U195" si="11">497-T132</f>
        <v>367</v>
      </c>
    </row>
    <row r="133" spans="1:21" x14ac:dyDescent="0.25">
      <c r="A133" s="4">
        <v>45483.705555555556</v>
      </c>
      <c r="B133" s="1">
        <v>123.65</v>
      </c>
      <c r="C133" s="1">
        <v>339.65</v>
      </c>
      <c r="D133" s="1">
        <v>13.49</v>
      </c>
      <c r="F133" s="1">
        <f t="shared" si="9"/>
        <v>9.7142394560023604E-4</v>
      </c>
      <c r="G133" s="1">
        <f t="shared" si="9"/>
        <v>1.02016536791385E-2</v>
      </c>
      <c r="H133" s="1">
        <f t="shared" si="9"/>
        <v>2.2288261515601704E-3</v>
      </c>
      <c r="L133" s="1"/>
      <c r="M133" s="1"/>
      <c r="R133">
        <f t="shared" ref="R133:R196" si="12">$L$2*F133+G133*$L$3+H133*$L$4</f>
        <v>4.0205711328896721E-3</v>
      </c>
      <c r="S133">
        <f t="shared" si="10"/>
        <v>7.1551488727502865E-226</v>
      </c>
      <c r="T133">
        <v>131</v>
      </c>
      <c r="U133">
        <f t="shared" si="11"/>
        <v>366</v>
      </c>
    </row>
    <row r="134" spans="1:21" x14ac:dyDescent="0.25">
      <c r="A134" s="4">
        <v>45484.705555555556</v>
      </c>
      <c r="B134" s="1">
        <v>124.67</v>
      </c>
      <c r="C134" s="1">
        <v>338.5</v>
      </c>
      <c r="D134" s="1">
        <v>13.8</v>
      </c>
      <c r="F134" s="1">
        <f t="shared" si="9"/>
        <v>8.249090173877871E-3</v>
      </c>
      <c r="G134" s="1">
        <f t="shared" si="9"/>
        <v>-3.3858383630206434E-3</v>
      </c>
      <c r="H134" s="1">
        <f t="shared" si="9"/>
        <v>2.2979985174203188E-2</v>
      </c>
      <c r="L134" s="1"/>
      <c r="M134" s="1"/>
      <c r="R134">
        <f t="shared" si="12"/>
        <v>8.3529710955181254E-3</v>
      </c>
      <c r="S134">
        <f t="shared" si="10"/>
        <v>1.235336070266398E-224</v>
      </c>
      <c r="T134">
        <v>132</v>
      </c>
      <c r="U134">
        <f t="shared" si="11"/>
        <v>365</v>
      </c>
    </row>
    <row r="135" spans="1:21" x14ac:dyDescent="0.25">
      <c r="A135" s="4">
        <v>45485.705555555556</v>
      </c>
      <c r="B135" s="1">
        <v>125.27</v>
      </c>
      <c r="C135" s="1">
        <v>339.87</v>
      </c>
      <c r="D135" s="1">
        <v>13.77</v>
      </c>
      <c r="F135" s="1">
        <f t="shared" si="9"/>
        <v>4.8127055426325782E-3</v>
      </c>
      <c r="G135" s="1">
        <f t="shared" si="9"/>
        <v>4.0472673559823757E-3</v>
      </c>
      <c r="H135" s="1">
        <f t="shared" si="9"/>
        <v>-2.1739130434783593E-3</v>
      </c>
      <c r="L135" s="1"/>
      <c r="M135" s="1"/>
      <c r="R135">
        <f t="shared" si="12"/>
        <v>2.0058179565409784E-3</v>
      </c>
      <c r="S135">
        <f t="shared" si="10"/>
        <v>2.8493525411769554E-225</v>
      </c>
      <c r="T135">
        <v>133</v>
      </c>
      <c r="U135">
        <f t="shared" si="11"/>
        <v>364</v>
      </c>
    </row>
    <row r="136" spans="1:21" x14ac:dyDescent="0.25">
      <c r="A136" s="4">
        <v>45488.705555555556</v>
      </c>
      <c r="B136" s="1">
        <v>125.69</v>
      </c>
      <c r="C136" s="1">
        <v>341.44</v>
      </c>
      <c r="D136" s="1">
        <v>13.85</v>
      </c>
      <c r="F136" s="1">
        <f t="shared" si="9"/>
        <v>3.3527580426280235E-3</v>
      </c>
      <c r="G136" s="1">
        <f t="shared" si="9"/>
        <v>4.6194133050871944E-3</v>
      </c>
      <c r="H136" s="1">
        <f t="shared" si="9"/>
        <v>5.8097312999274564E-3</v>
      </c>
      <c r="L136" s="1"/>
      <c r="M136" s="1"/>
      <c r="R136">
        <f t="shared" si="12"/>
        <v>4.1345707942928023E-3</v>
      </c>
      <c r="S136">
        <f t="shared" si="10"/>
        <v>4.8426603842535093E-224</v>
      </c>
      <c r="T136">
        <v>134</v>
      </c>
      <c r="U136">
        <f t="shared" si="11"/>
        <v>363</v>
      </c>
    </row>
    <row r="137" spans="1:21" x14ac:dyDescent="0.25">
      <c r="A137" s="4">
        <v>45489.705555555556</v>
      </c>
      <c r="B137" s="1">
        <v>125.49</v>
      </c>
      <c r="C137" s="1">
        <v>342.76</v>
      </c>
      <c r="D137" s="1">
        <v>14.1</v>
      </c>
      <c r="F137" s="1">
        <f t="shared" si="9"/>
        <v>-1.5912164850028221E-3</v>
      </c>
      <c r="G137" s="1">
        <f t="shared" si="9"/>
        <v>3.8659793814432852E-3</v>
      </c>
      <c r="H137" s="1">
        <f t="shared" si="9"/>
        <v>1.8050541516245522E-2</v>
      </c>
      <c r="L137" s="1"/>
      <c r="M137" s="1"/>
      <c r="R137">
        <f t="shared" si="12"/>
        <v>6.0975913238057958E-3</v>
      </c>
      <c r="S137">
        <f t="shared" si="10"/>
        <v>4.213080586234401E-223</v>
      </c>
      <c r="T137">
        <v>135</v>
      </c>
      <c r="U137">
        <f t="shared" si="11"/>
        <v>362</v>
      </c>
    </row>
    <row r="138" spans="1:21" x14ac:dyDescent="0.25">
      <c r="A138" s="4">
        <v>45490.705555555556</v>
      </c>
      <c r="B138" s="1">
        <v>125.82</v>
      </c>
      <c r="C138" s="1">
        <v>341.3</v>
      </c>
      <c r="D138" s="1">
        <v>14.16</v>
      </c>
      <c r="F138" s="1">
        <f t="shared" si="9"/>
        <v>2.6296916088930367E-3</v>
      </c>
      <c r="G138" s="1">
        <f t="shared" si="9"/>
        <v>-4.2595402030575213E-3</v>
      </c>
      <c r="H138" s="1">
        <f t="shared" si="9"/>
        <v>4.2553191489362874E-3</v>
      </c>
      <c r="L138" s="1"/>
      <c r="M138" s="1"/>
      <c r="R138">
        <f t="shared" si="12"/>
        <v>7.8764116643154102E-4</v>
      </c>
      <c r="S138">
        <f t="shared" si="10"/>
        <v>2.8119004673653018E-224</v>
      </c>
      <c r="T138">
        <v>136</v>
      </c>
      <c r="U138">
        <f t="shared" si="11"/>
        <v>361</v>
      </c>
    </row>
    <row r="139" spans="1:21" x14ac:dyDescent="0.25">
      <c r="A139" s="4">
        <v>45491.705555555556</v>
      </c>
      <c r="B139" s="1">
        <v>124.1</v>
      </c>
      <c r="C139" s="1">
        <v>344.9</v>
      </c>
      <c r="D139" s="1">
        <v>14.32</v>
      </c>
      <c r="F139" s="1">
        <f t="shared" si="9"/>
        <v>-1.3670322683198233E-2</v>
      </c>
      <c r="G139" s="1">
        <f t="shared" si="9"/>
        <v>1.0547905068854391E-2</v>
      </c>
      <c r="H139" s="1">
        <f t="shared" si="9"/>
        <v>1.1299435028248705E-2</v>
      </c>
      <c r="L139" s="1"/>
      <c r="M139" s="1"/>
      <c r="R139">
        <f t="shared" si="12"/>
        <v>2.4531052241714593E-3</v>
      </c>
      <c r="S139">
        <f t="shared" si="10"/>
        <v>1.0910269454646429E-222</v>
      </c>
      <c r="T139">
        <v>137</v>
      </c>
      <c r="U139">
        <f t="shared" si="11"/>
        <v>360</v>
      </c>
    </row>
    <row r="140" spans="1:21" x14ac:dyDescent="0.25">
      <c r="A140" s="4">
        <v>45492.705555555556</v>
      </c>
      <c r="B140" s="1">
        <v>124.04</v>
      </c>
      <c r="C140" s="1">
        <v>343.76</v>
      </c>
      <c r="D140" s="1">
        <v>14.13</v>
      </c>
      <c r="F140" s="1">
        <f t="shared" si="9"/>
        <v>-4.8348106365825316E-4</v>
      </c>
      <c r="G140" s="1">
        <f t="shared" si="9"/>
        <v>-3.3053058857639428E-3</v>
      </c>
      <c r="H140" s="1">
        <f t="shared" si="9"/>
        <v>-1.3268156424581012E-2</v>
      </c>
      <c r="L140" s="1"/>
      <c r="M140" s="1"/>
      <c r="R140">
        <f t="shared" si="12"/>
        <v>-5.117083012200963E-3</v>
      </c>
      <c r="S140">
        <f t="shared" si="10"/>
        <v>1.8989259876966624E-221</v>
      </c>
      <c r="T140">
        <v>138</v>
      </c>
      <c r="U140">
        <f t="shared" si="11"/>
        <v>359</v>
      </c>
    </row>
    <row r="141" spans="1:21" x14ac:dyDescent="0.25">
      <c r="A141" s="4">
        <v>45495.705555555556</v>
      </c>
      <c r="B141" s="1">
        <v>124.27</v>
      </c>
      <c r="C141" s="1">
        <v>345.27</v>
      </c>
      <c r="D141" s="1">
        <v>14.05</v>
      </c>
      <c r="F141" s="1">
        <f t="shared" si="9"/>
        <v>1.8542405675587847E-3</v>
      </c>
      <c r="G141" s="1">
        <f t="shared" si="9"/>
        <v>4.3925994880149588E-3</v>
      </c>
      <c r="H141" s="1">
        <f t="shared" si="9"/>
        <v>-5.6617126680821306E-3</v>
      </c>
      <c r="L141" s="1"/>
      <c r="M141" s="1"/>
      <c r="R141">
        <f t="shared" si="12"/>
        <v>1.7553821624748372E-4</v>
      </c>
      <c r="S141">
        <f t="shared" si="10"/>
        <v>8.9385374983067085E-224</v>
      </c>
      <c r="T141">
        <v>139</v>
      </c>
      <c r="U141">
        <f t="shared" si="11"/>
        <v>358</v>
      </c>
    </row>
    <row r="142" spans="1:21" x14ac:dyDescent="0.25">
      <c r="A142" s="4">
        <v>45496.705555555556</v>
      </c>
      <c r="B142" s="1">
        <v>123.06</v>
      </c>
      <c r="C142" s="1">
        <v>345.5</v>
      </c>
      <c r="D142" s="1">
        <v>14.13</v>
      </c>
      <c r="F142" s="1">
        <f t="shared" si="9"/>
        <v>-9.7368632815643119E-3</v>
      </c>
      <c r="G142" s="1">
        <f t="shared" si="9"/>
        <v>6.6614533553455146E-4</v>
      </c>
      <c r="H142" s="1">
        <f t="shared" si="9"/>
        <v>5.693950177936058E-3</v>
      </c>
      <c r="L142" s="1"/>
      <c r="M142" s="1"/>
      <c r="R142">
        <f t="shared" si="12"/>
        <v>-1.0130303304281105E-3</v>
      </c>
      <c r="S142">
        <f t="shared" si="10"/>
        <v>1.1907702967947586E-221</v>
      </c>
      <c r="T142">
        <v>140</v>
      </c>
      <c r="U142">
        <f t="shared" si="11"/>
        <v>357</v>
      </c>
    </row>
    <row r="143" spans="1:21" x14ac:dyDescent="0.25">
      <c r="A143" s="4">
        <v>45497.705555555556</v>
      </c>
      <c r="B143" s="1">
        <v>122.88</v>
      </c>
      <c r="C143" s="1">
        <v>342.5</v>
      </c>
      <c r="D143" s="1">
        <v>14.25</v>
      </c>
      <c r="F143" s="1">
        <f t="shared" si="9"/>
        <v>-1.4627011214042307E-3</v>
      </c>
      <c r="G143" s="1">
        <f t="shared" si="9"/>
        <v>-8.6830680173661801E-3</v>
      </c>
      <c r="H143" s="1">
        <f t="shared" si="9"/>
        <v>8.4925690021231404E-3</v>
      </c>
      <c r="L143" s="1"/>
      <c r="M143" s="1"/>
      <c r="R143">
        <f t="shared" si="12"/>
        <v>-4.9596004099418086E-4</v>
      </c>
      <c r="S143">
        <f t="shared" si="10"/>
        <v>1.1416591499171299E-221</v>
      </c>
      <c r="T143">
        <v>141</v>
      </c>
      <c r="U143">
        <f t="shared" si="11"/>
        <v>356</v>
      </c>
    </row>
    <row r="144" spans="1:21" x14ac:dyDescent="0.25">
      <c r="A144" s="4">
        <v>45498.705555555556</v>
      </c>
      <c r="B144" s="1">
        <v>122.42</v>
      </c>
      <c r="C144" s="1">
        <v>339.9</v>
      </c>
      <c r="D144" s="1">
        <v>14.06</v>
      </c>
      <c r="F144" s="1">
        <f t="shared" si="9"/>
        <v>-3.7434895833332593E-3</v>
      </c>
      <c r="G144" s="1">
        <f t="shared" si="9"/>
        <v>-7.5912408759124528E-3</v>
      </c>
      <c r="H144" s="1">
        <f t="shared" si="9"/>
        <v>-1.3333333333333308E-2</v>
      </c>
      <c r="L144" s="1"/>
      <c r="M144" s="1"/>
      <c r="R144">
        <f t="shared" si="12"/>
        <v>-7.4004191377737066E-3</v>
      </c>
      <c r="S144">
        <f t="shared" si="10"/>
        <v>1.0167535881810871E-218</v>
      </c>
      <c r="T144">
        <v>142</v>
      </c>
      <c r="U144">
        <f t="shared" si="11"/>
        <v>355</v>
      </c>
    </row>
    <row r="145" spans="1:21" x14ac:dyDescent="0.25">
      <c r="A145" s="4">
        <v>45499.705555555556</v>
      </c>
      <c r="B145" s="1">
        <v>123.89</v>
      </c>
      <c r="C145" s="1">
        <v>343.9</v>
      </c>
      <c r="D145" s="1">
        <v>14.18</v>
      </c>
      <c r="F145" s="1">
        <f t="shared" si="9"/>
        <v>1.2007841855905976E-2</v>
      </c>
      <c r="G145" s="1">
        <f t="shared" si="9"/>
        <v>1.1768167107973015E-2</v>
      </c>
      <c r="H145" s="1">
        <f t="shared" si="9"/>
        <v>8.5348506401137225E-3</v>
      </c>
      <c r="L145" s="1"/>
      <c r="M145" s="1"/>
      <c r="R145">
        <f t="shared" si="12"/>
        <v>9.6932578811978146E-3</v>
      </c>
      <c r="S145">
        <f t="shared" si="10"/>
        <v>6.9775443209486591E-218</v>
      </c>
      <c r="T145">
        <v>143</v>
      </c>
      <c r="U145">
        <f t="shared" si="11"/>
        <v>354</v>
      </c>
    </row>
    <row r="146" spans="1:21" x14ac:dyDescent="0.25">
      <c r="A146" s="4">
        <v>45502.705555555556</v>
      </c>
      <c r="B146" s="1">
        <v>123.4</v>
      </c>
      <c r="C146" s="1">
        <v>342.25</v>
      </c>
      <c r="D146" s="1">
        <v>14.09</v>
      </c>
      <c r="F146" s="1">
        <f t="shared" si="9"/>
        <v>-3.9551214787311162E-3</v>
      </c>
      <c r="G146" s="1">
        <f t="shared" si="9"/>
        <v>-4.7979063681301559E-3</v>
      </c>
      <c r="H146" s="1">
        <f t="shared" si="9"/>
        <v>-6.3469675599435726E-3</v>
      </c>
      <c r="L146" s="1"/>
      <c r="M146" s="1"/>
      <c r="R146">
        <f t="shared" si="12"/>
        <v>-4.5299986220414534E-3</v>
      </c>
      <c r="S146">
        <f t="shared" si="10"/>
        <v>6.0956384670287637E-218</v>
      </c>
      <c r="T146">
        <v>144</v>
      </c>
      <c r="U146">
        <f t="shared" si="11"/>
        <v>353</v>
      </c>
    </row>
    <row r="147" spans="1:21" x14ac:dyDescent="0.25">
      <c r="A147" s="4">
        <v>45503.705555555556</v>
      </c>
      <c r="B147" s="1">
        <v>122.63</v>
      </c>
      <c r="C147" s="1">
        <v>339.5</v>
      </c>
      <c r="D147" s="1">
        <v>14.22</v>
      </c>
      <c r="F147" s="1">
        <f t="shared" si="9"/>
        <v>-6.239870340356668E-3</v>
      </c>
      <c r="G147" s="1">
        <f t="shared" si="9"/>
        <v>-8.0350620891161961E-3</v>
      </c>
      <c r="H147" s="1">
        <f t="shared" si="9"/>
        <v>9.2264017033356627E-3</v>
      </c>
      <c r="L147" s="1"/>
      <c r="M147" s="1"/>
      <c r="R147">
        <f t="shared" si="12"/>
        <v>-1.5145592178411596E-3</v>
      </c>
      <c r="S147">
        <f t="shared" si="10"/>
        <v>2.7255588867870265E-218</v>
      </c>
      <c r="T147">
        <v>145</v>
      </c>
      <c r="U147">
        <f t="shared" si="11"/>
        <v>352</v>
      </c>
    </row>
    <row r="148" spans="1:21" x14ac:dyDescent="0.25">
      <c r="A148" s="4">
        <v>45504.705555555556</v>
      </c>
      <c r="B148" s="1">
        <v>124.05</v>
      </c>
      <c r="C148" s="1">
        <v>347.7</v>
      </c>
      <c r="D148" s="1">
        <v>14.56</v>
      </c>
      <c r="F148" s="1">
        <f t="shared" si="9"/>
        <v>1.1579548234526671E-2</v>
      </c>
      <c r="G148" s="1">
        <f t="shared" si="9"/>
        <v>2.4153166421207573E-2</v>
      </c>
      <c r="H148" s="1">
        <f t="shared" si="9"/>
        <v>2.3909985935302469E-2</v>
      </c>
      <c r="L148" s="1"/>
      <c r="M148" s="1"/>
      <c r="R148">
        <f t="shared" si="12"/>
        <v>1.7892810177311015E-2</v>
      </c>
      <c r="S148">
        <f t="shared" si="10"/>
        <v>1.5215987858177035E-215</v>
      </c>
      <c r="T148">
        <v>146</v>
      </c>
      <c r="U148">
        <f t="shared" si="11"/>
        <v>351</v>
      </c>
    </row>
    <row r="149" spans="1:21" x14ac:dyDescent="0.25">
      <c r="A149" s="4">
        <v>45505.705555555556</v>
      </c>
      <c r="B149" s="1">
        <v>123.93</v>
      </c>
      <c r="C149" s="1">
        <v>347.5</v>
      </c>
      <c r="D149" s="1">
        <v>14.75</v>
      </c>
      <c r="F149" s="1">
        <f t="shared" si="9"/>
        <v>-9.6735187424412672E-4</v>
      </c>
      <c r="G149" s="1">
        <f t="shared" si="9"/>
        <v>-5.7520851308601184E-4</v>
      </c>
      <c r="H149" s="1">
        <f t="shared" si="9"/>
        <v>1.3049450549450503E-2</v>
      </c>
      <c r="L149" s="1"/>
      <c r="M149" s="1"/>
      <c r="R149">
        <f t="shared" si="12"/>
        <v>3.4520670486361104E-3</v>
      </c>
      <c r="S149">
        <f t="shared" si="10"/>
        <v>2.2654865066834883E-216</v>
      </c>
      <c r="T149">
        <v>147</v>
      </c>
      <c r="U149">
        <f t="shared" si="11"/>
        <v>350</v>
      </c>
    </row>
    <row r="150" spans="1:21" x14ac:dyDescent="0.25">
      <c r="A150" s="4">
        <v>45506.705555555556</v>
      </c>
      <c r="B150" s="1">
        <v>122.35</v>
      </c>
      <c r="C150" s="1">
        <v>339.73</v>
      </c>
      <c r="D150" s="1">
        <v>14.63</v>
      </c>
      <c r="F150" s="1">
        <f t="shared" si="9"/>
        <v>-1.2749132574840782E-2</v>
      </c>
      <c r="G150" s="1">
        <f t="shared" si="9"/>
        <v>-2.2359712230215822E-2</v>
      </c>
      <c r="H150" s="1">
        <f t="shared" si="9"/>
        <v>-8.1355932203389658E-3</v>
      </c>
      <c r="L150" s="1"/>
      <c r="M150" s="1"/>
      <c r="R150">
        <f t="shared" si="12"/>
        <v>-1.2973331407618673E-2</v>
      </c>
      <c r="S150">
        <f t="shared" si="10"/>
        <v>1.2798705657955502E-214</v>
      </c>
      <c r="T150">
        <v>148</v>
      </c>
      <c r="U150">
        <f t="shared" si="11"/>
        <v>349</v>
      </c>
    </row>
    <row r="151" spans="1:21" x14ac:dyDescent="0.25">
      <c r="A151" s="4">
        <v>45509.705555555556</v>
      </c>
      <c r="B151" s="1">
        <v>121.68</v>
      </c>
      <c r="C151" s="1">
        <v>332</v>
      </c>
      <c r="D151" s="1">
        <v>14.52</v>
      </c>
      <c r="F151" s="1">
        <f t="shared" si="9"/>
        <v>-5.4760931753166098E-3</v>
      </c>
      <c r="G151" s="1">
        <f t="shared" si="9"/>
        <v>-2.2753362964707313E-2</v>
      </c>
      <c r="H151" s="1">
        <f t="shared" si="9"/>
        <v>-7.5187969924812581E-3</v>
      </c>
      <c r="L151" s="1"/>
      <c r="M151" s="1"/>
      <c r="R151">
        <f t="shared" si="12"/>
        <v>-1.0724475939751555E-2</v>
      </c>
      <c r="S151">
        <f t="shared" si="10"/>
        <v>3.4984460123459354E-214</v>
      </c>
      <c r="T151">
        <v>149</v>
      </c>
      <c r="U151">
        <f t="shared" si="11"/>
        <v>348</v>
      </c>
    </row>
    <row r="152" spans="1:21" x14ac:dyDescent="0.25">
      <c r="A152" s="4">
        <v>45510.705555555556</v>
      </c>
      <c r="B152" s="1">
        <v>122.79</v>
      </c>
      <c r="C152" s="1">
        <v>329.72</v>
      </c>
      <c r="D152" s="1">
        <v>14.21</v>
      </c>
      <c r="F152" s="1">
        <f t="shared" si="9"/>
        <v>9.1222879684418334E-3</v>
      </c>
      <c r="G152" s="1">
        <f t="shared" si="9"/>
        <v>-6.8674698795180289E-3</v>
      </c>
      <c r="H152" s="1">
        <f t="shared" si="9"/>
        <v>-2.1349862258953078E-2</v>
      </c>
      <c r="L152" s="1"/>
      <c r="M152" s="1"/>
      <c r="R152">
        <f t="shared" si="12"/>
        <v>-5.7285132510087834E-3</v>
      </c>
      <c r="S152">
        <f t="shared" si="10"/>
        <v>3.9927015947795321E-214</v>
      </c>
      <c r="T152">
        <v>150</v>
      </c>
      <c r="U152">
        <f t="shared" si="11"/>
        <v>347</v>
      </c>
    </row>
    <row r="153" spans="1:21" x14ac:dyDescent="0.25">
      <c r="A153" s="4">
        <v>45511.705555555556</v>
      </c>
      <c r="B153" s="1">
        <v>124</v>
      </c>
      <c r="C153" s="1">
        <v>325.81</v>
      </c>
      <c r="D153" s="1">
        <v>14.1</v>
      </c>
      <c r="F153" s="1">
        <f t="shared" si="9"/>
        <v>9.8542226565681013E-3</v>
      </c>
      <c r="G153" s="1">
        <f t="shared" si="9"/>
        <v>-1.185854664563879E-2</v>
      </c>
      <c r="H153" s="1">
        <f t="shared" si="9"/>
        <v>-7.7410274454610128E-3</v>
      </c>
      <c r="L153" s="1"/>
      <c r="M153" s="1"/>
      <c r="R153">
        <f t="shared" si="12"/>
        <v>-2.9236054303595112E-3</v>
      </c>
      <c r="S153">
        <f t="shared" si="10"/>
        <v>4.159877294686183E-214</v>
      </c>
      <c r="T153">
        <v>151</v>
      </c>
      <c r="U153">
        <f t="shared" si="11"/>
        <v>346</v>
      </c>
    </row>
    <row r="154" spans="1:21" x14ac:dyDescent="0.25">
      <c r="A154" s="4">
        <v>45512.705555555556</v>
      </c>
      <c r="B154" s="1">
        <v>125.12</v>
      </c>
      <c r="C154" s="1">
        <v>330.72</v>
      </c>
      <c r="D154" s="1">
        <v>14.2</v>
      </c>
      <c r="F154" s="1">
        <f t="shared" si="9"/>
        <v>9.0322580645161299E-3</v>
      </c>
      <c r="G154" s="1">
        <f t="shared" si="9"/>
        <v>1.5070132899542843E-2</v>
      </c>
      <c r="H154" s="1">
        <f t="shared" si="9"/>
        <v>7.0921985815601829E-3</v>
      </c>
      <c r="L154" s="1"/>
      <c r="M154" s="1"/>
      <c r="R154">
        <f t="shared" si="12"/>
        <v>9.358376863685746E-3</v>
      </c>
      <c r="S154">
        <f t="shared" si="10"/>
        <v>1.7049201849883113E-212</v>
      </c>
      <c r="T154">
        <v>152</v>
      </c>
      <c r="U154">
        <f t="shared" si="11"/>
        <v>345</v>
      </c>
    </row>
    <row r="155" spans="1:21" x14ac:dyDescent="0.25">
      <c r="A155" s="4">
        <v>45513.705555555556</v>
      </c>
      <c r="B155" s="1">
        <v>127.01</v>
      </c>
      <c r="C155" s="1">
        <v>327.9</v>
      </c>
      <c r="D155" s="1">
        <v>14.08</v>
      </c>
      <c r="F155" s="1">
        <f t="shared" si="9"/>
        <v>1.5105498721227573E-2</v>
      </c>
      <c r="G155" s="1">
        <f t="shared" si="9"/>
        <v>-8.5268505079827417E-3</v>
      </c>
      <c r="H155" s="1">
        <f t="shared" si="9"/>
        <v>-8.4507042253521014E-3</v>
      </c>
      <c r="L155" s="1"/>
      <c r="M155" s="1"/>
      <c r="R155">
        <f t="shared" si="12"/>
        <v>-5.6161680363218123E-4</v>
      </c>
      <c r="S155">
        <f t="shared" si="10"/>
        <v>2.4560837406948616E-214</v>
      </c>
      <c r="T155">
        <v>153</v>
      </c>
      <c r="U155">
        <f t="shared" si="11"/>
        <v>344</v>
      </c>
    </row>
    <row r="156" spans="1:21" x14ac:dyDescent="0.25">
      <c r="A156" s="4">
        <v>45516.705555555556</v>
      </c>
      <c r="B156" s="1">
        <v>127.53</v>
      </c>
      <c r="C156" s="1">
        <v>327.45</v>
      </c>
      <c r="D156" s="1">
        <v>14.28</v>
      </c>
      <c r="F156" s="1">
        <f t="shared" si="9"/>
        <v>4.0941658137154668E-3</v>
      </c>
      <c r="G156" s="1">
        <f t="shared" si="9"/>
        <v>-1.3723696248856276E-3</v>
      </c>
      <c r="H156" s="1">
        <f t="shared" si="9"/>
        <v>1.4204545454545414E-2</v>
      </c>
      <c r="L156" s="1"/>
      <c r="M156" s="1"/>
      <c r="R156">
        <f t="shared" si="12"/>
        <v>5.0779024930125765E-3</v>
      </c>
      <c r="S156">
        <f t="shared" si="10"/>
        <v>8.0314080007723354E-212</v>
      </c>
      <c r="T156">
        <v>154</v>
      </c>
      <c r="U156">
        <f t="shared" si="11"/>
        <v>343</v>
      </c>
    </row>
    <row r="157" spans="1:21" x14ac:dyDescent="0.25">
      <c r="A157" s="4">
        <v>45517.705555555556</v>
      </c>
      <c r="B157" s="1">
        <v>128.76</v>
      </c>
      <c r="C157" s="1">
        <v>329.9</v>
      </c>
      <c r="D157" s="1">
        <v>14.13</v>
      </c>
      <c r="F157" s="1">
        <f t="shared" si="9"/>
        <v>9.6447894613032048E-3</v>
      </c>
      <c r="G157" s="1">
        <f t="shared" si="9"/>
        <v>7.4820583295158727E-3</v>
      </c>
      <c r="H157" s="1">
        <f t="shared" si="9"/>
        <v>-1.0504201680672121E-2</v>
      </c>
      <c r="L157" s="1"/>
      <c r="M157" s="1"/>
      <c r="R157">
        <f t="shared" si="12"/>
        <v>1.9867938330440866E-3</v>
      </c>
      <c r="S157">
        <f t="shared" si="10"/>
        <v>4.9180005436409668E-212</v>
      </c>
      <c r="T157">
        <v>155</v>
      </c>
      <c r="U157">
        <f t="shared" si="11"/>
        <v>342</v>
      </c>
    </row>
    <row r="158" spans="1:21" x14ac:dyDescent="0.25">
      <c r="A158" s="4">
        <v>45518.705555555556</v>
      </c>
      <c r="B158" s="1">
        <v>129.66</v>
      </c>
      <c r="C158" s="1">
        <v>332.49</v>
      </c>
      <c r="D158" s="1">
        <v>14.05</v>
      </c>
      <c r="F158" s="1">
        <f t="shared" si="9"/>
        <v>6.9897483690588569E-3</v>
      </c>
      <c r="G158" s="1">
        <f t="shared" si="9"/>
        <v>7.8508638981511503E-3</v>
      </c>
      <c r="H158" s="1">
        <f t="shared" si="9"/>
        <v>-5.6617126680821306E-3</v>
      </c>
      <c r="L158" s="1"/>
      <c r="M158" s="1"/>
      <c r="R158">
        <f t="shared" si="12"/>
        <v>2.7536698797383631E-3</v>
      </c>
      <c r="S158">
        <f t="shared" si="10"/>
        <v>3.7789113646712874E-211</v>
      </c>
      <c r="T158">
        <v>156</v>
      </c>
      <c r="U158">
        <f t="shared" si="11"/>
        <v>341</v>
      </c>
    </row>
    <row r="159" spans="1:21" x14ac:dyDescent="0.25">
      <c r="A159" s="4">
        <v>45519.705555555556</v>
      </c>
      <c r="B159" s="1">
        <v>130.47</v>
      </c>
      <c r="C159" s="1">
        <v>338.84</v>
      </c>
      <c r="D159" s="1">
        <v>14.15</v>
      </c>
      <c r="F159" s="1">
        <f t="shared" si="9"/>
        <v>6.2471078204535679E-3</v>
      </c>
      <c r="G159" s="1">
        <f t="shared" si="9"/>
        <v>1.9098318746428422E-2</v>
      </c>
      <c r="H159" s="1">
        <f t="shared" si="9"/>
        <v>7.1174377224199059E-3</v>
      </c>
      <c r="L159" s="1"/>
      <c r="M159" s="1"/>
      <c r="R159">
        <f t="shared" si="12"/>
        <v>9.7388592867905695E-3</v>
      </c>
      <c r="S159">
        <f t="shared" si="10"/>
        <v>1.8906847894863581E-209</v>
      </c>
      <c r="T159">
        <v>157</v>
      </c>
      <c r="U159">
        <f t="shared" si="11"/>
        <v>340</v>
      </c>
    </row>
    <row r="160" spans="1:21" x14ac:dyDescent="0.25">
      <c r="A160" s="4">
        <v>45520.705555555556</v>
      </c>
      <c r="B160" s="1">
        <v>130.30000000000001</v>
      </c>
      <c r="C160" s="1">
        <v>338.35</v>
      </c>
      <c r="D160" s="1">
        <v>14.43</v>
      </c>
      <c r="F160" s="1">
        <f t="shared" si="9"/>
        <v>-1.3029815283206458E-3</v>
      </c>
      <c r="G160" s="1">
        <f t="shared" si="9"/>
        <v>-1.4461102585289209E-3</v>
      </c>
      <c r="H160" s="1">
        <f t="shared" si="9"/>
        <v>1.9787985865724389E-2</v>
      </c>
      <c r="L160" s="1"/>
      <c r="M160" s="1"/>
      <c r="R160">
        <f t="shared" si="12"/>
        <v>5.1116682236624477E-3</v>
      </c>
      <c r="S160">
        <f t="shared" si="10"/>
        <v>2.0834748174233612E-209</v>
      </c>
      <c r="T160">
        <v>158</v>
      </c>
      <c r="U160">
        <f t="shared" si="11"/>
        <v>339</v>
      </c>
    </row>
    <row r="161" spans="1:21" x14ac:dyDescent="0.25">
      <c r="A161" s="4">
        <v>45523.705555555556</v>
      </c>
      <c r="B161" s="1">
        <v>132.03</v>
      </c>
      <c r="C161" s="1">
        <v>338.08</v>
      </c>
      <c r="D161" s="1">
        <v>14.25</v>
      </c>
      <c r="F161" s="1">
        <f t="shared" si="9"/>
        <v>1.3277052954719704E-2</v>
      </c>
      <c r="G161" s="1">
        <f t="shared" si="9"/>
        <v>-7.9799024678595121E-4</v>
      </c>
      <c r="H161" s="1">
        <f t="shared" si="9"/>
        <v>-1.2474012474012475E-2</v>
      </c>
      <c r="L161" s="1"/>
      <c r="M161" s="1"/>
      <c r="R161">
        <f t="shared" si="12"/>
        <v>1.5150701763826102E-6</v>
      </c>
      <c r="S161">
        <f t="shared" si="10"/>
        <v>7.3213038238811252E-216</v>
      </c>
      <c r="T161">
        <v>159</v>
      </c>
      <c r="U161">
        <f t="shared" si="11"/>
        <v>338</v>
      </c>
    </row>
    <row r="162" spans="1:21" x14ac:dyDescent="0.25">
      <c r="A162" s="4">
        <v>45524.705555555556</v>
      </c>
      <c r="B162" s="1">
        <v>132.37</v>
      </c>
      <c r="C162" s="1">
        <v>342.17</v>
      </c>
      <c r="D162" s="1">
        <v>14.47</v>
      </c>
      <c r="F162" s="1">
        <f t="shared" si="9"/>
        <v>2.5751723093236922E-3</v>
      </c>
      <c r="G162" s="1">
        <f t="shared" si="9"/>
        <v>1.2097728348320125E-2</v>
      </c>
      <c r="H162" s="1">
        <f t="shared" si="9"/>
        <v>1.5438596491228029E-2</v>
      </c>
      <c r="L162" s="1"/>
      <c r="M162" s="1"/>
      <c r="R162">
        <f t="shared" si="12"/>
        <v>9.0334491446615543E-3</v>
      </c>
      <c r="S162">
        <f t="shared" si="10"/>
        <v>1.0410944478875136E-207</v>
      </c>
      <c r="T162">
        <v>160</v>
      </c>
      <c r="U162">
        <f t="shared" si="11"/>
        <v>337</v>
      </c>
    </row>
    <row r="163" spans="1:21" x14ac:dyDescent="0.25">
      <c r="A163" s="4">
        <v>45525.705555555556</v>
      </c>
      <c r="B163" s="1">
        <v>132.71</v>
      </c>
      <c r="C163" s="1">
        <v>343.25</v>
      </c>
      <c r="D163" s="1">
        <v>14.48</v>
      </c>
      <c r="F163" s="1">
        <f t="shared" si="9"/>
        <v>2.5685578303240586E-3</v>
      </c>
      <c r="G163" s="1">
        <f t="shared" si="9"/>
        <v>3.1563258029634333E-3</v>
      </c>
      <c r="H163" s="1">
        <f t="shared" si="9"/>
        <v>6.9108500345538282E-4</v>
      </c>
      <c r="L163" s="1"/>
      <c r="M163" s="1"/>
      <c r="R163">
        <f t="shared" si="12"/>
        <v>1.9247905910228626E-3</v>
      </c>
      <c r="S163">
        <f t="shared" si="10"/>
        <v>1.8906445532344291E-208</v>
      </c>
      <c r="T163">
        <v>161</v>
      </c>
      <c r="U163">
        <f t="shared" si="11"/>
        <v>336</v>
      </c>
    </row>
    <row r="164" spans="1:21" x14ac:dyDescent="0.25">
      <c r="A164" s="4">
        <v>45526.705555555556</v>
      </c>
      <c r="B164" s="1">
        <v>131.55000000000001</v>
      </c>
      <c r="C164" s="1">
        <v>347.31</v>
      </c>
      <c r="D164" s="1">
        <v>14.55</v>
      </c>
      <c r="F164" s="1">
        <f t="shared" si="9"/>
        <v>-8.7408635370356258E-3</v>
      </c>
      <c r="G164" s="1">
        <f t="shared" si="9"/>
        <v>1.1828113619810621E-2</v>
      </c>
      <c r="H164" s="1">
        <f t="shared" si="9"/>
        <v>4.8342541436463549E-3</v>
      </c>
      <c r="L164" s="1"/>
      <c r="M164" s="1"/>
      <c r="R164">
        <f t="shared" si="12"/>
        <v>2.3764512679264049E-3</v>
      </c>
      <c r="S164">
        <f t="shared" si="10"/>
        <v>1.1528179527246632E-207</v>
      </c>
      <c r="T164">
        <v>162</v>
      </c>
      <c r="U164">
        <f t="shared" si="11"/>
        <v>335</v>
      </c>
    </row>
    <row r="165" spans="1:21" x14ac:dyDescent="0.25">
      <c r="A165" s="4">
        <v>45527.705555555556</v>
      </c>
      <c r="B165" s="1">
        <v>131.93</v>
      </c>
      <c r="C165" s="1">
        <v>344.48</v>
      </c>
      <c r="D165" s="1">
        <v>14.46</v>
      </c>
      <c r="F165" s="1">
        <f t="shared" si="9"/>
        <v>2.8886354998098884E-3</v>
      </c>
      <c r="G165" s="1">
        <f t="shared" si="9"/>
        <v>-8.1483400996227306E-3</v>
      </c>
      <c r="H165" s="1">
        <f t="shared" si="9"/>
        <v>-6.1855670103092564E-3</v>
      </c>
      <c r="L165" s="1"/>
      <c r="M165" s="1"/>
      <c r="R165">
        <f t="shared" si="12"/>
        <v>-3.4335814830366296E-3</v>
      </c>
      <c r="S165">
        <f t="shared" si="10"/>
        <v>9.6262605602419083E-207</v>
      </c>
      <c r="T165">
        <v>163</v>
      </c>
      <c r="U165">
        <f t="shared" si="11"/>
        <v>334</v>
      </c>
    </row>
    <row r="166" spans="1:21" x14ac:dyDescent="0.25">
      <c r="A166" s="4">
        <v>45530.705555555556</v>
      </c>
      <c r="B166" s="1">
        <v>133.16</v>
      </c>
      <c r="C166" s="1">
        <v>343.9</v>
      </c>
      <c r="D166" s="1">
        <v>14.55</v>
      </c>
      <c r="F166" s="1">
        <f t="shared" si="9"/>
        <v>9.3231259000985389E-3</v>
      </c>
      <c r="G166" s="1">
        <f t="shared" si="9"/>
        <v>-1.6836971667442135E-3</v>
      </c>
      <c r="H166" s="1">
        <f t="shared" si="9"/>
        <v>6.2240663900414717E-3</v>
      </c>
      <c r="L166" s="1"/>
      <c r="M166" s="1"/>
      <c r="R166">
        <f t="shared" si="12"/>
        <v>4.1590485370187396E-3</v>
      </c>
      <c r="S166">
        <f t="shared" si="10"/>
        <v>5.6495110861358088E-206</v>
      </c>
      <c r="T166">
        <v>164</v>
      </c>
      <c r="U166">
        <f t="shared" si="11"/>
        <v>333</v>
      </c>
    </row>
    <row r="167" spans="1:21" x14ac:dyDescent="0.25">
      <c r="A167" s="4">
        <v>45531.705555555556</v>
      </c>
      <c r="B167" s="1">
        <v>133.08000000000001</v>
      </c>
      <c r="C167" s="1">
        <v>345.58</v>
      </c>
      <c r="D167" s="1">
        <v>14.62</v>
      </c>
      <c r="F167" s="1">
        <f t="shared" si="9"/>
        <v>-6.0078101531979566E-4</v>
      </c>
      <c r="G167" s="1">
        <f t="shared" si="9"/>
        <v>4.8851410293691E-3</v>
      </c>
      <c r="H167" s="1">
        <f t="shared" si="9"/>
        <v>4.8109965635738661E-3</v>
      </c>
      <c r="L167" s="1"/>
      <c r="M167" s="1"/>
      <c r="R167">
        <f t="shared" si="12"/>
        <v>2.7286069732869512E-3</v>
      </c>
      <c r="S167">
        <f t="shared" si="10"/>
        <v>9.7266849345499856E-206</v>
      </c>
      <c r="T167">
        <v>165</v>
      </c>
      <c r="U167">
        <f t="shared" si="11"/>
        <v>332</v>
      </c>
    </row>
    <row r="168" spans="1:21" x14ac:dyDescent="0.25">
      <c r="A168" s="4">
        <v>45532.705555555556</v>
      </c>
      <c r="B168" s="1">
        <v>133.62</v>
      </c>
      <c r="C168" s="1">
        <v>346.55</v>
      </c>
      <c r="D168" s="1">
        <v>14.62</v>
      </c>
      <c r="F168" s="1">
        <f t="shared" si="9"/>
        <v>4.0577096483318531E-3</v>
      </c>
      <c r="G168" s="1">
        <f t="shared" si="9"/>
        <v>2.8068753978818251E-3</v>
      </c>
      <c r="H168" s="1">
        <f t="shared" si="9"/>
        <v>0</v>
      </c>
      <c r="L168" s="1"/>
      <c r="M168" s="1"/>
      <c r="R168">
        <f t="shared" si="12"/>
        <v>2.0593755138641036E-3</v>
      </c>
      <c r="S168">
        <f t="shared" si="10"/>
        <v>2.2162255619693392E-205</v>
      </c>
      <c r="T168">
        <v>166</v>
      </c>
      <c r="U168">
        <f t="shared" si="11"/>
        <v>331</v>
      </c>
    </row>
    <row r="169" spans="1:21" x14ac:dyDescent="0.25">
      <c r="A169" s="4">
        <v>45533.705555555556</v>
      </c>
      <c r="B169" s="1">
        <v>132.38999999999999</v>
      </c>
      <c r="C169" s="1">
        <v>351.1</v>
      </c>
      <c r="D169" s="1">
        <v>14.94</v>
      </c>
      <c r="F169" s="1">
        <f t="shared" si="9"/>
        <v>-9.2052088010777799E-3</v>
      </c>
      <c r="G169" s="1">
        <f t="shared" si="9"/>
        <v>1.3129418554321148E-2</v>
      </c>
      <c r="H169" s="1">
        <f t="shared" si="9"/>
        <v>2.188782489740082E-2</v>
      </c>
      <c r="L169" s="1"/>
      <c r="M169" s="1"/>
      <c r="R169">
        <f t="shared" si="12"/>
        <v>7.7436103951932572E-3</v>
      </c>
      <c r="S169">
        <f t="shared" si="10"/>
        <v>1.2534004609954064E-203</v>
      </c>
      <c r="T169">
        <v>167</v>
      </c>
      <c r="U169">
        <f t="shared" si="11"/>
        <v>330</v>
      </c>
    </row>
    <row r="170" spans="1:21" x14ac:dyDescent="0.25">
      <c r="A170" s="4">
        <v>45534.705555555556</v>
      </c>
      <c r="B170" s="1">
        <v>132.29</v>
      </c>
      <c r="C170" s="1">
        <v>354.85</v>
      </c>
      <c r="D170" s="1">
        <v>14.82</v>
      </c>
      <c r="F170" s="1">
        <f t="shared" si="9"/>
        <v>-7.553440592189542E-4</v>
      </c>
      <c r="G170" s="1">
        <f t="shared" si="9"/>
        <v>1.0680717744232515E-2</v>
      </c>
      <c r="H170" s="1">
        <f t="shared" si="9"/>
        <v>-8.0321285140562138E-3</v>
      </c>
      <c r="L170" s="1"/>
      <c r="M170" s="1"/>
      <c r="R170">
        <f t="shared" si="12"/>
        <v>5.6797355128720365E-4</v>
      </c>
      <c r="S170">
        <f t="shared" si="10"/>
        <v>2.6972368103746948E-205</v>
      </c>
      <c r="T170">
        <v>168</v>
      </c>
      <c r="U170">
        <f t="shared" si="11"/>
        <v>329</v>
      </c>
    </row>
    <row r="171" spans="1:21" x14ac:dyDescent="0.25">
      <c r="A171" s="4">
        <v>45537.705555555556</v>
      </c>
      <c r="B171" s="1">
        <v>131.28</v>
      </c>
      <c r="C171" s="1">
        <v>354.5</v>
      </c>
      <c r="D171" s="1">
        <v>14.9</v>
      </c>
      <c r="F171" s="1">
        <f t="shared" si="9"/>
        <v>-7.6347418550154478E-3</v>
      </c>
      <c r="G171" s="1">
        <f t="shared" si="9"/>
        <v>-9.8633225306477001E-4</v>
      </c>
      <c r="H171" s="1">
        <f t="shared" si="9"/>
        <v>5.3981106612686069E-3</v>
      </c>
      <c r="L171" s="1"/>
      <c r="M171" s="1"/>
      <c r="R171">
        <f t="shared" si="12"/>
        <v>-9.6688903404348317E-4</v>
      </c>
      <c r="S171">
        <f t="shared" si="10"/>
        <v>3.1266272875555252E-204</v>
      </c>
      <c r="T171">
        <v>169</v>
      </c>
      <c r="U171">
        <f t="shared" si="11"/>
        <v>328</v>
      </c>
    </row>
    <row r="172" spans="1:21" x14ac:dyDescent="0.25">
      <c r="A172" s="4">
        <v>45538.705555555556</v>
      </c>
      <c r="B172" s="1">
        <v>130.72</v>
      </c>
      <c r="C172" s="1">
        <v>347.78</v>
      </c>
      <c r="D172" s="1">
        <v>14.77</v>
      </c>
      <c r="F172" s="1">
        <f t="shared" si="9"/>
        <v>-4.2656916514320908E-3</v>
      </c>
      <c r="G172" s="1">
        <f t="shared" si="9"/>
        <v>-1.8956276445698195E-2</v>
      </c>
      <c r="H172" s="1">
        <f t="shared" si="9"/>
        <v>-8.7248322147651658E-3</v>
      </c>
      <c r="L172" s="1"/>
      <c r="M172" s="1"/>
      <c r="R172">
        <f t="shared" si="12"/>
        <v>-9.5840400935686357E-3</v>
      </c>
      <c r="S172">
        <f t="shared" si="10"/>
        <v>1.2287968219875585E-201</v>
      </c>
      <c r="T172">
        <v>170</v>
      </c>
      <c r="U172">
        <f t="shared" si="11"/>
        <v>327</v>
      </c>
    </row>
    <row r="173" spans="1:21" x14ac:dyDescent="0.25">
      <c r="A173" s="4">
        <v>45539.705555555556</v>
      </c>
      <c r="B173" s="1">
        <v>132.35</v>
      </c>
      <c r="C173" s="1">
        <v>347</v>
      </c>
      <c r="D173" s="1">
        <v>14.78</v>
      </c>
      <c r="F173" s="1">
        <f t="shared" si="9"/>
        <v>1.2469400244798035E-2</v>
      </c>
      <c r="G173" s="1">
        <f t="shared" si="9"/>
        <v>-2.2427971706250327E-3</v>
      </c>
      <c r="H173" s="1">
        <f t="shared" si="9"/>
        <v>6.7704807041302217E-4</v>
      </c>
      <c r="L173" s="1"/>
      <c r="M173" s="1"/>
      <c r="R173">
        <f t="shared" si="12"/>
        <v>3.2710953433758069E-3</v>
      </c>
      <c r="S173">
        <f t="shared" si="10"/>
        <v>5.7257084824421981E-202</v>
      </c>
      <c r="T173">
        <v>171</v>
      </c>
      <c r="U173">
        <f t="shared" si="11"/>
        <v>326</v>
      </c>
    </row>
    <row r="174" spans="1:21" x14ac:dyDescent="0.25">
      <c r="A174" s="4">
        <v>45540.705555555556</v>
      </c>
      <c r="B174" s="1">
        <v>132.80000000000001</v>
      </c>
      <c r="C174" s="1">
        <v>342.39</v>
      </c>
      <c r="D174" s="1">
        <v>14.73</v>
      </c>
      <c r="F174" s="1">
        <f t="shared" si="9"/>
        <v>3.4000755572347607E-3</v>
      </c>
      <c r="G174" s="1">
        <f t="shared" si="9"/>
        <v>-1.3285302593660009E-2</v>
      </c>
      <c r="H174" s="1">
        <f t="shared" si="9"/>
        <v>-3.3829499323408951E-3</v>
      </c>
      <c r="L174" s="1"/>
      <c r="M174" s="1"/>
      <c r="R174">
        <f t="shared" si="12"/>
        <v>-3.9804530906298432E-3</v>
      </c>
      <c r="S174">
        <f t="shared" si="10"/>
        <v>3.3913127192078195E-201</v>
      </c>
      <c r="T174">
        <v>172</v>
      </c>
      <c r="U174">
        <f t="shared" si="11"/>
        <v>325</v>
      </c>
    </row>
    <row r="175" spans="1:21" x14ac:dyDescent="0.25">
      <c r="A175" s="4">
        <v>45541.705555555556</v>
      </c>
      <c r="B175" s="1">
        <v>130.96</v>
      </c>
      <c r="C175" s="1">
        <v>337.95</v>
      </c>
      <c r="D175" s="1">
        <v>14.68</v>
      </c>
      <c r="F175" s="1">
        <f t="shared" si="9"/>
        <v>-1.3855421686747027E-2</v>
      </c>
      <c r="G175" s="1">
        <f t="shared" si="9"/>
        <v>-1.2967668448260694E-2</v>
      </c>
      <c r="H175" s="1">
        <f t="shared" si="9"/>
        <v>-3.3944331296673624E-3</v>
      </c>
      <c r="L175" s="1"/>
      <c r="M175" s="1"/>
      <c r="R175">
        <f t="shared" si="12"/>
        <v>-9.0652569794025251E-3</v>
      </c>
      <c r="S175">
        <f t="shared" si="10"/>
        <v>7.0359549401238385E-200</v>
      </c>
      <c r="T175">
        <v>173</v>
      </c>
      <c r="U175">
        <f t="shared" si="11"/>
        <v>324</v>
      </c>
    </row>
    <row r="176" spans="1:21" x14ac:dyDescent="0.25">
      <c r="A176" s="4">
        <v>45544.705555555556</v>
      </c>
      <c r="B176" s="1">
        <v>131.09</v>
      </c>
      <c r="C176" s="1">
        <v>340.45</v>
      </c>
      <c r="D176" s="1">
        <v>14.68</v>
      </c>
      <c r="F176" s="1">
        <f t="shared" si="9"/>
        <v>9.9266951740983878E-4</v>
      </c>
      <c r="G176" s="1">
        <f t="shared" si="9"/>
        <v>7.3975440153868366E-3</v>
      </c>
      <c r="H176" s="1">
        <f t="shared" si="9"/>
        <v>0</v>
      </c>
      <c r="L176" s="1"/>
      <c r="M176" s="1"/>
      <c r="R176">
        <f t="shared" si="12"/>
        <v>2.5170640598390025E-3</v>
      </c>
      <c r="S176">
        <f t="shared" si="10"/>
        <v>2.1697581994486077E-200</v>
      </c>
      <c r="T176">
        <v>174</v>
      </c>
      <c r="U176">
        <f t="shared" si="11"/>
        <v>323</v>
      </c>
    </row>
    <row r="177" spans="1:21" x14ac:dyDescent="0.25">
      <c r="A177" s="4">
        <v>45545.705555555556</v>
      </c>
      <c r="B177" s="1">
        <v>130.69</v>
      </c>
      <c r="C177" s="1">
        <v>346.45</v>
      </c>
      <c r="D177" s="1">
        <v>14.94</v>
      </c>
      <c r="F177" s="1">
        <f t="shared" si="9"/>
        <v>-3.051338774887502E-3</v>
      </c>
      <c r="G177" s="1">
        <f t="shared" si="9"/>
        <v>1.7623733294169552E-2</v>
      </c>
      <c r="H177" s="1">
        <f t="shared" si="9"/>
        <v>1.7711171662125436E-2</v>
      </c>
      <c r="L177" s="1"/>
      <c r="M177" s="1"/>
      <c r="R177">
        <f t="shared" si="12"/>
        <v>9.6850698544222458E-3</v>
      </c>
      <c r="S177">
        <f t="shared" si="10"/>
        <v>1.2849561499323763E-198</v>
      </c>
      <c r="T177">
        <v>175</v>
      </c>
      <c r="U177">
        <f t="shared" si="11"/>
        <v>322</v>
      </c>
    </row>
    <row r="178" spans="1:21" x14ac:dyDescent="0.25">
      <c r="A178" s="4">
        <v>45546.705555555556</v>
      </c>
      <c r="B178" s="1">
        <v>131</v>
      </c>
      <c r="C178" s="1">
        <v>349.67</v>
      </c>
      <c r="D178" s="1">
        <v>14.92</v>
      </c>
      <c r="F178" s="1">
        <f t="shared" si="9"/>
        <v>2.3720254036270205E-3</v>
      </c>
      <c r="G178" s="1">
        <f t="shared" si="9"/>
        <v>9.2942704574976442E-3</v>
      </c>
      <c r="H178" s="1">
        <f t="shared" si="9"/>
        <v>-1.3386880856760541E-3</v>
      </c>
      <c r="L178" s="1"/>
      <c r="M178" s="1"/>
      <c r="R178">
        <f t="shared" si="12"/>
        <v>3.098282332634583E-3</v>
      </c>
      <c r="S178">
        <f t="shared" si="10"/>
        <v>5.2599881386064394E-199</v>
      </c>
      <c r="T178">
        <v>176</v>
      </c>
      <c r="U178">
        <f t="shared" si="11"/>
        <v>321</v>
      </c>
    </row>
    <row r="179" spans="1:21" x14ac:dyDescent="0.25">
      <c r="A179" s="4">
        <v>45547.705555555556</v>
      </c>
      <c r="B179" s="1">
        <v>130.44999999999999</v>
      </c>
      <c r="C179" s="1">
        <v>350.81</v>
      </c>
      <c r="D179" s="1">
        <v>15.1</v>
      </c>
      <c r="F179" s="1">
        <f t="shared" si="9"/>
        <v>-4.1984732824428272E-3</v>
      </c>
      <c r="G179" s="1">
        <f t="shared" si="9"/>
        <v>3.2602167758171152E-3</v>
      </c>
      <c r="H179" s="1">
        <f t="shared" si="9"/>
        <v>1.2064343163538771E-2</v>
      </c>
      <c r="L179" s="1"/>
      <c r="M179" s="1"/>
      <c r="R179">
        <f t="shared" si="12"/>
        <v>3.3378259970739182E-3</v>
      </c>
      <c r="S179">
        <f t="shared" si="10"/>
        <v>2.4419128533335055E-198</v>
      </c>
      <c r="T179">
        <v>177</v>
      </c>
      <c r="U179">
        <f t="shared" si="11"/>
        <v>320</v>
      </c>
    </row>
    <row r="180" spans="1:21" x14ac:dyDescent="0.25">
      <c r="A180" s="4">
        <v>45548.705555555556</v>
      </c>
      <c r="B180" s="1">
        <v>131.19999999999999</v>
      </c>
      <c r="C180" s="1">
        <v>349.75</v>
      </c>
      <c r="D180" s="1">
        <v>15.11</v>
      </c>
      <c r="F180" s="1">
        <f t="shared" si="9"/>
        <v>5.7493292449213307E-3</v>
      </c>
      <c r="G180" s="1">
        <f t="shared" si="9"/>
        <v>-3.0215786323081195E-3</v>
      </c>
      <c r="H180" s="1">
        <f t="shared" si="9"/>
        <v>6.6225165562916466E-4</v>
      </c>
      <c r="L180" s="1"/>
      <c r="M180" s="1"/>
      <c r="R180">
        <f t="shared" si="12"/>
        <v>1.0170006804727126E-3</v>
      </c>
      <c r="S180">
        <f t="shared" si="10"/>
        <v>9.0678693336813314E-199</v>
      </c>
      <c r="T180">
        <v>178</v>
      </c>
      <c r="U180">
        <f t="shared" si="11"/>
        <v>319</v>
      </c>
    </row>
    <row r="181" spans="1:21" x14ac:dyDescent="0.25">
      <c r="A181" s="4">
        <v>45551.705555555556</v>
      </c>
      <c r="B181" s="1">
        <v>131.46</v>
      </c>
      <c r="C181" s="1">
        <v>346.75</v>
      </c>
      <c r="D181" s="1">
        <v>14.94</v>
      </c>
      <c r="F181" s="1">
        <f t="shared" si="9"/>
        <v>1.9817073170733668E-3</v>
      </c>
      <c r="G181" s="1">
        <f t="shared" si="9"/>
        <v>-8.5775553967119E-3</v>
      </c>
      <c r="H181" s="1">
        <f t="shared" si="9"/>
        <v>-1.1250827266710783E-2</v>
      </c>
      <c r="L181" s="1"/>
      <c r="M181" s="1"/>
      <c r="R181">
        <f t="shared" si="12"/>
        <v>-5.354002603904796E-3</v>
      </c>
      <c r="S181">
        <f t="shared" si="10"/>
        <v>1.0052634994314543E-196</v>
      </c>
      <c r="T181">
        <v>179</v>
      </c>
      <c r="U181">
        <f t="shared" si="11"/>
        <v>318</v>
      </c>
    </row>
    <row r="182" spans="1:21" x14ac:dyDescent="0.25">
      <c r="A182" s="4">
        <v>45552.705555555556</v>
      </c>
      <c r="B182" s="1">
        <v>131.32</v>
      </c>
      <c r="C182" s="1">
        <v>345.15</v>
      </c>
      <c r="D182" s="1">
        <v>14.81</v>
      </c>
      <c r="F182" s="1">
        <f t="shared" si="9"/>
        <v>-1.0649627263047412E-3</v>
      </c>
      <c r="G182" s="1">
        <f t="shared" si="9"/>
        <v>-4.6142754145638287E-3</v>
      </c>
      <c r="H182" s="1">
        <f t="shared" si="9"/>
        <v>-8.7014725568941298E-3</v>
      </c>
      <c r="L182" s="1"/>
      <c r="M182" s="1"/>
      <c r="R182">
        <f t="shared" si="12"/>
        <v>-4.3142132093288103E-3</v>
      </c>
      <c r="S182">
        <f t="shared" si="10"/>
        <v>2.6108742649582916E-196</v>
      </c>
      <c r="T182">
        <v>180</v>
      </c>
      <c r="U182">
        <f t="shared" si="11"/>
        <v>317</v>
      </c>
    </row>
    <row r="183" spans="1:21" x14ac:dyDescent="0.25">
      <c r="A183" s="4">
        <v>45553.705555555556</v>
      </c>
      <c r="B183" s="1">
        <v>130.15</v>
      </c>
      <c r="C183" s="1">
        <v>342.15</v>
      </c>
      <c r="D183" s="1">
        <v>14.61</v>
      </c>
      <c r="F183" s="1">
        <f t="shared" si="9"/>
        <v>-8.9095339628387782E-3</v>
      </c>
      <c r="G183" s="1">
        <f t="shared" si="9"/>
        <v>-8.6918730986527137E-3</v>
      </c>
      <c r="H183" s="1">
        <f t="shared" si="9"/>
        <v>-1.3504388926401156E-2</v>
      </c>
      <c r="L183" s="1"/>
      <c r="M183" s="1"/>
      <c r="R183">
        <f t="shared" si="12"/>
        <v>-9.3317387963677955E-3</v>
      </c>
      <c r="S183">
        <f t="shared" si="10"/>
        <v>4.8861622984386642E-195</v>
      </c>
      <c r="T183">
        <v>181</v>
      </c>
      <c r="U183">
        <f t="shared" si="11"/>
        <v>316</v>
      </c>
    </row>
    <row r="184" spans="1:21" x14ac:dyDescent="0.25">
      <c r="A184" s="4">
        <v>45554.705555555556</v>
      </c>
      <c r="B184" s="1">
        <v>129.54</v>
      </c>
      <c r="C184" s="1">
        <v>346.02</v>
      </c>
      <c r="D184" s="1">
        <v>14.76</v>
      </c>
      <c r="F184" s="1">
        <f t="shared" si="9"/>
        <v>-4.6868997310796079E-3</v>
      </c>
      <c r="G184" s="1">
        <f t="shared" si="9"/>
        <v>1.1310828583954491E-2</v>
      </c>
      <c r="H184" s="1">
        <f t="shared" si="9"/>
        <v>1.0266940451745477E-2</v>
      </c>
      <c r="L184" s="1"/>
      <c r="M184" s="1"/>
      <c r="R184">
        <f t="shared" si="12"/>
        <v>5.0672607913861082E-3</v>
      </c>
      <c r="S184">
        <f t="shared" si="10"/>
        <v>5.7630082882902989E-195</v>
      </c>
      <c r="T184">
        <v>182</v>
      </c>
      <c r="U184">
        <f t="shared" si="11"/>
        <v>315</v>
      </c>
    </row>
    <row r="185" spans="1:21" x14ac:dyDescent="0.25">
      <c r="A185" s="4">
        <v>45555.705555555556</v>
      </c>
      <c r="B185" s="1">
        <v>127.58</v>
      </c>
      <c r="C185" s="1">
        <v>351.53</v>
      </c>
      <c r="D185" s="1">
        <v>15.2</v>
      </c>
      <c r="F185" s="1">
        <f t="shared" si="9"/>
        <v>-1.5130461633472203E-2</v>
      </c>
      <c r="G185" s="1">
        <f t="shared" si="9"/>
        <v>1.5923935032656988E-2</v>
      </c>
      <c r="H185" s="1">
        <f t="shared" si="9"/>
        <v>2.9810298102981081E-2</v>
      </c>
      <c r="L185" s="1"/>
      <c r="M185" s="1"/>
      <c r="R185">
        <f t="shared" si="12"/>
        <v>9.1811314506497609E-3</v>
      </c>
      <c r="S185">
        <f t="shared" si="10"/>
        <v>7.5675471214995623E-194</v>
      </c>
      <c r="T185">
        <v>183</v>
      </c>
      <c r="U185">
        <f t="shared" si="11"/>
        <v>314</v>
      </c>
    </row>
    <row r="186" spans="1:21" x14ac:dyDescent="0.25">
      <c r="A186" s="4">
        <v>45558.705555555556</v>
      </c>
      <c r="B186" s="1">
        <v>127.06</v>
      </c>
      <c r="C186" s="1">
        <v>353.12</v>
      </c>
      <c r="D186" s="1">
        <v>15.24</v>
      </c>
      <c r="F186" s="1">
        <f t="shared" si="9"/>
        <v>-4.0758739614359385E-3</v>
      </c>
      <c r="G186" s="1">
        <f t="shared" si="9"/>
        <v>4.523084800728272E-3</v>
      </c>
      <c r="H186" s="1">
        <f t="shared" si="9"/>
        <v>2.6315789473685403E-3</v>
      </c>
      <c r="L186" s="1"/>
      <c r="M186" s="1"/>
      <c r="R186">
        <f t="shared" si="12"/>
        <v>9.2363693599826233E-4</v>
      </c>
      <c r="S186">
        <f t="shared" si="10"/>
        <v>3.0635522951117595E-195</v>
      </c>
      <c r="T186">
        <v>184</v>
      </c>
      <c r="U186">
        <f t="shared" si="11"/>
        <v>313</v>
      </c>
    </row>
    <row r="187" spans="1:21" x14ac:dyDescent="0.25">
      <c r="A187" s="4">
        <v>45559.705555555556</v>
      </c>
      <c r="B187" s="1">
        <v>128.58000000000001</v>
      </c>
      <c r="C187" s="1">
        <v>349.77</v>
      </c>
      <c r="D187" s="1">
        <v>15.25</v>
      </c>
      <c r="F187" s="1">
        <f t="shared" si="9"/>
        <v>1.1962852195813056E-2</v>
      </c>
      <c r="G187" s="1">
        <f t="shared" si="9"/>
        <v>-9.4868599909380125E-3</v>
      </c>
      <c r="H187" s="1">
        <f t="shared" si="9"/>
        <v>6.5616797900269752E-4</v>
      </c>
      <c r="L187" s="1"/>
      <c r="M187" s="1"/>
      <c r="R187">
        <f t="shared" si="12"/>
        <v>9.3964805516332244E-4</v>
      </c>
      <c r="S187">
        <f t="shared" si="10"/>
        <v>1.2682741598282919E-194</v>
      </c>
      <c r="T187">
        <v>185</v>
      </c>
      <c r="U187">
        <f t="shared" si="11"/>
        <v>312</v>
      </c>
    </row>
    <row r="188" spans="1:21" x14ac:dyDescent="0.25">
      <c r="A188" s="4">
        <v>45560.705555555556</v>
      </c>
      <c r="B188" s="1">
        <v>128.06</v>
      </c>
      <c r="C188" s="1">
        <v>349.3</v>
      </c>
      <c r="D188" s="1">
        <v>15.29</v>
      </c>
      <c r="F188" s="1">
        <f t="shared" si="9"/>
        <v>-4.0441748327889604E-3</v>
      </c>
      <c r="G188" s="1">
        <f t="shared" si="9"/>
        <v>-1.3437401721130282E-3</v>
      </c>
      <c r="H188" s="1">
        <f t="shared" si="9"/>
        <v>2.6229508196720097E-3</v>
      </c>
      <c r="L188" s="1"/>
      <c r="M188" s="1"/>
      <c r="R188">
        <f t="shared" si="12"/>
        <v>-8.2948925556899347E-4</v>
      </c>
      <c r="S188">
        <f t="shared" si="10"/>
        <v>3.9533405482561949E-194</v>
      </c>
      <c r="T188">
        <v>186</v>
      </c>
      <c r="U188">
        <f t="shared" si="11"/>
        <v>311</v>
      </c>
    </row>
    <row r="189" spans="1:21" x14ac:dyDescent="0.25">
      <c r="A189" s="4">
        <v>45561.705555555556</v>
      </c>
      <c r="B189" s="1">
        <v>129.41999999999999</v>
      </c>
      <c r="C189" s="1">
        <v>348.62</v>
      </c>
      <c r="D189" s="1">
        <v>15.27</v>
      </c>
      <c r="F189" s="1">
        <f t="shared" si="9"/>
        <v>1.062002186475075E-2</v>
      </c>
      <c r="G189" s="1">
        <f t="shared" si="9"/>
        <v>-1.9467506441454008E-3</v>
      </c>
      <c r="H189" s="1">
        <f t="shared" si="9"/>
        <v>-1.3080444735120711E-3</v>
      </c>
      <c r="L189" s="1"/>
      <c r="M189" s="1"/>
      <c r="R189">
        <f t="shared" si="12"/>
        <v>2.2095680241279838E-3</v>
      </c>
      <c r="S189">
        <f t="shared" si="10"/>
        <v>1.122063514944838E-192</v>
      </c>
      <c r="T189">
        <v>187</v>
      </c>
      <c r="U189">
        <f t="shared" si="11"/>
        <v>310</v>
      </c>
    </row>
    <row r="190" spans="1:21" x14ac:dyDescent="0.25">
      <c r="A190" s="4">
        <v>45562.705555555556</v>
      </c>
      <c r="B190" s="1">
        <v>129.18</v>
      </c>
      <c r="C190" s="1">
        <v>347.52</v>
      </c>
      <c r="D190" s="1">
        <v>15.13</v>
      </c>
      <c r="F190" s="1">
        <f t="shared" si="9"/>
        <v>-1.8544274455259968E-3</v>
      </c>
      <c r="G190" s="1">
        <f t="shared" si="9"/>
        <v>-3.1552980322414603E-3</v>
      </c>
      <c r="H190" s="1">
        <f t="shared" si="9"/>
        <v>-9.1683038637850878E-3</v>
      </c>
      <c r="L190" s="1"/>
      <c r="M190" s="1"/>
      <c r="R190">
        <f t="shared" si="12"/>
        <v>-4.2534088024657642E-3</v>
      </c>
      <c r="S190">
        <f t="shared" si="10"/>
        <v>1.6631711030253642E-191</v>
      </c>
      <c r="T190">
        <v>188</v>
      </c>
      <c r="U190">
        <f t="shared" si="11"/>
        <v>309</v>
      </c>
    </row>
    <row r="191" spans="1:21" x14ac:dyDescent="0.25">
      <c r="A191" s="4">
        <v>45565.705555555556</v>
      </c>
      <c r="B191" s="1">
        <v>128.30000000000001</v>
      </c>
      <c r="C191" s="1">
        <v>349.8</v>
      </c>
      <c r="D191" s="1">
        <v>15.05</v>
      </c>
      <c r="F191" s="1">
        <f t="shared" si="9"/>
        <v>-6.8122000309644992E-3</v>
      </c>
      <c r="G191" s="1">
        <f t="shared" si="9"/>
        <v>6.5607734806629736E-3</v>
      </c>
      <c r="H191" s="1">
        <f t="shared" si="9"/>
        <v>-5.2875082617316327E-3</v>
      </c>
      <c r="L191" s="1"/>
      <c r="M191" s="1"/>
      <c r="R191">
        <f t="shared" si="12"/>
        <v>-1.6616804436099481E-3</v>
      </c>
      <c r="S191">
        <f t="shared" si="10"/>
        <v>1.0153544775331663E-191</v>
      </c>
      <c r="T191">
        <v>189</v>
      </c>
      <c r="U191">
        <f t="shared" si="11"/>
        <v>308</v>
      </c>
    </row>
    <row r="192" spans="1:21" x14ac:dyDescent="0.25">
      <c r="A192" s="4">
        <v>45566.705555555556</v>
      </c>
      <c r="B192" s="1">
        <v>128.94999999999999</v>
      </c>
      <c r="C192" s="1">
        <v>347.6</v>
      </c>
      <c r="D192" s="1">
        <v>15.25</v>
      </c>
      <c r="F192" s="1">
        <f t="shared" si="9"/>
        <v>5.0662509742789297E-3</v>
      </c>
      <c r="G192" s="1">
        <f t="shared" si="9"/>
        <v>-6.2893081761006275E-3</v>
      </c>
      <c r="H192" s="1">
        <f t="shared" si="9"/>
        <v>1.3289036544850363E-2</v>
      </c>
      <c r="L192" s="1"/>
      <c r="M192" s="1"/>
      <c r="R192">
        <f t="shared" si="12"/>
        <v>3.6197938029085995E-3</v>
      </c>
      <c r="S192">
        <f t="shared" si="10"/>
        <v>1.9273044612438063E-190</v>
      </c>
      <c r="T192">
        <v>190</v>
      </c>
      <c r="U192">
        <f t="shared" si="11"/>
        <v>307</v>
      </c>
    </row>
    <row r="193" spans="1:21" x14ac:dyDescent="0.25">
      <c r="A193" s="4">
        <v>45567.705555555556</v>
      </c>
      <c r="B193" s="1">
        <v>129.93</v>
      </c>
      <c r="C193" s="1">
        <v>346.4</v>
      </c>
      <c r="D193" s="1">
        <v>15.19</v>
      </c>
      <c r="F193" s="1">
        <f t="shared" si="9"/>
        <v>7.5998449011245306E-3</v>
      </c>
      <c r="G193" s="1">
        <f t="shared" si="9"/>
        <v>-3.4522439585732423E-3</v>
      </c>
      <c r="H193" s="1">
        <f t="shared" si="9"/>
        <v>-3.9344262295082366E-3</v>
      </c>
      <c r="L193" s="1"/>
      <c r="M193" s="1"/>
      <c r="R193">
        <f t="shared" si="12"/>
        <v>6.3952413912915377E-5</v>
      </c>
      <c r="S193">
        <f t="shared" si="10"/>
        <v>2.406337489387031E-193</v>
      </c>
      <c r="T193">
        <v>191</v>
      </c>
      <c r="U193">
        <f t="shared" si="11"/>
        <v>306</v>
      </c>
    </row>
    <row r="194" spans="1:21" x14ac:dyDescent="0.25">
      <c r="A194" s="4">
        <v>45568.705555555556</v>
      </c>
      <c r="B194" s="1">
        <v>128.19</v>
      </c>
      <c r="C194" s="1">
        <v>347.8</v>
      </c>
      <c r="D194" s="1">
        <v>15.33</v>
      </c>
      <c r="F194" s="1">
        <f t="shared" si="9"/>
        <v>-1.3391826368044368E-2</v>
      </c>
      <c r="G194" s="1">
        <f t="shared" si="9"/>
        <v>4.041570438799269E-3</v>
      </c>
      <c r="H194" s="1">
        <f t="shared" si="9"/>
        <v>9.2165898617511122E-3</v>
      </c>
      <c r="L194" s="1"/>
      <c r="M194" s="1"/>
      <c r="R194">
        <f t="shared" si="12"/>
        <v>-4.0099820248196225E-5</v>
      </c>
      <c r="S194">
        <f t="shared" si="10"/>
        <v>3.7843168952432127E-193</v>
      </c>
      <c r="T194">
        <v>192</v>
      </c>
      <c r="U194">
        <f t="shared" si="11"/>
        <v>305</v>
      </c>
    </row>
    <row r="195" spans="1:21" x14ac:dyDescent="0.25">
      <c r="A195" s="4">
        <v>45569.705555555556</v>
      </c>
      <c r="B195" s="1">
        <v>128.27000000000001</v>
      </c>
      <c r="C195" s="1">
        <v>349.83</v>
      </c>
      <c r="D195" s="1">
        <v>15.2</v>
      </c>
      <c r="F195" s="1">
        <f t="shared" si="9"/>
        <v>6.2407364068972626E-4</v>
      </c>
      <c r="G195" s="1">
        <f t="shared" si="9"/>
        <v>5.8366877515811932E-3</v>
      </c>
      <c r="H195" s="1">
        <f t="shared" si="9"/>
        <v>-8.4801043705153845E-3</v>
      </c>
      <c r="L195" s="1"/>
      <c r="M195" s="1"/>
      <c r="R195">
        <f t="shared" si="12"/>
        <v>-6.058028934733397E-4</v>
      </c>
      <c r="S195">
        <f t="shared" si="10"/>
        <v>3.4548191873300792E-190</v>
      </c>
      <c r="T195">
        <v>193</v>
      </c>
      <c r="U195">
        <f t="shared" si="11"/>
        <v>304</v>
      </c>
    </row>
    <row r="196" spans="1:21" x14ac:dyDescent="0.25">
      <c r="A196" s="4">
        <v>45572.705555555556</v>
      </c>
      <c r="B196" s="1">
        <v>128.49</v>
      </c>
      <c r="C196" s="1">
        <v>348.57</v>
      </c>
      <c r="D196" s="1">
        <v>15.22</v>
      </c>
      <c r="F196" s="1">
        <f t="shared" ref="F196:H259" si="13">(B196/B195)-1</f>
        <v>1.715132143135456E-3</v>
      </c>
      <c r="G196" s="1">
        <f t="shared" si="13"/>
        <v>-3.6017494211474377E-3</v>
      </c>
      <c r="H196" s="1">
        <f t="shared" si="13"/>
        <v>1.3157894736843812E-3</v>
      </c>
      <c r="L196" s="1"/>
      <c r="M196" s="1"/>
      <c r="R196">
        <f t="shared" si="12"/>
        <v>-1.712483412982802E-4</v>
      </c>
      <c r="S196">
        <f t="shared" ref="S196:S259" si="14">(R196^2)*((1-$P$2)^U196)</f>
        <v>1.1042702572221827E-190</v>
      </c>
      <c r="T196">
        <v>194</v>
      </c>
      <c r="U196">
        <f t="shared" ref="U196:U259" si="15">497-T196</f>
        <v>303</v>
      </c>
    </row>
    <row r="197" spans="1:21" x14ac:dyDescent="0.25">
      <c r="A197" s="4">
        <v>45573.705555555556</v>
      </c>
      <c r="B197" s="1">
        <v>128.01</v>
      </c>
      <c r="C197" s="1">
        <v>354.59</v>
      </c>
      <c r="D197" s="1">
        <v>15.22</v>
      </c>
      <c r="F197" s="1">
        <f t="shared" si="13"/>
        <v>-3.7356992762084262E-3</v>
      </c>
      <c r="G197" s="1">
        <f t="shared" si="13"/>
        <v>1.7270562584272842E-2</v>
      </c>
      <c r="H197" s="1">
        <f t="shared" si="13"/>
        <v>0</v>
      </c>
      <c r="L197" s="1"/>
      <c r="M197" s="1"/>
      <c r="R197">
        <f t="shared" ref="R197:R260" si="16">$L$2*F197+G197*$L$3+H197*$L$4</f>
        <v>4.060458992419325E-3</v>
      </c>
      <c r="S197">
        <f t="shared" si="14"/>
        <v>2.4833210882440921E-187</v>
      </c>
      <c r="T197">
        <v>195</v>
      </c>
      <c r="U197">
        <f t="shared" si="15"/>
        <v>302</v>
      </c>
    </row>
    <row r="198" spans="1:21" x14ac:dyDescent="0.25">
      <c r="A198" s="4">
        <v>45574.705555555556</v>
      </c>
      <c r="B198" s="1">
        <v>126.52</v>
      </c>
      <c r="C198" s="1">
        <v>360.95</v>
      </c>
      <c r="D198" s="1">
        <v>15.31</v>
      </c>
      <c r="F198" s="1">
        <f t="shared" si="13"/>
        <v>-1.1639715647214999E-2</v>
      </c>
      <c r="G198" s="1">
        <f t="shared" si="13"/>
        <v>1.7936208014890376E-2</v>
      </c>
      <c r="H198" s="1">
        <f t="shared" si="13"/>
        <v>5.9132720105123937E-3</v>
      </c>
      <c r="L198" s="1"/>
      <c r="M198" s="1"/>
      <c r="R198">
        <f t="shared" si="16"/>
        <v>3.6629293134563317E-3</v>
      </c>
      <c r="S198">
        <f t="shared" si="14"/>
        <v>8.0835045276115649E-187</v>
      </c>
      <c r="T198">
        <v>196</v>
      </c>
      <c r="U198">
        <f t="shared" si="15"/>
        <v>301</v>
      </c>
    </row>
    <row r="199" spans="1:21" x14ac:dyDescent="0.25">
      <c r="A199" s="4">
        <v>45575.705555555556</v>
      </c>
      <c r="B199" s="1">
        <v>126.87</v>
      </c>
      <c r="C199" s="1">
        <v>359.85</v>
      </c>
      <c r="D199" s="1">
        <v>15.43</v>
      </c>
      <c r="F199" s="1">
        <f t="shared" si="13"/>
        <v>2.7663610496364566E-3</v>
      </c>
      <c r="G199" s="1">
        <f t="shared" si="13"/>
        <v>-3.047513506025723E-3</v>
      </c>
      <c r="H199" s="1">
        <f t="shared" si="13"/>
        <v>7.8380143696930027E-3</v>
      </c>
      <c r="L199" s="1"/>
      <c r="M199" s="1"/>
      <c r="R199">
        <f t="shared" si="16"/>
        <v>2.2670585739911213E-3</v>
      </c>
      <c r="S199">
        <f t="shared" si="14"/>
        <v>1.2385914675077719E-186</v>
      </c>
      <c r="T199">
        <v>197</v>
      </c>
      <c r="U199">
        <f t="shared" si="15"/>
        <v>300</v>
      </c>
    </row>
    <row r="200" spans="1:21" x14ac:dyDescent="0.25">
      <c r="A200" s="4">
        <v>45576.705555555556</v>
      </c>
      <c r="B200" s="1">
        <v>126.53</v>
      </c>
      <c r="C200" s="1">
        <v>364.05</v>
      </c>
      <c r="D200" s="1">
        <v>15.64</v>
      </c>
      <c r="F200" s="1">
        <f t="shared" si="13"/>
        <v>-2.6799085678254064E-3</v>
      </c>
      <c r="G200" s="1">
        <f t="shared" si="13"/>
        <v>1.1671529804085035E-2</v>
      </c>
      <c r="H200" s="1">
        <f t="shared" si="13"/>
        <v>1.3609850939727774E-2</v>
      </c>
      <c r="L200" s="1"/>
      <c r="M200" s="1"/>
      <c r="R200">
        <f t="shared" si="16"/>
        <v>6.7804416527962206E-3</v>
      </c>
      <c r="S200">
        <f t="shared" si="14"/>
        <v>4.4317837341549664E-185</v>
      </c>
      <c r="T200">
        <v>198</v>
      </c>
      <c r="U200">
        <f t="shared" si="15"/>
        <v>299</v>
      </c>
    </row>
    <row r="201" spans="1:21" x14ac:dyDescent="0.25">
      <c r="A201" s="4">
        <v>45579.705555555556</v>
      </c>
      <c r="B201" s="1">
        <v>127.49</v>
      </c>
      <c r="C201" s="1">
        <v>364.85</v>
      </c>
      <c r="D201" s="1">
        <v>15.56</v>
      </c>
      <c r="F201" s="1">
        <f t="shared" si="13"/>
        <v>7.5871334861297157E-3</v>
      </c>
      <c r="G201" s="1">
        <f t="shared" si="13"/>
        <v>2.1975003433594154E-3</v>
      </c>
      <c r="H201" s="1">
        <f t="shared" si="13"/>
        <v>-5.1150895140664732E-3</v>
      </c>
      <c r="L201" s="1"/>
      <c r="M201" s="1"/>
      <c r="R201">
        <f t="shared" si="16"/>
        <v>1.4008632946267969E-3</v>
      </c>
      <c r="S201">
        <f t="shared" si="14"/>
        <v>7.5668320801576472E-186</v>
      </c>
      <c r="T201">
        <v>199</v>
      </c>
      <c r="U201">
        <f t="shared" si="15"/>
        <v>298</v>
      </c>
    </row>
    <row r="202" spans="1:21" x14ac:dyDescent="0.25">
      <c r="A202" s="4">
        <v>45580.705555555556</v>
      </c>
      <c r="B202" s="1">
        <v>127.54</v>
      </c>
      <c r="C202" s="1">
        <v>367.17</v>
      </c>
      <c r="D202" s="1">
        <v>15.79</v>
      </c>
      <c r="F202" s="1">
        <f t="shared" si="13"/>
        <v>3.921876225587706E-4</v>
      </c>
      <c r="G202" s="1">
        <f t="shared" si="13"/>
        <v>6.3587775798272794E-3</v>
      </c>
      <c r="H202" s="1">
        <f t="shared" si="13"/>
        <v>1.4781491002570535E-2</v>
      </c>
      <c r="L202" s="1"/>
      <c r="M202" s="1"/>
      <c r="R202">
        <f t="shared" si="16"/>
        <v>6.4597368614869762E-3</v>
      </c>
      <c r="S202">
        <f t="shared" si="14"/>
        <v>6.4359436086608483E-184</v>
      </c>
      <c r="T202">
        <v>200</v>
      </c>
      <c r="U202">
        <f t="shared" si="15"/>
        <v>297</v>
      </c>
    </row>
    <row r="203" spans="1:21" x14ac:dyDescent="0.25">
      <c r="A203" s="4">
        <v>45581.705555555556</v>
      </c>
      <c r="B203" s="1">
        <v>128.22</v>
      </c>
      <c r="C203" s="1">
        <v>369</v>
      </c>
      <c r="D203" s="1">
        <v>15.9</v>
      </c>
      <c r="F203" s="1">
        <f t="shared" si="13"/>
        <v>5.331660655480519E-3</v>
      </c>
      <c r="G203" s="1">
        <f t="shared" si="13"/>
        <v>4.9840673257619539E-3</v>
      </c>
      <c r="H203" s="1">
        <f t="shared" si="13"/>
        <v>6.966434452184922E-3</v>
      </c>
      <c r="L203" s="1"/>
      <c r="M203" s="1"/>
      <c r="R203">
        <f t="shared" si="16"/>
        <v>5.1846487300282185E-3</v>
      </c>
      <c r="S203">
        <f t="shared" si="14"/>
        <v>1.6583692708072502E-183</v>
      </c>
      <c r="T203">
        <v>201</v>
      </c>
      <c r="U203">
        <f t="shared" si="15"/>
        <v>296</v>
      </c>
    </row>
    <row r="204" spans="1:21" x14ac:dyDescent="0.25">
      <c r="A204" s="4">
        <v>45582.705555555556</v>
      </c>
      <c r="B204" s="1">
        <v>127.31</v>
      </c>
      <c r="C204" s="1">
        <v>368.7</v>
      </c>
      <c r="D204" s="1">
        <v>16</v>
      </c>
      <c r="F204" s="1">
        <f t="shared" si="13"/>
        <v>-7.0971767274995434E-3</v>
      </c>
      <c r="G204" s="1">
        <f t="shared" si="13"/>
        <v>-8.1300813008133854E-4</v>
      </c>
      <c r="H204" s="1">
        <f t="shared" si="13"/>
        <v>6.2893081761006275E-3</v>
      </c>
      <c r="L204" s="1"/>
      <c r="M204" s="1"/>
      <c r="R204">
        <f t="shared" si="16"/>
        <v>-4.862630044440762E-4</v>
      </c>
      <c r="S204">
        <f t="shared" si="14"/>
        <v>5.8350558396400441E-185</v>
      </c>
      <c r="T204">
        <v>202</v>
      </c>
      <c r="U204">
        <f t="shared" si="15"/>
        <v>295</v>
      </c>
    </row>
    <row r="205" spans="1:21" x14ac:dyDescent="0.25">
      <c r="A205" s="4">
        <v>45583.705555555556</v>
      </c>
      <c r="B205" s="1">
        <v>127.02</v>
      </c>
      <c r="C205" s="1">
        <v>372.55</v>
      </c>
      <c r="D205" s="1">
        <v>16.260000000000002</v>
      </c>
      <c r="F205" s="1">
        <f t="shared" si="13"/>
        <v>-2.277904328018221E-3</v>
      </c>
      <c r="G205" s="1">
        <f t="shared" si="13"/>
        <v>1.0442093843233025E-2</v>
      </c>
      <c r="H205" s="1">
        <f t="shared" si="13"/>
        <v>1.6250000000000098E-2</v>
      </c>
      <c r="L205" s="1"/>
      <c r="M205" s="1"/>
      <c r="R205">
        <f t="shared" si="16"/>
        <v>7.3242568545644716E-3</v>
      </c>
      <c r="S205">
        <f t="shared" si="14"/>
        <v>5.2952891761066505E-182</v>
      </c>
      <c r="T205">
        <v>203</v>
      </c>
      <c r="U205">
        <f t="shared" si="15"/>
        <v>294</v>
      </c>
    </row>
    <row r="206" spans="1:21" x14ac:dyDescent="0.25">
      <c r="A206" s="4">
        <v>45586.705555555556</v>
      </c>
      <c r="B206" s="1">
        <v>126.88</v>
      </c>
      <c r="C206" s="1">
        <v>371.64</v>
      </c>
      <c r="D206" s="1">
        <v>16.25</v>
      </c>
      <c r="F206" s="1">
        <f t="shared" si="13"/>
        <v>-1.1021886317115204E-3</v>
      </c>
      <c r="G206" s="1">
        <f t="shared" si="13"/>
        <v>-2.4426251509864771E-3</v>
      </c>
      <c r="H206" s="1">
        <f t="shared" si="13"/>
        <v>-6.1500615006160331E-4</v>
      </c>
      <c r="L206" s="1"/>
      <c r="M206" s="1"/>
      <c r="R206">
        <f t="shared" si="16"/>
        <v>-1.2479459798278802E-3</v>
      </c>
      <c r="S206">
        <f t="shared" si="14"/>
        <v>6.1491362146421214E-183</v>
      </c>
      <c r="T206">
        <v>204</v>
      </c>
      <c r="U206">
        <f t="shared" si="15"/>
        <v>293</v>
      </c>
    </row>
    <row r="207" spans="1:21" x14ac:dyDescent="0.25">
      <c r="A207" s="4">
        <v>45587.705555555556</v>
      </c>
      <c r="B207" s="1">
        <v>126.49</v>
      </c>
      <c r="C207" s="1">
        <v>372</v>
      </c>
      <c r="D207" s="1">
        <v>16.440000000000001</v>
      </c>
      <c r="F207" s="1">
        <f t="shared" si="13"/>
        <v>-3.0737704918032405E-3</v>
      </c>
      <c r="G207" s="1">
        <f t="shared" si="13"/>
        <v>9.686793671295213E-4</v>
      </c>
      <c r="H207" s="1">
        <f t="shared" si="13"/>
        <v>1.1692307692307669E-2</v>
      </c>
      <c r="L207" s="1"/>
      <c r="M207" s="1"/>
      <c r="R207">
        <f t="shared" si="16"/>
        <v>2.8761649702901855E-3</v>
      </c>
      <c r="S207">
        <f t="shared" si="14"/>
        <v>1.3065021157955331E-181</v>
      </c>
      <c r="T207">
        <v>205</v>
      </c>
      <c r="U207">
        <f t="shared" si="15"/>
        <v>292</v>
      </c>
    </row>
    <row r="208" spans="1:21" x14ac:dyDescent="0.25">
      <c r="A208" s="4">
        <v>45588.705555555556</v>
      </c>
      <c r="B208" s="1">
        <v>125.79</v>
      </c>
      <c r="C208" s="1">
        <v>368.01</v>
      </c>
      <c r="D208" s="1">
        <v>16.239999999999998</v>
      </c>
      <c r="F208" s="1">
        <f t="shared" si="13"/>
        <v>-5.5340343110126256E-3</v>
      </c>
      <c r="G208" s="1">
        <f t="shared" si="13"/>
        <v>-1.0725806451612918E-2</v>
      </c>
      <c r="H208" s="1">
        <f t="shared" si="13"/>
        <v>-1.2165450121654708E-2</v>
      </c>
      <c r="L208" s="1"/>
      <c r="M208" s="1"/>
      <c r="R208">
        <f t="shared" si="16"/>
        <v>-8.5275872652840756E-3</v>
      </c>
      <c r="S208">
        <f t="shared" si="14"/>
        <v>4.5940410159544534E-180</v>
      </c>
      <c r="T208">
        <v>206</v>
      </c>
      <c r="U208">
        <f t="shared" si="15"/>
        <v>291</v>
      </c>
    </row>
    <row r="209" spans="1:21" x14ac:dyDescent="0.25">
      <c r="A209" s="4">
        <v>45589.705555555556</v>
      </c>
      <c r="B209" s="1">
        <v>126.68</v>
      </c>
      <c r="C209" s="1">
        <v>366.8</v>
      </c>
      <c r="D209" s="1">
        <v>16.27</v>
      </c>
      <c r="F209" s="1">
        <f t="shared" si="13"/>
        <v>7.0752842038317443E-3</v>
      </c>
      <c r="G209" s="1">
        <f t="shared" si="13"/>
        <v>-3.2879541316811478E-3</v>
      </c>
      <c r="H209" s="1">
        <f t="shared" si="13"/>
        <v>1.847290640394128E-3</v>
      </c>
      <c r="L209" s="1"/>
      <c r="M209" s="1"/>
      <c r="R209">
        <f t="shared" si="16"/>
        <v>1.6903862137634174E-3</v>
      </c>
      <c r="S209">
        <f t="shared" si="14"/>
        <v>7.2206184891309885E-181</v>
      </c>
      <c r="T209">
        <v>207</v>
      </c>
      <c r="U209">
        <f t="shared" si="15"/>
        <v>290</v>
      </c>
    </row>
    <row r="210" spans="1:21" x14ac:dyDescent="0.25">
      <c r="A210" s="4">
        <v>45590.705555555556</v>
      </c>
      <c r="B210" s="1">
        <v>126.43</v>
      </c>
      <c r="C210" s="1">
        <v>369.43</v>
      </c>
      <c r="D210" s="1">
        <v>16.43</v>
      </c>
      <c r="F210" s="1">
        <f t="shared" si="13"/>
        <v>-1.9734764761604184E-3</v>
      </c>
      <c r="G210" s="1">
        <f t="shared" si="13"/>
        <v>7.1701199563793949E-3</v>
      </c>
      <c r="H210" s="1">
        <f t="shared" si="13"/>
        <v>9.8340503995082429E-3</v>
      </c>
      <c r="L210" s="1"/>
      <c r="M210" s="1"/>
      <c r="R210">
        <f t="shared" si="16"/>
        <v>4.5092081639181662E-3</v>
      </c>
      <c r="S210">
        <f t="shared" si="14"/>
        <v>2.0552425161285023E-179</v>
      </c>
      <c r="T210">
        <v>208</v>
      </c>
      <c r="U210">
        <f t="shared" si="15"/>
        <v>289</v>
      </c>
    </row>
    <row r="211" spans="1:21" x14ac:dyDescent="0.25">
      <c r="A211" s="4">
        <v>45593.705555555556</v>
      </c>
      <c r="B211" s="1">
        <v>127.69</v>
      </c>
      <c r="C211" s="1">
        <v>370.8</v>
      </c>
      <c r="D211" s="1">
        <v>16.420000000000002</v>
      </c>
      <c r="F211" s="1">
        <f t="shared" si="13"/>
        <v>9.9659890848691202E-3</v>
      </c>
      <c r="G211" s="1">
        <f t="shared" si="13"/>
        <v>3.7084156673794499E-3</v>
      </c>
      <c r="H211" s="1">
        <f t="shared" si="13"/>
        <v>-6.0864272671934394E-4</v>
      </c>
      <c r="L211" s="1"/>
      <c r="M211" s="1"/>
      <c r="R211">
        <f t="shared" si="16"/>
        <v>3.9197286076587678E-3</v>
      </c>
      <c r="S211">
        <f t="shared" si="14"/>
        <v>6.2120435927765638E-179</v>
      </c>
      <c r="T211">
        <v>209</v>
      </c>
      <c r="U211">
        <f t="shared" si="15"/>
        <v>288</v>
      </c>
    </row>
    <row r="212" spans="1:21" x14ac:dyDescent="0.25">
      <c r="A212" s="4">
        <v>45594.705555555556</v>
      </c>
      <c r="B212" s="1">
        <v>127.25</v>
      </c>
      <c r="C212" s="1">
        <v>375.55</v>
      </c>
      <c r="D212" s="1">
        <v>16.420000000000002</v>
      </c>
      <c r="F212" s="1">
        <f t="shared" si="13"/>
        <v>-3.445845406844672E-3</v>
      </c>
      <c r="G212" s="1">
        <f t="shared" si="13"/>
        <v>1.281014023732463E-2</v>
      </c>
      <c r="H212" s="1">
        <f t="shared" si="13"/>
        <v>0</v>
      </c>
      <c r="L212" s="1"/>
      <c r="M212" s="1"/>
      <c r="R212">
        <f t="shared" si="16"/>
        <v>2.8092884491439873E-3</v>
      </c>
      <c r="S212">
        <f t="shared" si="14"/>
        <v>1.2763657914252876E-178</v>
      </c>
      <c r="T212">
        <v>210</v>
      </c>
      <c r="U212">
        <f t="shared" si="15"/>
        <v>287</v>
      </c>
    </row>
    <row r="213" spans="1:21" x14ac:dyDescent="0.25">
      <c r="A213" s="4">
        <v>45595.705555555556</v>
      </c>
      <c r="B213" s="1">
        <v>127.15</v>
      </c>
      <c r="C213" s="1">
        <v>373.6</v>
      </c>
      <c r="D213" s="1">
        <v>16.86</v>
      </c>
      <c r="F213" s="1">
        <f t="shared" si="13"/>
        <v>-7.8585461689584246E-4</v>
      </c>
      <c r="G213" s="1">
        <f t="shared" si="13"/>
        <v>-5.192384502729297E-3</v>
      </c>
      <c r="H213" s="1">
        <f t="shared" si="13"/>
        <v>2.6796589524969328E-2</v>
      </c>
      <c r="L213" s="1"/>
      <c r="M213" s="1"/>
      <c r="R213">
        <f t="shared" si="16"/>
        <v>6.2455051216032571E-3</v>
      </c>
      <c r="S213">
        <f t="shared" si="14"/>
        <v>2.5233507238350033E-177</v>
      </c>
      <c r="T213">
        <v>211</v>
      </c>
      <c r="U213">
        <f t="shared" si="15"/>
        <v>286</v>
      </c>
    </row>
    <row r="214" spans="1:21" x14ac:dyDescent="0.25">
      <c r="A214" s="4">
        <v>45596.705555555556</v>
      </c>
      <c r="B214" s="1">
        <v>126.26</v>
      </c>
      <c r="C214" s="1">
        <v>368.58</v>
      </c>
      <c r="D214" s="1">
        <v>16.670000000000002</v>
      </c>
      <c r="F214" s="1">
        <f t="shared" si="13"/>
        <v>-6.9996067636649562E-3</v>
      </c>
      <c r="G214" s="1">
        <f t="shared" si="13"/>
        <v>-1.343683083511793E-2</v>
      </c>
      <c r="H214" s="1">
        <f t="shared" si="13"/>
        <v>-1.1269276393831462E-2</v>
      </c>
      <c r="L214" s="1"/>
      <c r="M214" s="1"/>
      <c r="R214">
        <f t="shared" si="16"/>
        <v>-9.5117141977843038E-3</v>
      </c>
      <c r="S214">
        <f t="shared" si="14"/>
        <v>2.3411004923997854E-176</v>
      </c>
      <c r="T214">
        <v>212</v>
      </c>
      <c r="U214">
        <f t="shared" si="15"/>
        <v>285</v>
      </c>
    </row>
    <row r="215" spans="1:21" x14ac:dyDescent="0.25">
      <c r="A215" s="4">
        <v>45600.705555555556</v>
      </c>
      <c r="B215" s="1">
        <v>127</v>
      </c>
      <c r="C215" s="1">
        <v>369.07</v>
      </c>
      <c r="D215" s="1">
        <v>16.62</v>
      </c>
      <c r="F215" s="1">
        <f t="shared" si="13"/>
        <v>5.8609219071756868E-3</v>
      </c>
      <c r="G215" s="1">
        <f t="shared" si="13"/>
        <v>1.3294264474470463E-3</v>
      </c>
      <c r="H215" s="1">
        <f t="shared" si="13"/>
        <v>-2.9994001199760145E-3</v>
      </c>
      <c r="L215" s="1"/>
      <c r="M215" s="1"/>
      <c r="R215">
        <f t="shared" si="16"/>
        <v>1.257284470394015E-3</v>
      </c>
      <c r="S215">
        <f t="shared" si="14"/>
        <v>1.6361742951945965E-177</v>
      </c>
      <c r="T215">
        <v>213</v>
      </c>
      <c r="U215">
        <f t="shared" si="15"/>
        <v>284</v>
      </c>
    </row>
    <row r="216" spans="1:21" x14ac:dyDescent="0.25">
      <c r="A216" s="4">
        <v>45601.705555555556</v>
      </c>
      <c r="B216" s="1">
        <v>127.17</v>
      </c>
      <c r="C216" s="1">
        <v>370.55</v>
      </c>
      <c r="D216" s="1">
        <v>16.55</v>
      </c>
      <c r="F216" s="1">
        <f t="shared" si="13"/>
        <v>1.3385826771654674E-3</v>
      </c>
      <c r="G216" s="1">
        <f t="shared" si="13"/>
        <v>4.0100793887338781E-3</v>
      </c>
      <c r="H216" s="1">
        <f t="shared" si="13"/>
        <v>-4.2117930204572662E-3</v>
      </c>
      <c r="L216" s="1"/>
      <c r="M216" s="1"/>
      <c r="R216">
        <f t="shared" si="16"/>
        <v>3.410607136326235E-4</v>
      </c>
      <c r="S216">
        <f t="shared" si="14"/>
        <v>4.8159930005917011E-178</v>
      </c>
      <c r="T216">
        <v>214</v>
      </c>
      <c r="U216">
        <f t="shared" si="15"/>
        <v>283</v>
      </c>
    </row>
    <row r="217" spans="1:21" x14ac:dyDescent="0.25">
      <c r="A217" s="4">
        <v>45602.705555555556</v>
      </c>
      <c r="B217" s="1">
        <v>126.86</v>
      </c>
      <c r="C217" s="1">
        <v>375.25</v>
      </c>
      <c r="D217" s="1">
        <v>15.83</v>
      </c>
      <c r="F217" s="1">
        <f t="shared" si="13"/>
        <v>-2.4376818432020331E-3</v>
      </c>
      <c r="G217" s="1">
        <f t="shared" si="13"/>
        <v>1.268384833355829E-2</v>
      </c>
      <c r="H217" s="1">
        <f t="shared" si="13"/>
        <v>-4.3504531722054374E-2</v>
      </c>
      <c r="L217" s="1"/>
      <c r="M217" s="1"/>
      <c r="R217">
        <f t="shared" si="16"/>
        <v>-9.9775095695094369E-3</v>
      </c>
      <c r="S217">
        <f t="shared" si="14"/>
        <v>1.6486434879906069E-174</v>
      </c>
      <c r="T217">
        <v>215</v>
      </c>
      <c r="U217">
        <f t="shared" si="15"/>
        <v>282</v>
      </c>
    </row>
    <row r="218" spans="1:21" x14ac:dyDescent="0.25">
      <c r="A218" s="4">
        <v>45603.705555555556</v>
      </c>
      <c r="B218" s="1">
        <v>126.23</v>
      </c>
      <c r="C218" s="1">
        <v>379.7</v>
      </c>
      <c r="D218" s="1">
        <v>16.149999999999999</v>
      </c>
      <c r="F218" s="1">
        <f t="shared" si="13"/>
        <v>-4.9661043670187199E-3</v>
      </c>
      <c r="G218" s="1">
        <f t="shared" si="13"/>
        <v>1.1858760826115811E-2</v>
      </c>
      <c r="H218" s="1">
        <f t="shared" si="13"/>
        <v>2.0214782059380765E-2</v>
      </c>
      <c r="L218" s="1"/>
      <c r="M218" s="1"/>
      <c r="R218">
        <f t="shared" si="16"/>
        <v>8.132231555543358E-3</v>
      </c>
      <c r="S218">
        <f t="shared" si="14"/>
        <v>4.3808855672498095E-174</v>
      </c>
      <c r="T218">
        <v>216</v>
      </c>
      <c r="U218">
        <f t="shared" si="15"/>
        <v>281</v>
      </c>
    </row>
    <row r="219" spans="1:21" x14ac:dyDescent="0.25">
      <c r="A219" s="4">
        <v>45604.705555555556</v>
      </c>
      <c r="B219" s="1">
        <v>124.44</v>
      </c>
      <c r="C219" s="1">
        <v>384.2</v>
      </c>
      <c r="D219" s="1">
        <v>16.13</v>
      </c>
      <c r="F219" s="1">
        <f t="shared" si="13"/>
        <v>-1.4180464231957624E-2</v>
      </c>
      <c r="G219" s="1">
        <f t="shared" si="13"/>
        <v>1.1851461680273845E-2</v>
      </c>
      <c r="H219" s="1">
        <f t="shared" si="13"/>
        <v>-1.2383900928791824E-3</v>
      </c>
      <c r="L219" s="1"/>
      <c r="M219" s="1"/>
      <c r="R219">
        <f t="shared" si="16"/>
        <v>-1.0702177933688884E-3</v>
      </c>
      <c r="S219">
        <f t="shared" si="14"/>
        <v>3.0349166110140419E-175</v>
      </c>
      <c r="T219">
        <v>217</v>
      </c>
      <c r="U219">
        <f t="shared" si="15"/>
        <v>280</v>
      </c>
    </row>
    <row r="220" spans="1:21" x14ac:dyDescent="0.25">
      <c r="A220" s="4">
        <v>45607.705555555556</v>
      </c>
      <c r="B220" s="1">
        <v>124.46</v>
      </c>
      <c r="C220" s="1">
        <v>385.95</v>
      </c>
      <c r="D220" s="1">
        <v>15.82</v>
      </c>
      <c r="F220" s="1">
        <f t="shared" si="13"/>
        <v>1.6072002571521082E-4</v>
      </c>
      <c r="G220" s="1">
        <f t="shared" si="13"/>
        <v>4.5549193128577858E-3</v>
      </c>
      <c r="H220" s="1">
        <f t="shared" si="13"/>
        <v>-1.9218846869187733E-2</v>
      </c>
      <c r="L220" s="1"/>
      <c r="M220" s="1"/>
      <c r="R220">
        <f t="shared" si="16"/>
        <v>-4.3509622591844221E-3</v>
      </c>
      <c r="S220">
        <f t="shared" si="14"/>
        <v>2.0064717609627384E-173</v>
      </c>
      <c r="T220">
        <v>218</v>
      </c>
      <c r="U220">
        <f t="shared" si="15"/>
        <v>279</v>
      </c>
    </row>
    <row r="221" spans="1:21" x14ac:dyDescent="0.25">
      <c r="A221" s="4">
        <v>45608.705555555556</v>
      </c>
      <c r="B221" s="1">
        <v>124.29</v>
      </c>
      <c r="C221" s="1">
        <v>384.48</v>
      </c>
      <c r="D221" s="1">
        <v>15.67</v>
      </c>
      <c r="F221" s="1">
        <f t="shared" si="13"/>
        <v>-1.3659006909849669E-3</v>
      </c>
      <c r="G221" s="1">
        <f t="shared" si="13"/>
        <v>-3.8087835211814136E-3</v>
      </c>
      <c r="H221" s="1">
        <f t="shared" si="13"/>
        <v>-9.481668773704155E-3</v>
      </c>
      <c r="L221" s="1"/>
      <c r="M221" s="1"/>
      <c r="R221">
        <f t="shared" si="16"/>
        <v>-4.396905895761161E-3</v>
      </c>
      <c r="S221">
        <f t="shared" si="14"/>
        <v>8.1962793605051614E-173</v>
      </c>
      <c r="T221">
        <v>219</v>
      </c>
      <c r="U221">
        <f t="shared" si="15"/>
        <v>278</v>
      </c>
    </row>
    <row r="222" spans="1:21" x14ac:dyDescent="0.25">
      <c r="A222" s="4">
        <v>45609.705555555556</v>
      </c>
      <c r="B222" s="1">
        <v>124.33</v>
      </c>
      <c r="C222" s="1">
        <v>387.96</v>
      </c>
      <c r="D222" s="1">
        <v>15.67</v>
      </c>
      <c r="F222" s="1">
        <f t="shared" si="13"/>
        <v>3.2182798294311254E-4</v>
      </c>
      <c r="G222" s="1">
        <f t="shared" si="13"/>
        <v>9.0511860174780079E-3</v>
      </c>
      <c r="H222" s="1">
        <f t="shared" si="13"/>
        <v>0</v>
      </c>
      <c r="L222" s="1"/>
      <c r="M222" s="1"/>
      <c r="R222">
        <f t="shared" si="16"/>
        <v>2.8119042001263361E-3</v>
      </c>
      <c r="S222">
        <f t="shared" si="14"/>
        <v>1.3408600240315564E-172</v>
      </c>
      <c r="T222">
        <v>220</v>
      </c>
      <c r="U222">
        <f t="shared" si="15"/>
        <v>277</v>
      </c>
    </row>
    <row r="223" spans="1:21" x14ac:dyDescent="0.25">
      <c r="A223" s="4">
        <v>45610.705555555556</v>
      </c>
      <c r="B223" s="1">
        <v>124.39</v>
      </c>
      <c r="C223" s="1">
        <v>384.96</v>
      </c>
      <c r="D223" s="1">
        <v>15.61</v>
      </c>
      <c r="F223" s="1">
        <f t="shared" si="13"/>
        <v>4.8258666452194454E-4</v>
      </c>
      <c r="G223" s="1">
        <f t="shared" si="13"/>
        <v>-7.7327559542220703E-3</v>
      </c>
      <c r="H223" s="1">
        <f t="shared" si="13"/>
        <v>-3.8289725590300305E-3</v>
      </c>
      <c r="L223" s="1"/>
      <c r="M223" s="1"/>
      <c r="R223">
        <f t="shared" si="16"/>
        <v>-3.3237425546190471E-3</v>
      </c>
      <c r="S223">
        <f t="shared" si="14"/>
        <v>7.4937145933466265E-172</v>
      </c>
      <c r="T223">
        <v>221</v>
      </c>
      <c r="U223">
        <f t="shared" si="15"/>
        <v>276</v>
      </c>
    </row>
    <row r="224" spans="1:21" x14ac:dyDescent="0.25">
      <c r="A224" s="4">
        <v>45614.705555555556</v>
      </c>
      <c r="B224" s="1">
        <v>124.37</v>
      </c>
      <c r="C224" s="1">
        <v>378.55</v>
      </c>
      <c r="D224" s="1">
        <v>15.76</v>
      </c>
      <c r="F224" s="1">
        <f t="shared" si="13"/>
        <v>-1.607846289893855E-4</v>
      </c>
      <c r="G224" s="1">
        <f t="shared" si="13"/>
        <v>-1.6651080631753912E-2</v>
      </c>
      <c r="H224" s="1">
        <f t="shared" si="13"/>
        <v>9.6092248558616866E-3</v>
      </c>
      <c r="L224" s="1"/>
      <c r="M224" s="1"/>
      <c r="R224">
        <f t="shared" si="16"/>
        <v>-2.1607921214644825E-3</v>
      </c>
      <c r="S224">
        <f t="shared" si="14"/>
        <v>1.266859230751735E-171</v>
      </c>
      <c r="T224">
        <v>222</v>
      </c>
      <c r="U224">
        <f t="shared" si="15"/>
        <v>275</v>
      </c>
    </row>
    <row r="225" spans="1:21" x14ac:dyDescent="0.25">
      <c r="A225" s="4">
        <v>45615.705555555556</v>
      </c>
      <c r="B225" s="1">
        <v>124.78</v>
      </c>
      <c r="C225" s="1">
        <v>381.65</v>
      </c>
      <c r="D225" s="1">
        <v>15.96</v>
      </c>
      <c r="F225" s="1">
        <f t="shared" si="13"/>
        <v>3.296614939294118E-3</v>
      </c>
      <c r="G225" s="1">
        <f t="shared" si="13"/>
        <v>8.1891427816667139E-3</v>
      </c>
      <c r="H225" s="1">
        <f t="shared" si="13"/>
        <v>1.2690355329949332E-2</v>
      </c>
      <c r="L225" s="1"/>
      <c r="M225" s="1"/>
      <c r="R225">
        <f t="shared" si="16"/>
        <v>7.2528339152730503E-3</v>
      </c>
      <c r="S225">
        <f t="shared" si="14"/>
        <v>5.7092339704832115E-170</v>
      </c>
      <c r="T225">
        <v>223</v>
      </c>
      <c r="U225">
        <f t="shared" si="15"/>
        <v>274</v>
      </c>
    </row>
    <row r="226" spans="1:21" x14ac:dyDescent="0.25">
      <c r="A226" s="4">
        <v>45617.705555555556</v>
      </c>
      <c r="B226" s="1">
        <v>123.56</v>
      </c>
      <c r="C226" s="1">
        <v>386.3</v>
      </c>
      <c r="D226" s="1">
        <v>16.3</v>
      </c>
      <c r="F226" s="1">
        <f t="shared" si="13"/>
        <v>-9.7772078858791023E-3</v>
      </c>
      <c r="G226" s="1">
        <f t="shared" si="13"/>
        <v>1.2183938163238706E-2</v>
      </c>
      <c r="H226" s="1">
        <f t="shared" si="13"/>
        <v>2.130325814536338E-2</v>
      </c>
      <c r="L226" s="1"/>
      <c r="M226" s="1"/>
      <c r="R226">
        <f t="shared" si="16"/>
        <v>7.1129965268168956E-3</v>
      </c>
      <c r="S226">
        <f t="shared" si="14"/>
        <v>2.1964815556161802E-169</v>
      </c>
      <c r="T226">
        <v>224</v>
      </c>
      <c r="U226">
        <f t="shared" si="15"/>
        <v>273</v>
      </c>
    </row>
    <row r="227" spans="1:21" x14ac:dyDescent="0.25">
      <c r="A227" s="4">
        <v>45618.705555555556</v>
      </c>
      <c r="B227" s="1">
        <v>125.66</v>
      </c>
      <c r="C227" s="1">
        <v>387.2</v>
      </c>
      <c r="D227" s="1">
        <v>16.48</v>
      </c>
      <c r="F227" s="1">
        <f t="shared" si="13"/>
        <v>1.6995791518290559E-2</v>
      </c>
      <c r="G227" s="1">
        <f t="shared" si="13"/>
        <v>2.3297954957286482E-3</v>
      </c>
      <c r="H227" s="1">
        <f t="shared" si="13"/>
        <v>1.104294478527601E-2</v>
      </c>
      <c r="L227" s="1"/>
      <c r="M227" s="1"/>
      <c r="R227">
        <f t="shared" si="16"/>
        <v>9.1105595397885653E-3</v>
      </c>
      <c r="S227">
        <f t="shared" si="14"/>
        <v>1.4413599822123181E-168</v>
      </c>
      <c r="T227">
        <v>225</v>
      </c>
      <c r="U227">
        <f t="shared" si="15"/>
        <v>272</v>
      </c>
    </row>
    <row r="228" spans="1:21" x14ac:dyDescent="0.25">
      <c r="A228" s="4">
        <v>45621.705555555556</v>
      </c>
      <c r="B228" s="1">
        <v>125.61</v>
      </c>
      <c r="C228" s="1">
        <v>388.75</v>
      </c>
      <c r="D228" s="1">
        <v>15.98</v>
      </c>
      <c r="F228" s="1">
        <f t="shared" si="13"/>
        <v>-3.9789909279008828E-4</v>
      </c>
      <c r="G228" s="1">
        <f t="shared" si="13"/>
        <v>4.0030991735537924E-3</v>
      </c>
      <c r="H228" s="1">
        <f t="shared" si="13"/>
        <v>-3.033980582524276E-2</v>
      </c>
      <c r="L228" s="1"/>
      <c r="M228" s="1"/>
      <c r="R228">
        <f t="shared" si="16"/>
        <v>-8.0203817233437183E-3</v>
      </c>
      <c r="S228">
        <f t="shared" si="14"/>
        <v>4.4681981811204493E-168</v>
      </c>
      <c r="T228">
        <v>226</v>
      </c>
      <c r="U228">
        <f t="shared" si="15"/>
        <v>271</v>
      </c>
    </row>
    <row r="229" spans="1:21" x14ac:dyDescent="0.25">
      <c r="A229" s="4">
        <v>45622.705555555556</v>
      </c>
      <c r="B229" s="1">
        <v>126.47</v>
      </c>
      <c r="C229" s="1">
        <v>391.15</v>
      </c>
      <c r="D229" s="1">
        <v>16.05</v>
      </c>
      <c r="F229" s="1">
        <f t="shared" si="13"/>
        <v>6.8465886474007309E-3</v>
      </c>
      <c r="G229" s="1">
        <f t="shared" si="13"/>
        <v>6.1736334405144699E-3</v>
      </c>
      <c r="H229" s="1">
        <f t="shared" si="13"/>
        <v>4.3804755944931717E-3</v>
      </c>
      <c r="L229" s="1"/>
      <c r="M229" s="1"/>
      <c r="R229">
        <f t="shared" si="16"/>
        <v>5.2202093047225119E-3</v>
      </c>
      <c r="S229">
        <f t="shared" si="14"/>
        <v>7.5714345810993743E-168</v>
      </c>
      <c r="T229">
        <v>227</v>
      </c>
      <c r="U229">
        <f t="shared" si="15"/>
        <v>270</v>
      </c>
    </row>
    <row r="230" spans="1:21" x14ac:dyDescent="0.25">
      <c r="A230" s="4">
        <v>45623.705555555556</v>
      </c>
      <c r="B230" s="1">
        <v>124.33</v>
      </c>
      <c r="C230" s="1">
        <v>397.5</v>
      </c>
      <c r="D230" s="1">
        <v>16.399999999999999</v>
      </c>
      <c r="F230" s="1">
        <f t="shared" si="13"/>
        <v>-1.6921008934925319E-2</v>
      </c>
      <c r="G230" s="1">
        <f t="shared" si="13"/>
        <v>1.6234181260386116E-2</v>
      </c>
      <c r="H230" s="1">
        <f t="shared" si="13"/>
        <v>2.1806853582554409E-2</v>
      </c>
      <c r="L230" s="1"/>
      <c r="M230" s="1"/>
      <c r="R230">
        <f t="shared" si="16"/>
        <v>6.3360077724045625E-3</v>
      </c>
      <c r="S230">
        <f t="shared" si="14"/>
        <v>4.4616318877529421E-167</v>
      </c>
      <c r="T230">
        <v>228</v>
      </c>
      <c r="U230">
        <f t="shared" si="15"/>
        <v>269</v>
      </c>
    </row>
    <row r="231" spans="1:21" x14ac:dyDescent="0.25">
      <c r="A231" s="4">
        <v>45624.705555555556</v>
      </c>
      <c r="B231" s="1">
        <v>121.44</v>
      </c>
      <c r="C231" s="1">
        <v>402.51</v>
      </c>
      <c r="D231" s="1">
        <v>16.55</v>
      </c>
      <c r="F231" s="1">
        <f t="shared" si="13"/>
        <v>-2.3244591007801851E-2</v>
      </c>
      <c r="G231" s="1">
        <f t="shared" si="13"/>
        <v>1.2603773584905609E-2</v>
      </c>
      <c r="H231" s="1">
        <f t="shared" si="13"/>
        <v>9.1463414634147533E-3</v>
      </c>
      <c r="L231" s="1"/>
      <c r="M231" s="1"/>
      <c r="R231">
        <f t="shared" si="16"/>
        <v>-4.4834278784444681E-4</v>
      </c>
      <c r="S231">
        <f t="shared" si="14"/>
        <v>8.9359905342458609E-169</v>
      </c>
      <c r="T231">
        <v>229</v>
      </c>
      <c r="U231">
        <f t="shared" si="15"/>
        <v>268</v>
      </c>
    </row>
    <row r="232" spans="1:21" x14ac:dyDescent="0.25">
      <c r="A232" s="4">
        <v>45625.705555555556</v>
      </c>
      <c r="B232" s="1">
        <v>122.34</v>
      </c>
      <c r="C232" s="1">
        <v>402.85</v>
      </c>
      <c r="D232" s="1">
        <v>16.670000000000002</v>
      </c>
      <c r="F232" s="1">
        <f t="shared" si="13"/>
        <v>7.4110671936760131E-3</v>
      </c>
      <c r="G232" s="1">
        <f t="shared" si="13"/>
        <v>8.4469951057131176E-4</v>
      </c>
      <c r="H232" s="1">
        <f t="shared" si="13"/>
        <v>7.2507552870091363E-3</v>
      </c>
      <c r="L232" s="1"/>
      <c r="M232" s="1"/>
      <c r="R232">
        <f t="shared" si="16"/>
        <v>4.6519565973769383E-3</v>
      </c>
      <c r="S232">
        <f t="shared" si="14"/>
        <v>3.8481644542959982E-166</v>
      </c>
      <c r="T232">
        <v>230</v>
      </c>
      <c r="U232">
        <f t="shared" si="15"/>
        <v>267</v>
      </c>
    </row>
    <row r="233" spans="1:21" x14ac:dyDescent="0.25">
      <c r="A233" s="4">
        <v>45628.705555555556</v>
      </c>
      <c r="B233" s="1">
        <v>121.94</v>
      </c>
      <c r="C233" s="1">
        <v>410</v>
      </c>
      <c r="D233" s="1">
        <v>16.79</v>
      </c>
      <c r="F233" s="1">
        <f t="shared" si="13"/>
        <v>-3.2695765898316242E-3</v>
      </c>
      <c r="G233" s="1">
        <f t="shared" si="13"/>
        <v>1.774854164080919E-2</v>
      </c>
      <c r="H233" s="1">
        <f t="shared" si="13"/>
        <v>7.1985602879423016E-3</v>
      </c>
      <c r="L233" s="1"/>
      <c r="M233" s="1"/>
      <c r="R233">
        <f t="shared" si="16"/>
        <v>6.5032576016759601E-3</v>
      </c>
      <c r="S233">
        <f t="shared" si="14"/>
        <v>3.0081827829679766E-165</v>
      </c>
      <c r="T233">
        <v>231</v>
      </c>
      <c r="U233">
        <f t="shared" si="15"/>
        <v>266</v>
      </c>
    </row>
    <row r="234" spans="1:21" x14ac:dyDescent="0.25">
      <c r="A234" s="4">
        <v>45629.705555555556</v>
      </c>
      <c r="B234" s="1">
        <v>122.8</v>
      </c>
      <c r="C234" s="1">
        <v>409.1</v>
      </c>
      <c r="D234" s="1">
        <v>16.760000000000002</v>
      </c>
      <c r="F234" s="1">
        <f t="shared" si="13"/>
        <v>7.0526488436937207E-3</v>
      </c>
      <c r="G234" s="1">
        <f t="shared" si="13"/>
        <v>-2.1951219512194031E-3</v>
      </c>
      <c r="H234" s="1">
        <f t="shared" si="13"/>
        <v>-1.7867778439546456E-3</v>
      </c>
      <c r="L234" s="1"/>
      <c r="M234" s="1"/>
      <c r="R234">
        <f t="shared" si="16"/>
        <v>9.2122471455590143E-4</v>
      </c>
      <c r="S234">
        <f t="shared" si="14"/>
        <v>2.4145347460193055E-166</v>
      </c>
      <c r="T234">
        <v>232</v>
      </c>
      <c r="U234">
        <f t="shared" si="15"/>
        <v>265</v>
      </c>
    </row>
    <row r="235" spans="1:21" x14ac:dyDescent="0.25">
      <c r="A235" s="4">
        <v>45630.705555555556</v>
      </c>
      <c r="B235" s="1">
        <v>122.77</v>
      </c>
      <c r="C235" s="1">
        <v>411.2</v>
      </c>
      <c r="D235" s="1">
        <v>16.78</v>
      </c>
      <c r="F235" s="1">
        <f t="shared" si="13"/>
        <v>-2.4429967426708998E-4</v>
      </c>
      <c r="G235" s="1">
        <f t="shared" si="13"/>
        <v>5.1332192617941086E-3</v>
      </c>
      <c r="H235" s="1">
        <f t="shared" si="13"/>
        <v>1.1933174224343368E-3</v>
      </c>
      <c r="L235" s="1"/>
      <c r="M235" s="1"/>
      <c r="R235">
        <f t="shared" si="16"/>
        <v>1.8246711029884066E-3</v>
      </c>
      <c r="S235">
        <f t="shared" si="14"/>
        <v>3.7890599609111222E-165</v>
      </c>
      <c r="T235">
        <v>233</v>
      </c>
      <c r="U235">
        <f t="shared" si="15"/>
        <v>264</v>
      </c>
    </row>
    <row r="236" spans="1:21" x14ac:dyDescent="0.25">
      <c r="A236" s="4">
        <v>45631.705555555556</v>
      </c>
      <c r="B236" s="1">
        <v>124.47</v>
      </c>
      <c r="C236" s="1">
        <v>408.19</v>
      </c>
      <c r="D236" s="1">
        <v>16.57</v>
      </c>
      <c r="F236" s="1">
        <f t="shared" si="13"/>
        <v>1.3847031033640267E-2</v>
      </c>
      <c r="G236" s="1">
        <f t="shared" si="13"/>
        <v>-7.3200389105058106E-3</v>
      </c>
      <c r="H236" s="1">
        <f t="shared" si="13"/>
        <v>-1.2514898688915421E-2</v>
      </c>
      <c r="L236" s="1"/>
      <c r="M236" s="1"/>
      <c r="R236">
        <f t="shared" si="16"/>
        <v>-1.79637196973429E-3</v>
      </c>
      <c r="S236">
        <f t="shared" si="14"/>
        <v>1.4689764057015451E-164</v>
      </c>
      <c r="T236">
        <v>234</v>
      </c>
      <c r="U236">
        <f t="shared" si="15"/>
        <v>263</v>
      </c>
    </row>
    <row r="237" spans="1:21" x14ac:dyDescent="0.25">
      <c r="A237" s="4">
        <v>45632.705555555556</v>
      </c>
      <c r="B237" s="1">
        <v>122.67</v>
      </c>
      <c r="C237" s="1">
        <v>413.87</v>
      </c>
      <c r="D237" s="1">
        <v>16.82</v>
      </c>
      <c r="F237" s="1">
        <f t="shared" si="13"/>
        <v>-1.4461315979754086E-2</v>
      </c>
      <c r="G237" s="1">
        <f t="shared" si="13"/>
        <v>1.3915088561699207E-2</v>
      </c>
      <c r="H237" s="1">
        <f t="shared" si="13"/>
        <v>1.5087507543753764E-2</v>
      </c>
      <c r="L237" s="1"/>
      <c r="M237" s="1"/>
      <c r="R237">
        <f t="shared" si="16"/>
        <v>4.3623840377096665E-3</v>
      </c>
      <c r="S237">
        <f t="shared" si="14"/>
        <v>3.4652140228015874E-163</v>
      </c>
      <c r="T237">
        <v>235</v>
      </c>
      <c r="U237">
        <f t="shared" si="15"/>
        <v>262</v>
      </c>
    </row>
    <row r="238" spans="1:21" x14ac:dyDescent="0.25">
      <c r="A238" s="4">
        <v>45635.705555555556</v>
      </c>
      <c r="B238" s="1">
        <v>123.85</v>
      </c>
      <c r="C238" s="1">
        <v>411.85</v>
      </c>
      <c r="D238" s="1">
        <v>16.96</v>
      </c>
      <c r="F238" s="1">
        <f t="shared" si="13"/>
        <v>9.6193038232657013E-3</v>
      </c>
      <c r="G238" s="1">
        <f t="shared" si="13"/>
        <v>-4.8807596588300584E-3</v>
      </c>
      <c r="H238" s="1">
        <f t="shared" si="13"/>
        <v>8.3234244946492897E-3</v>
      </c>
      <c r="L238" s="1"/>
      <c r="M238" s="1"/>
      <c r="R238">
        <f t="shared" si="16"/>
        <v>3.9185905977254798E-3</v>
      </c>
      <c r="S238">
        <f t="shared" si="14"/>
        <v>1.1184125907864254E-162</v>
      </c>
      <c r="T238">
        <v>236</v>
      </c>
      <c r="U238">
        <f t="shared" si="15"/>
        <v>261</v>
      </c>
    </row>
    <row r="239" spans="1:21" x14ac:dyDescent="0.25">
      <c r="A239" s="4">
        <v>45636.705555555556</v>
      </c>
      <c r="B239" s="1">
        <v>124.86</v>
      </c>
      <c r="C239" s="1">
        <v>408.48</v>
      </c>
      <c r="D239" s="1">
        <v>17.09</v>
      </c>
      <c r="F239" s="1">
        <f t="shared" si="13"/>
        <v>8.1550262414211705E-3</v>
      </c>
      <c r="G239" s="1">
        <f t="shared" si="13"/>
        <v>-8.1825907490591376E-3</v>
      </c>
      <c r="H239" s="1">
        <f t="shared" si="13"/>
        <v>7.6650943396225912E-3</v>
      </c>
      <c r="L239" s="1"/>
      <c r="M239" s="1"/>
      <c r="R239">
        <f t="shared" si="16"/>
        <v>2.2912589495953871E-3</v>
      </c>
      <c r="S239">
        <f t="shared" si="14"/>
        <v>1.5295039516142338E-162</v>
      </c>
      <c r="T239">
        <v>237</v>
      </c>
      <c r="U239">
        <f t="shared" si="15"/>
        <v>260</v>
      </c>
    </row>
    <row r="240" spans="1:21" x14ac:dyDescent="0.25">
      <c r="A240" s="4">
        <v>45637.705555555556</v>
      </c>
      <c r="B240" s="1">
        <v>126.19</v>
      </c>
      <c r="C240" s="1">
        <v>405.1</v>
      </c>
      <c r="D240" s="1">
        <v>17</v>
      </c>
      <c r="F240" s="1">
        <f t="shared" si="13"/>
        <v>1.065193016178112E-2</v>
      </c>
      <c r="G240" s="1">
        <f t="shared" si="13"/>
        <v>-8.2745789267528735E-3</v>
      </c>
      <c r="H240" s="1">
        <f t="shared" si="13"/>
        <v>-5.2662375658280025E-3</v>
      </c>
      <c r="L240" s="1"/>
      <c r="M240" s="1"/>
      <c r="R240">
        <f t="shared" si="16"/>
        <v>-8.6666589923992707E-4</v>
      </c>
      <c r="S240">
        <f t="shared" si="14"/>
        <v>8.7531760508269461E-163</v>
      </c>
      <c r="T240">
        <v>238</v>
      </c>
      <c r="U240">
        <f t="shared" si="15"/>
        <v>259</v>
      </c>
    </row>
    <row r="241" spans="1:21" x14ac:dyDescent="0.25">
      <c r="A241" s="4">
        <v>45638.705555555556</v>
      </c>
      <c r="B241" s="1">
        <v>122.85</v>
      </c>
      <c r="C241" s="1">
        <v>405.9</v>
      </c>
      <c r="D241" s="1">
        <v>16.829999999999998</v>
      </c>
      <c r="F241" s="1">
        <f t="shared" si="13"/>
        <v>-2.646802440763929E-2</v>
      </c>
      <c r="G241" s="1">
        <f t="shared" si="13"/>
        <v>1.9748210318439874E-3</v>
      </c>
      <c r="H241" s="1">
        <f t="shared" si="13"/>
        <v>-1.000000000000012E-2</v>
      </c>
      <c r="L241" s="1"/>
      <c r="M241" s="1"/>
      <c r="R241">
        <f t="shared" si="16"/>
        <v>-1.0347961012738627E-2</v>
      </c>
      <c r="S241">
        <f t="shared" si="14"/>
        <v>4.9915083845484855E-160</v>
      </c>
      <c r="T241">
        <v>239</v>
      </c>
      <c r="U241">
        <f t="shared" si="15"/>
        <v>258</v>
      </c>
    </row>
    <row r="242" spans="1:21" x14ac:dyDescent="0.25">
      <c r="A242" s="4">
        <v>45639.705555555556</v>
      </c>
      <c r="B242" s="1">
        <v>121.43</v>
      </c>
      <c r="C242" s="1">
        <v>409.65</v>
      </c>
      <c r="D242" s="1">
        <v>16.8</v>
      </c>
      <c r="F242" s="1">
        <f t="shared" si="13"/>
        <v>-1.1558811558811444E-2</v>
      </c>
      <c r="G242" s="1">
        <f t="shared" si="13"/>
        <v>9.238728750923908E-3</v>
      </c>
      <c r="H242" s="1">
        <f t="shared" si="13"/>
        <v>-1.7825311942957223E-3</v>
      </c>
      <c r="L242" s="1"/>
      <c r="M242" s="1"/>
      <c r="R242">
        <f t="shared" si="16"/>
        <v>-1.2307842006549772E-3</v>
      </c>
      <c r="S242">
        <f t="shared" si="14"/>
        <v>2.8245291036705593E-161</v>
      </c>
      <c r="T242">
        <v>240</v>
      </c>
      <c r="U242">
        <f t="shared" si="15"/>
        <v>257</v>
      </c>
    </row>
    <row r="243" spans="1:21" x14ac:dyDescent="0.25">
      <c r="A243" s="4">
        <v>45642.705555555556</v>
      </c>
      <c r="B243" s="1">
        <v>120.41</v>
      </c>
      <c r="C243" s="1">
        <v>416.64</v>
      </c>
      <c r="D243" s="1">
        <v>17.05</v>
      </c>
      <c r="F243" s="1">
        <f t="shared" si="13"/>
        <v>-8.3999011776333399E-3</v>
      </c>
      <c r="G243" s="1">
        <f t="shared" si="13"/>
        <v>1.7063346759428777E-2</v>
      </c>
      <c r="H243" s="1">
        <f t="shared" si="13"/>
        <v>1.4880952380952328E-2</v>
      </c>
      <c r="L243" s="1"/>
      <c r="M243" s="1"/>
      <c r="R243">
        <f t="shared" si="16"/>
        <v>7.0633193888243306E-3</v>
      </c>
      <c r="S243">
        <f t="shared" si="14"/>
        <v>3.7210020496434208E-159</v>
      </c>
      <c r="T243">
        <v>241</v>
      </c>
      <c r="U243">
        <f t="shared" si="15"/>
        <v>256</v>
      </c>
    </row>
    <row r="244" spans="1:21" x14ac:dyDescent="0.25">
      <c r="A244" s="4">
        <v>45643.705555555556</v>
      </c>
      <c r="B244" s="1">
        <v>121.48</v>
      </c>
      <c r="C244" s="1">
        <v>413</v>
      </c>
      <c r="D244" s="1">
        <v>16.95</v>
      </c>
      <c r="F244" s="1">
        <f t="shared" si="13"/>
        <v>8.8863051241592217E-3</v>
      </c>
      <c r="G244" s="1">
        <f t="shared" si="13"/>
        <v>-8.736559139784883E-3</v>
      </c>
      <c r="H244" s="1">
        <f t="shared" si="13"/>
        <v>-5.8651026392962935E-3</v>
      </c>
      <c r="L244" s="1"/>
      <c r="M244" s="1"/>
      <c r="R244">
        <f t="shared" si="16"/>
        <v>-1.714606996476587E-3</v>
      </c>
      <c r="S244">
        <f t="shared" si="14"/>
        <v>8.7706422040878669E-160</v>
      </c>
      <c r="T244">
        <v>242</v>
      </c>
      <c r="U244">
        <f t="shared" si="15"/>
        <v>255</v>
      </c>
    </row>
    <row r="245" spans="1:21" x14ac:dyDescent="0.25">
      <c r="A245" s="4">
        <v>45644.705555555556</v>
      </c>
      <c r="B245" s="1">
        <v>117.78</v>
      </c>
      <c r="C245" s="1">
        <v>412.89</v>
      </c>
      <c r="D245" s="1">
        <v>17.04</v>
      </c>
      <c r="F245" s="1">
        <f t="shared" si="13"/>
        <v>-3.0457688508396474E-2</v>
      </c>
      <c r="G245" s="1">
        <f t="shared" si="13"/>
        <v>-2.6634382566592674E-4</v>
      </c>
      <c r="H245" s="1">
        <f t="shared" si="13"/>
        <v>5.3097345132744334E-3</v>
      </c>
      <c r="L245" s="1"/>
      <c r="M245" s="1"/>
      <c r="R245">
        <f t="shared" si="16"/>
        <v>-7.6242893462363896E-3</v>
      </c>
      <c r="S245">
        <f t="shared" si="14"/>
        <v>6.9368282527755555E-158</v>
      </c>
      <c r="T245">
        <v>243</v>
      </c>
      <c r="U245">
        <f t="shared" si="15"/>
        <v>254</v>
      </c>
    </row>
    <row r="246" spans="1:21" x14ac:dyDescent="0.25">
      <c r="A246" s="4">
        <v>45645.705555555556</v>
      </c>
      <c r="B246" s="1">
        <v>118.09</v>
      </c>
      <c r="C246" s="1">
        <v>402.35</v>
      </c>
      <c r="D246" s="1">
        <v>16.72</v>
      </c>
      <c r="F246" s="1">
        <f t="shared" si="13"/>
        <v>2.6320258108338823E-3</v>
      </c>
      <c r="G246" s="1">
        <f t="shared" si="13"/>
        <v>-2.5527380173896108E-2</v>
      </c>
      <c r="H246" s="1">
        <f t="shared" si="13"/>
        <v>-1.8779342723004744E-2</v>
      </c>
      <c r="L246" s="1"/>
      <c r="M246" s="1"/>
      <c r="R246">
        <f t="shared" si="16"/>
        <v>-1.2502409125820091E-2</v>
      </c>
      <c r="S246">
        <f t="shared" si="14"/>
        <v>7.4612159012362569E-157</v>
      </c>
      <c r="T246">
        <v>244</v>
      </c>
      <c r="U246">
        <f t="shared" si="15"/>
        <v>253</v>
      </c>
    </row>
    <row r="247" spans="1:21" x14ac:dyDescent="0.25">
      <c r="A247" s="4">
        <v>45646.705555555556</v>
      </c>
      <c r="B247" s="1">
        <v>118.98</v>
      </c>
      <c r="C247" s="1">
        <v>403.45</v>
      </c>
      <c r="D247" s="1">
        <v>16.73</v>
      </c>
      <c r="F247" s="1">
        <f t="shared" si="13"/>
        <v>7.5366246083494737E-3</v>
      </c>
      <c r="G247" s="1">
        <f t="shared" si="13"/>
        <v>2.7339381135826901E-3</v>
      </c>
      <c r="H247" s="1">
        <f t="shared" si="13"/>
        <v>5.9808612440193087E-4</v>
      </c>
      <c r="L247" s="1"/>
      <c r="M247" s="1"/>
      <c r="R247">
        <f t="shared" si="16"/>
        <v>3.2605946539002281E-3</v>
      </c>
      <c r="S247">
        <f t="shared" si="14"/>
        <v>2.0299054502152284E-157</v>
      </c>
      <c r="T247">
        <v>245</v>
      </c>
      <c r="U247">
        <f t="shared" si="15"/>
        <v>252</v>
      </c>
    </row>
    <row r="248" spans="1:21" x14ac:dyDescent="0.25">
      <c r="A248" s="4">
        <v>45649.705555555556</v>
      </c>
      <c r="B248" s="1">
        <v>117.73</v>
      </c>
      <c r="C248" s="1">
        <v>413.5</v>
      </c>
      <c r="D248" s="1">
        <v>16.96</v>
      </c>
      <c r="F248" s="1">
        <f t="shared" si="13"/>
        <v>-1.0505967389477178E-2</v>
      </c>
      <c r="G248" s="1">
        <f t="shared" si="13"/>
        <v>2.4910149956624217E-2</v>
      </c>
      <c r="H248" s="1">
        <f t="shared" si="13"/>
        <v>1.3747758517633102E-2</v>
      </c>
      <c r="L248" s="1"/>
      <c r="M248" s="1"/>
      <c r="R248">
        <f t="shared" si="16"/>
        <v>8.4455823254340427E-3</v>
      </c>
      <c r="S248">
        <f t="shared" si="14"/>
        <v>5.4475518934117821E-156</v>
      </c>
      <c r="T248">
        <v>246</v>
      </c>
      <c r="U248">
        <f t="shared" si="15"/>
        <v>251</v>
      </c>
    </row>
    <row r="249" spans="1:21" x14ac:dyDescent="0.25">
      <c r="A249" s="4">
        <v>45652.705555555556</v>
      </c>
      <c r="B249" s="1">
        <v>118.05</v>
      </c>
      <c r="C249" s="1">
        <v>417.2</v>
      </c>
      <c r="D249" s="1">
        <v>17.07</v>
      </c>
      <c r="F249" s="1">
        <f t="shared" si="13"/>
        <v>2.7180837509555023E-3</v>
      </c>
      <c r="G249" s="1">
        <f t="shared" si="13"/>
        <v>8.9480048367593934E-3</v>
      </c>
      <c r="H249" s="1">
        <f t="shared" si="13"/>
        <v>6.4858490566037652E-3</v>
      </c>
      <c r="L249" s="1"/>
      <c r="M249" s="1"/>
      <c r="R249">
        <f t="shared" si="16"/>
        <v>5.4455812932955984E-3</v>
      </c>
      <c r="S249">
        <f t="shared" si="14"/>
        <v>9.0592169325463633E-156</v>
      </c>
      <c r="T249">
        <v>247</v>
      </c>
      <c r="U249">
        <f t="shared" si="15"/>
        <v>250</v>
      </c>
    </row>
    <row r="250" spans="1:21" x14ac:dyDescent="0.25">
      <c r="A250" s="4">
        <v>45653.705555555556</v>
      </c>
      <c r="B250" s="1">
        <v>117.29</v>
      </c>
      <c r="C250" s="1">
        <v>412.9</v>
      </c>
      <c r="D250" s="1">
        <v>16.989999999999998</v>
      </c>
      <c r="F250" s="1">
        <f t="shared" si="13"/>
        <v>-6.4379500211774188E-3</v>
      </c>
      <c r="G250" s="1">
        <f t="shared" si="13"/>
        <v>-1.0306807286673103E-2</v>
      </c>
      <c r="H250" s="1">
        <f t="shared" si="13"/>
        <v>-4.6865846514353438E-3</v>
      </c>
      <c r="L250" s="1"/>
      <c r="M250" s="1"/>
      <c r="R250">
        <f t="shared" si="16"/>
        <v>-6.42940258778576E-3</v>
      </c>
      <c r="S250">
        <f t="shared" si="14"/>
        <v>5.0513027728633077E-155</v>
      </c>
      <c r="T250">
        <v>248</v>
      </c>
      <c r="U250">
        <f t="shared" si="15"/>
        <v>249</v>
      </c>
    </row>
    <row r="251" spans="1:21" x14ac:dyDescent="0.25">
      <c r="A251" s="4">
        <v>45656.705555555556</v>
      </c>
      <c r="B251" s="1">
        <v>117.27</v>
      </c>
      <c r="C251" s="1">
        <v>407.7</v>
      </c>
      <c r="D251" s="1">
        <v>16.89</v>
      </c>
      <c r="F251" s="1">
        <f t="shared" si="13"/>
        <v>-1.7051752067531734E-4</v>
      </c>
      <c r="G251" s="1">
        <f t="shared" si="13"/>
        <v>-1.2593848389440554E-2</v>
      </c>
      <c r="H251" s="1">
        <f t="shared" si="13"/>
        <v>-5.8858151854030982E-3</v>
      </c>
      <c r="L251" s="1"/>
      <c r="M251" s="1"/>
      <c r="R251">
        <f t="shared" si="16"/>
        <v>-5.5950543286556916E-3</v>
      </c>
      <c r="S251">
        <f t="shared" si="14"/>
        <v>1.5301385842603736E-154</v>
      </c>
      <c r="T251">
        <v>249</v>
      </c>
      <c r="U251">
        <f t="shared" si="15"/>
        <v>248</v>
      </c>
    </row>
    <row r="252" spans="1:21" x14ac:dyDescent="0.25">
      <c r="A252" s="4">
        <v>45659.705555555556</v>
      </c>
      <c r="B252" s="1">
        <v>117.14</v>
      </c>
      <c r="C252" s="1">
        <v>403.15</v>
      </c>
      <c r="D252" s="1">
        <v>17.14</v>
      </c>
      <c r="F252" s="1">
        <f t="shared" si="13"/>
        <v>-1.1085529120832271E-3</v>
      </c>
      <c r="G252" s="1">
        <f t="shared" si="13"/>
        <v>-1.116016678930587E-2</v>
      </c>
      <c r="H252" s="1">
        <f t="shared" si="13"/>
        <v>1.4801657785671996E-2</v>
      </c>
      <c r="L252" s="1"/>
      <c r="M252" s="1"/>
      <c r="R252">
        <f t="shared" si="16"/>
        <v>7.5988142528486983E-4</v>
      </c>
      <c r="S252">
        <f t="shared" si="14"/>
        <v>1.1289476380364282E-155</v>
      </c>
      <c r="T252">
        <v>250</v>
      </c>
      <c r="U252">
        <f t="shared" si="15"/>
        <v>247</v>
      </c>
    </row>
    <row r="253" spans="1:21" x14ac:dyDescent="0.25">
      <c r="A253" s="4">
        <v>45660.705555555556</v>
      </c>
      <c r="B253" s="1">
        <v>115.59</v>
      </c>
      <c r="C253" s="1">
        <v>410.65</v>
      </c>
      <c r="D253" s="1">
        <v>17.11</v>
      </c>
      <c r="F253" s="1">
        <f t="shared" si="13"/>
        <v>-1.3232030049513344E-2</v>
      </c>
      <c r="G253" s="1">
        <f t="shared" si="13"/>
        <v>1.8603497457521989E-2</v>
      </c>
      <c r="H253" s="1">
        <f t="shared" si="13"/>
        <v>-1.7502917152859565E-3</v>
      </c>
      <c r="L253" s="1"/>
      <c r="M253" s="1"/>
      <c r="R253">
        <f t="shared" si="16"/>
        <v>1.0863527078168063E-3</v>
      </c>
      <c r="S253">
        <f t="shared" si="14"/>
        <v>9.2296203194060731E-155</v>
      </c>
      <c r="T253">
        <v>251</v>
      </c>
      <c r="U253">
        <f t="shared" si="15"/>
        <v>246</v>
      </c>
    </row>
    <row r="254" spans="1:21" x14ac:dyDescent="0.25">
      <c r="A254" s="4">
        <v>45663.705555555556</v>
      </c>
      <c r="B254" s="1">
        <v>117.04</v>
      </c>
      <c r="C254" s="1">
        <v>408.12</v>
      </c>
      <c r="D254" s="1">
        <v>16.899999999999999</v>
      </c>
      <c r="F254" s="1">
        <f t="shared" si="13"/>
        <v>1.2544337745479694E-2</v>
      </c>
      <c r="G254" s="1">
        <f t="shared" si="13"/>
        <v>-6.1609643248508039E-3</v>
      </c>
      <c r="H254" s="1">
        <f t="shared" si="13"/>
        <v>-1.2273524254821755E-2</v>
      </c>
      <c r="L254" s="1"/>
      <c r="M254" s="1"/>
      <c r="R254">
        <f t="shared" si="16"/>
        <v>-1.7670452502578599E-3</v>
      </c>
      <c r="S254">
        <f t="shared" si="14"/>
        <v>9.7678159237735617E-154</v>
      </c>
      <c r="T254">
        <v>252</v>
      </c>
      <c r="U254">
        <f t="shared" si="15"/>
        <v>245</v>
      </c>
    </row>
    <row r="255" spans="1:21" x14ac:dyDescent="0.25">
      <c r="A255" s="4">
        <v>45664.705555555556</v>
      </c>
      <c r="B255" s="1">
        <v>118.11</v>
      </c>
      <c r="C255" s="1">
        <v>403.22</v>
      </c>
      <c r="D255" s="1">
        <v>16.940000000000001</v>
      </c>
      <c r="F255" s="1">
        <f t="shared" si="13"/>
        <v>9.1421736158576739E-3</v>
      </c>
      <c r="G255" s="1">
        <f t="shared" si="13"/>
        <v>-1.2006272664902395E-2</v>
      </c>
      <c r="H255" s="1">
        <f t="shared" si="13"/>
        <v>2.3668639053255891E-3</v>
      </c>
      <c r="L255" s="1"/>
      <c r="M255" s="1"/>
      <c r="R255">
        <f t="shared" si="16"/>
        <v>-1.4917054311573924E-4</v>
      </c>
      <c r="S255">
        <f t="shared" si="14"/>
        <v>2.7843784118989861E-155</v>
      </c>
      <c r="T255">
        <v>253</v>
      </c>
      <c r="U255">
        <f t="shared" si="15"/>
        <v>244</v>
      </c>
    </row>
    <row r="256" spans="1:21" x14ac:dyDescent="0.25">
      <c r="A256" s="4">
        <v>45665.705555555556</v>
      </c>
      <c r="B256" s="1">
        <v>116.69</v>
      </c>
      <c r="C256" s="1">
        <v>403.79</v>
      </c>
      <c r="D256" s="1">
        <v>17.07</v>
      </c>
      <c r="F256" s="1">
        <f t="shared" si="13"/>
        <v>-1.202269071204809E-2</v>
      </c>
      <c r="G256" s="1">
        <f t="shared" si="13"/>
        <v>1.4136203561330163E-3</v>
      </c>
      <c r="H256" s="1">
        <f t="shared" si="13"/>
        <v>7.6741440377803283E-3</v>
      </c>
      <c r="L256" s="1"/>
      <c r="M256" s="1"/>
      <c r="R256">
        <f t="shared" si="16"/>
        <v>-8.8047789544042293E-4</v>
      </c>
      <c r="S256">
        <f t="shared" si="14"/>
        <v>3.8802438754672654E-153</v>
      </c>
      <c r="T256">
        <v>254</v>
      </c>
      <c r="U256">
        <f t="shared" si="15"/>
        <v>243</v>
      </c>
    </row>
    <row r="257" spans="1:21" x14ac:dyDescent="0.25">
      <c r="A257" s="4">
        <v>45666.705555555556</v>
      </c>
      <c r="B257" s="1">
        <v>116.79</v>
      </c>
      <c r="C257" s="1">
        <v>400.17</v>
      </c>
      <c r="D257" s="1">
        <v>17.02</v>
      </c>
      <c r="F257" s="1">
        <f t="shared" si="13"/>
        <v>8.569714628503533E-4</v>
      </c>
      <c r="G257" s="1">
        <f t="shared" si="13"/>
        <v>-8.9650560935139456E-3</v>
      </c>
      <c r="H257" s="1">
        <f t="shared" si="13"/>
        <v>-2.9291154071471315E-3</v>
      </c>
      <c r="L257" s="1"/>
      <c r="M257" s="1"/>
      <c r="R257">
        <f t="shared" si="16"/>
        <v>-3.3111600113432172E-3</v>
      </c>
      <c r="S257">
        <f t="shared" si="14"/>
        <v>2.1950399840036422E-151</v>
      </c>
      <c r="T257">
        <v>255</v>
      </c>
      <c r="U257">
        <f t="shared" si="15"/>
        <v>242</v>
      </c>
    </row>
    <row r="258" spans="1:21" x14ac:dyDescent="0.25">
      <c r="A258" s="4">
        <v>45667.705555555556</v>
      </c>
      <c r="B258" s="1">
        <v>115.92</v>
      </c>
      <c r="C258" s="1">
        <v>398.05</v>
      </c>
      <c r="D258" s="1">
        <v>17.239999999999998</v>
      </c>
      <c r="F258" s="1">
        <f t="shared" si="13"/>
        <v>-7.4492679167736942E-3</v>
      </c>
      <c r="G258" s="1">
        <f t="shared" si="13"/>
        <v>-5.297748456905782E-3</v>
      </c>
      <c r="H258" s="1">
        <f t="shared" si="13"/>
        <v>1.2925969447708408E-2</v>
      </c>
      <c r="L258" s="1"/>
      <c r="M258" s="1"/>
      <c r="R258">
        <f t="shared" si="16"/>
        <v>5.3685922208680011E-5</v>
      </c>
      <c r="S258">
        <f t="shared" si="14"/>
        <v>2.3081441353634164E-154</v>
      </c>
      <c r="T258">
        <v>256</v>
      </c>
      <c r="U258">
        <f t="shared" si="15"/>
        <v>241</v>
      </c>
    </row>
    <row r="259" spans="1:21" x14ac:dyDescent="0.25">
      <c r="A259" s="4">
        <v>45670.705555555556</v>
      </c>
      <c r="B259" s="1">
        <v>116.03</v>
      </c>
      <c r="C259" s="1">
        <v>397.9</v>
      </c>
      <c r="D259" s="1">
        <v>17.02</v>
      </c>
      <c r="F259" s="1">
        <f t="shared" si="13"/>
        <v>9.4893029675646723E-4</v>
      </c>
      <c r="G259" s="1">
        <f t="shared" si="13"/>
        <v>-3.768370807688548E-4</v>
      </c>
      <c r="H259" s="1">
        <f t="shared" si="13"/>
        <v>-1.2761020881670415E-2</v>
      </c>
      <c r="L259" s="1"/>
      <c r="M259" s="1"/>
      <c r="R259">
        <f t="shared" si="16"/>
        <v>-3.6566782997048413E-3</v>
      </c>
      <c r="S259">
        <f t="shared" si="14"/>
        <v>4.2832713692391428E-150</v>
      </c>
      <c r="T259">
        <v>257</v>
      </c>
      <c r="U259">
        <f t="shared" si="15"/>
        <v>240</v>
      </c>
    </row>
    <row r="260" spans="1:21" x14ac:dyDescent="0.25">
      <c r="A260" s="4">
        <v>45671.705555555556</v>
      </c>
      <c r="B260" s="1">
        <v>116.31</v>
      </c>
      <c r="C260" s="1">
        <v>395.61</v>
      </c>
      <c r="D260" s="1">
        <v>16.989999999999998</v>
      </c>
      <c r="F260" s="1">
        <f t="shared" ref="F260:H323" si="17">(B260/B259)-1</f>
        <v>2.4131690080151369E-3</v>
      </c>
      <c r="G260" s="1">
        <f t="shared" si="17"/>
        <v>-5.7552148781100376E-3</v>
      </c>
      <c r="H260" s="1">
        <f t="shared" si="17"/>
        <v>-1.762632197414904E-3</v>
      </c>
      <c r="L260" s="1"/>
      <c r="M260" s="1"/>
      <c r="R260">
        <f t="shared" si="16"/>
        <v>-1.5314034202529414E-3</v>
      </c>
      <c r="S260">
        <f t="shared" ref="S260:S323" si="18">(R260^2)*((1-$P$2)^U260)</f>
        <v>3.004978008654822E-150</v>
      </c>
      <c r="T260">
        <v>258</v>
      </c>
      <c r="U260">
        <f t="shared" ref="U260:U323" si="19">497-T260</f>
        <v>239</v>
      </c>
    </row>
    <row r="261" spans="1:21" x14ac:dyDescent="0.25">
      <c r="A261" s="4">
        <v>45672.705555555556</v>
      </c>
      <c r="B261" s="1">
        <v>119.5</v>
      </c>
      <c r="C261" s="1">
        <v>399.87</v>
      </c>
      <c r="D261" s="1">
        <v>17</v>
      </c>
      <c r="F261" s="1">
        <f t="shared" si="17"/>
        <v>2.7426704496603893E-2</v>
      </c>
      <c r="G261" s="1">
        <f t="shared" si="17"/>
        <v>1.0768180784105574E-2</v>
      </c>
      <c r="H261" s="1">
        <f t="shared" si="17"/>
        <v>5.8858151854046525E-4</v>
      </c>
      <c r="L261" s="1"/>
      <c r="M261" s="1"/>
      <c r="R261">
        <f t="shared" ref="R261:R324" si="20">$L$2*F261+G261*$L$3+H261*$L$4</f>
        <v>1.1635040039774978E-2</v>
      </c>
      <c r="S261">
        <f t="shared" si="18"/>
        <v>6.9383759541280912E-148</v>
      </c>
      <c r="T261">
        <v>259</v>
      </c>
      <c r="U261">
        <f t="shared" si="19"/>
        <v>238</v>
      </c>
    </row>
    <row r="262" spans="1:21" x14ac:dyDescent="0.25">
      <c r="A262" s="4">
        <v>45673.705555555556</v>
      </c>
      <c r="B262" s="1">
        <v>118.25</v>
      </c>
      <c r="C262" s="1">
        <v>402.13</v>
      </c>
      <c r="D262" s="1">
        <v>17.22</v>
      </c>
      <c r="F262" s="1">
        <f t="shared" si="17"/>
        <v>-1.0460251046025104E-2</v>
      </c>
      <c r="G262" s="1">
        <f t="shared" si="17"/>
        <v>5.6518368469753444E-3</v>
      </c>
      <c r="H262" s="1">
        <f t="shared" si="17"/>
        <v>1.2941176470588234E-2</v>
      </c>
      <c r="L262" s="1"/>
      <c r="M262" s="1"/>
      <c r="R262">
        <f t="shared" si="20"/>
        <v>2.4398286814615428E-3</v>
      </c>
      <c r="S262">
        <f t="shared" si="18"/>
        <v>1.2203958439699064E-148</v>
      </c>
      <c r="T262">
        <v>260</v>
      </c>
      <c r="U262">
        <f t="shared" si="19"/>
        <v>237</v>
      </c>
    </row>
    <row r="263" spans="1:21" x14ac:dyDescent="0.25">
      <c r="A263" s="4">
        <v>45674.705555555556</v>
      </c>
      <c r="B263" s="1">
        <v>119.27</v>
      </c>
      <c r="C263" s="1">
        <v>407</v>
      </c>
      <c r="D263" s="1">
        <v>17.2</v>
      </c>
      <c r="F263" s="1">
        <f t="shared" si="17"/>
        <v>8.6257928118393945E-3</v>
      </c>
      <c r="G263" s="1">
        <f t="shared" si="17"/>
        <v>1.2110511526123302E-2</v>
      </c>
      <c r="H263" s="1">
        <f t="shared" si="17"/>
        <v>-1.1614401858304202E-3</v>
      </c>
      <c r="L263" s="1"/>
      <c r="M263" s="1"/>
      <c r="R263">
        <f t="shared" si="20"/>
        <v>5.8724592456396831E-3</v>
      </c>
      <c r="S263">
        <f t="shared" si="18"/>
        <v>2.8280173502703514E-147</v>
      </c>
      <c r="T263">
        <v>261</v>
      </c>
      <c r="U263">
        <f t="shared" si="19"/>
        <v>236</v>
      </c>
    </row>
    <row r="264" spans="1:21" x14ac:dyDescent="0.25">
      <c r="A264" s="4">
        <v>45677.705555555556</v>
      </c>
      <c r="B264" s="1">
        <v>119.78</v>
      </c>
      <c r="C264" s="1">
        <v>406.33</v>
      </c>
      <c r="D264" s="1">
        <v>17.2</v>
      </c>
      <c r="F264" s="1">
        <f t="shared" si="17"/>
        <v>4.2760124088203622E-3</v>
      </c>
      <c r="G264" s="1">
        <f t="shared" si="17"/>
        <v>-1.6461916461917303E-3</v>
      </c>
      <c r="H264" s="1">
        <f t="shared" si="17"/>
        <v>0</v>
      </c>
      <c r="L264" s="1"/>
      <c r="M264" s="1"/>
      <c r="R264">
        <f t="shared" si="20"/>
        <v>7.8894622878858953E-4</v>
      </c>
      <c r="S264">
        <f t="shared" si="18"/>
        <v>2.0417231218103532E-148</v>
      </c>
      <c r="T264">
        <v>262</v>
      </c>
      <c r="U264">
        <f t="shared" si="19"/>
        <v>235</v>
      </c>
    </row>
    <row r="265" spans="1:21" x14ac:dyDescent="0.25">
      <c r="A265" s="4">
        <v>45678.705555555556</v>
      </c>
      <c r="B265" s="1">
        <v>120.26</v>
      </c>
      <c r="C265" s="1">
        <v>407.79</v>
      </c>
      <c r="D265" s="1">
        <v>17.32</v>
      </c>
      <c r="F265" s="1">
        <f t="shared" si="17"/>
        <v>4.0073468024712788E-3</v>
      </c>
      <c r="G265" s="1">
        <f t="shared" si="17"/>
        <v>3.5931385819407691E-3</v>
      </c>
      <c r="H265" s="1">
        <f t="shared" si="17"/>
        <v>6.9767441860466572E-3</v>
      </c>
      <c r="L265" s="1"/>
      <c r="M265" s="1"/>
      <c r="R265">
        <f t="shared" si="20"/>
        <v>4.3731688711376119E-3</v>
      </c>
      <c r="S265">
        <f t="shared" si="18"/>
        <v>2.5093112021359179E-146</v>
      </c>
      <c r="T265">
        <v>263</v>
      </c>
      <c r="U265">
        <f t="shared" si="19"/>
        <v>234</v>
      </c>
    </row>
    <row r="266" spans="1:21" x14ac:dyDescent="0.25">
      <c r="A266" s="4">
        <v>45679.705555555556</v>
      </c>
      <c r="B266" s="1">
        <v>119.92</v>
      </c>
      <c r="C266" s="1">
        <v>404.18</v>
      </c>
      <c r="D266" s="1">
        <v>17.170000000000002</v>
      </c>
      <c r="F266" s="1">
        <f t="shared" si="17"/>
        <v>-2.8272077166140441E-3</v>
      </c>
      <c r="G266" s="1">
        <f t="shared" si="17"/>
        <v>-8.8525956987665078E-3</v>
      </c>
      <c r="H266" s="1">
        <f t="shared" si="17"/>
        <v>-8.6605080831407832E-3</v>
      </c>
      <c r="L266" s="1"/>
      <c r="M266" s="1"/>
      <c r="R266">
        <f t="shared" si="20"/>
        <v>-6.1020934495564002E-3</v>
      </c>
      <c r="S266">
        <f t="shared" si="18"/>
        <v>1.9542482384993085E-145</v>
      </c>
      <c r="T266">
        <v>264</v>
      </c>
      <c r="U266">
        <f t="shared" si="19"/>
        <v>233</v>
      </c>
    </row>
    <row r="267" spans="1:21" x14ac:dyDescent="0.25">
      <c r="A267" s="4">
        <v>45680.705555555556</v>
      </c>
      <c r="B267" s="1">
        <v>119.45</v>
      </c>
      <c r="C267" s="1">
        <v>405.16</v>
      </c>
      <c r="D267" s="1">
        <v>17.079999999999998</v>
      </c>
      <c r="F267" s="1">
        <f t="shared" si="17"/>
        <v>-3.9192795196797414E-3</v>
      </c>
      <c r="G267" s="1">
        <f t="shared" si="17"/>
        <v>2.4246622791825878E-3</v>
      </c>
      <c r="H267" s="1">
        <f t="shared" si="17"/>
        <v>-5.2417006406525468E-3</v>
      </c>
      <c r="L267" s="1"/>
      <c r="M267" s="1"/>
      <c r="R267">
        <f t="shared" si="20"/>
        <v>-2.0208953643449101E-3</v>
      </c>
      <c r="S267">
        <f t="shared" si="18"/>
        <v>8.5737273249113015E-146</v>
      </c>
      <c r="T267">
        <v>265</v>
      </c>
      <c r="U267">
        <f t="shared" si="19"/>
        <v>232</v>
      </c>
    </row>
    <row r="268" spans="1:21" x14ac:dyDescent="0.25">
      <c r="A268" s="4">
        <v>45681.705555555556</v>
      </c>
      <c r="B268" s="1">
        <v>119.41</v>
      </c>
      <c r="C268" s="1">
        <v>403.41</v>
      </c>
      <c r="D268" s="1">
        <v>17.190000000000001</v>
      </c>
      <c r="F268" s="1">
        <f t="shared" si="17"/>
        <v>-3.3486814566774381E-4</v>
      </c>
      <c r="G268" s="1">
        <f t="shared" si="17"/>
        <v>-4.3192812715964202E-3</v>
      </c>
      <c r="H268" s="1">
        <f t="shared" si="17"/>
        <v>6.4402810304451386E-3</v>
      </c>
      <c r="L268" s="1"/>
      <c r="M268" s="1"/>
      <c r="R268">
        <f t="shared" si="20"/>
        <v>5.3583948395429263E-4</v>
      </c>
      <c r="S268">
        <f t="shared" si="18"/>
        <v>2.4110789260532834E-146</v>
      </c>
      <c r="T268">
        <v>266</v>
      </c>
      <c r="U268">
        <f t="shared" si="19"/>
        <v>231</v>
      </c>
    </row>
    <row r="269" spans="1:21" x14ac:dyDescent="0.25">
      <c r="A269" s="4">
        <v>45684.705555555556</v>
      </c>
      <c r="B269" s="1">
        <v>121.71</v>
      </c>
      <c r="C269" s="1">
        <v>396.75</v>
      </c>
      <c r="D269" s="1">
        <v>16.97</v>
      </c>
      <c r="F269" s="1">
        <f t="shared" si="17"/>
        <v>1.9261368394606793E-2</v>
      </c>
      <c r="G269" s="1">
        <f t="shared" si="17"/>
        <v>-1.650925857068497E-2</v>
      </c>
      <c r="H269" s="1">
        <f t="shared" si="17"/>
        <v>-1.2798138452588814E-2</v>
      </c>
      <c r="L269" s="1"/>
      <c r="M269" s="1"/>
      <c r="R269">
        <f t="shared" si="20"/>
        <v>-3.0138085886000985E-3</v>
      </c>
      <c r="S269">
        <f t="shared" si="18"/>
        <v>3.0509376118990798E-144</v>
      </c>
      <c r="T269">
        <v>267</v>
      </c>
      <c r="U269">
        <f t="shared" si="19"/>
        <v>230</v>
      </c>
    </row>
    <row r="270" spans="1:21" x14ac:dyDescent="0.25">
      <c r="A270" s="4">
        <v>45685.705555555556</v>
      </c>
      <c r="B270" s="1">
        <v>121</v>
      </c>
      <c r="C270" s="1">
        <v>397.95</v>
      </c>
      <c r="D270" s="1">
        <v>17</v>
      </c>
      <c r="F270" s="1">
        <f t="shared" si="17"/>
        <v>-5.8335387396268867E-3</v>
      </c>
      <c r="G270" s="1">
        <f t="shared" si="17"/>
        <v>3.0245746691870412E-3</v>
      </c>
      <c r="H270" s="1">
        <f t="shared" si="17"/>
        <v>1.767825574543469E-3</v>
      </c>
      <c r="L270" s="1"/>
      <c r="M270" s="1"/>
      <c r="R270">
        <f t="shared" si="20"/>
        <v>-3.1234154876891285E-4</v>
      </c>
      <c r="S270">
        <f t="shared" si="18"/>
        <v>1.310754944913423E-145</v>
      </c>
      <c r="T270">
        <v>268</v>
      </c>
      <c r="U270">
        <f t="shared" si="19"/>
        <v>229</v>
      </c>
    </row>
    <row r="271" spans="1:21" x14ac:dyDescent="0.25">
      <c r="A271" s="4">
        <v>45686.705555555556</v>
      </c>
      <c r="B271" s="1">
        <v>120.38</v>
      </c>
      <c r="C271" s="1">
        <v>394.1</v>
      </c>
      <c r="D271" s="1">
        <v>16.93</v>
      </c>
      <c r="F271" s="1">
        <f t="shared" si="17"/>
        <v>-5.1239669421487832E-3</v>
      </c>
      <c r="G271" s="1">
        <f t="shared" si="17"/>
        <v>-9.6745822339489029E-3</v>
      </c>
      <c r="H271" s="1">
        <f t="shared" si="17"/>
        <v>-4.1176470588235592E-3</v>
      </c>
      <c r="L271" s="1"/>
      <c r="M271" s="1"/>
      <c r="R271">
        <f t="shared" si="20"/>
        <v>-5.6748588704763738E-3</v>
      </c>
      <c r="S271">
        <f t="shared" si="18"/>
        <v>1.7307411041730917E-142</v>
      </c>
      <c r="T271">
        <v>269</v>
      </c>
      <c r="U271">
        <f t="shared" si="19"/>
        <v>228</v>
      </c>
    </row>
    <row r="272" spans="1:21" x14ac:dyDescent="0.25">
      <c r="A272" s="4">
        <v>45687.705555555556</v>
      </c>
      <c r="B272" s="1">
        <v>123.7</v>
      </c>
      <c r="C272" s="1">
        <v>398.41</v>
      </c>
      <c r="D272" s="1">
        <v>17.22</v>
      </c>
      <c r="F272" s="1">
        <f t="shared" si="17"/>
        <v>2.7579332114969324E-2</v>
      </c>
      <c r="G272" s="1">
        <f t="shared" si="17"/>
        <v>1.0936310581070696E-2</v>
      </c>
      <c r="H272" s="1">
        <f t="shared" si="17"/>
        <v>1.7129356172474797E-2</v>
      </c>
      <c r="L272" s="1"/>
      <c r="M272" s="1"/>
      <c r="R272">
        <f t="shared" si="20"/>
        <v>1.6693499660554445E-2</v>
      </c>
      <c r="S272">
        <f t="shared" si="18"/>
        <v>5.9906887181841508E-141</v>
      </c>
      <c r="T272">
        <v>270</v>
      </c>
      <c r="U272">
        <f t="shared" si="19"/>
        <v>227</v>
      </c>
    </row>
    <row r="273" spans="1:21" x14ac:dyDescent="0.25">
      <c r="A273" s="4">
        <v>45688.705555555556</v>
      </c>
      <c r="B273" s="1">
        <v>123.02</v>
      </c>
      <c r="C273" s="1">
        <v>394.15</v>
      </c>
      <c r="D273" s="1">
        <v>17.16</v>
      </c>
      <c r="F273" s="1">
        <f t="shared" si="17"/>
        <v>-5.4971705739693677E-3</v>
      </c>
      <c r="G273" s="1">
        <f t="shared" si="17"/>
        <v>-1.0692502698225526E-2</v>
      </c>
      <c r="H273" s="1">
        <f t="shared" si="17"/>
        <v>-3.4843205574912606E-3</v>
      </c>
      <c r="L273" s="1"/>
      <c r="M273" s="1"/>
      <c r="R273">
        <f t="shared" si="20"/>
        <v>-5.902198148905846E-3</v>
      </c>
      <c r="S273">
        <f t="shared" si="18"/>
        <v>2.9955014283522598E-141</v>
      </c>
      <c r="T273">
        <v>271</v>
      </c>
      <c r="U273">
        <f t="shared" si="19"/>
        <v>226</v>
      </c>
    </row>
    <row r="274" spans="1:21" x14ac:dyDescent="0.25">
      <c r="A274" s="4">
        <v>45691.705555555556</v>
      </c>
      <c r="B274" s="1">
        <v>122.85</v>
      </c>
      <c r="C274" s="1">
        <v>389.88</v>
      </c>
      <c r="D274" s="1">
        <v>17.16</v>
      </c>
      <c r="F274" s="1">
        <f t="shared" si="17"/>
        <v>-1.3818891237197262E-3</v>
      </c>
      <c r="G274" s="1">
        <f t="shared" si="17"/>
        <v>-1.0833439046048388E-2</v>
      </c>
      <c r="H274" s="1">
        <f t="shared" si="17"/>
        <v>0</v>
      </c>
      <c r="L274" s="1"/>
      <c r="M274" s="1"/>
      <c r="R274">
        <f t="shared" si="20"/>
        <v>-3.6645984509304339E-3</v>
      </c>
      <c r="S274">
        <f t="shared" si="18"/>
        <v>4.6190720711724273E-141</v>
      </c>
      <c r="T274">
        <v>272</v>
      </c>
      <c r="U274">
        <f t="shared" si="19"/>
        <v>225</v>
      </c>
    </row>
    <row r="275" spans="1:21" x14ac:dyDescent="0.25">
      <c r="A275" s="4">
        <v>45692.705555555556</v>
      </c>
      <c r="B275" s="1">
        <v>122.06</v>
      </c>
      <c r="C275" s="1">
        <v>388.03</v>
      </c>
      <c r="D275" s="1">
        <v>17.170000000000002</v>
      </c>
      <c r="F275" s="1">
        <f t="shared" si="17"/>
        <v>-6.4306064306063337E-3</v>
      </c>
      <c r="G275" s="1">
        <f t="shared" si="17"/>
        <v>-4.7450497589002216E-3</v>
      </c>
      <c r="H275" s="1">
        <f t="shared" si="17"/>
        <v>5.827505827507018E-4</v>
      </c>
      <c r="L275" s="1"/>
      <c r="M275" s="1"/>
      <c r="R275">
        <f t="shared" si="20"/>
        <v>-3.1778716820267559E-3</v>
      </c>
      <c r="S275">
        <f t="shared" si="18"/>
        <v>1.389423552964183E-140</v>
      </c>
      <c r="T275">
        <v>273</v>
      </c>
      <c r="U275">
        <f t="shared" si="19"/>
        <v>224</v>
      </c>
    </row>
    <row r="276" spans="1:21" x14ac:dyDescent="0.25">
      <c r="A276" s="4">
        <v>45693.705555555556</v>
      </c>
      <c r="B276" s="1">
        <v>122.42</v>
      </c>
      <c r="C276" s="1">
        <v>392.9</v>
      </c>
      <c r="D276" s="1">
        <v>17.41</v>
      </c>
      <c r="F276" s="1">
        <f t="shared" si="17"/>
        <v>2.9493691627069385E-3</v>
      </c>
      <c r="G276" s="1">
        <f t="shared" si="17"/>
        <v>1.2550575986392865E-2</v>
      </c>
      <c r="H276" s="1">
        <f t="shared" si="17"/>
        <v>1.3977868375072644E-2</v>
      </c>
      <c r="L276" s="1"/>
      <c r="M276" s="1"/>
      <c r="R276">
        <f t="shared" si="20"/>
        <v>8.8433440572517341E-3</v>
      </c>
      <c r="S276">
        <f t="shared" si="18"/>
        <v>4.3038287037179665E-139</v>
      </c>
      <c r="T276">
        <v>274</v>
      </c>
      <c r="U276">
        <f t="shared" si="19"/>
        <v>223</v>
      </c>
    </row>
    <row r="277" spans="1:21" x14ac:dyDescent="0.25">
      <c r="A277" s="4">
        <v>45694.705555555556</v>
      </c>
      <c r="B277" s="1">
        <v>123.09</v>
      </c>
      <c r="C277" s="1">
        <v>392.25</v>
      </c>
      <c r="D277" s="1">
        <v>17.25</v>
      </c>
      <c r="F277" s="1">
        <f t="shared" si="17"/>
        <v>5.4729619343245606E-3</v>
      </c>
      <c r="G277" s="1">
        <f t="shared" si="17"/>
        <v>-1.6543649783659076E-3</v>
      </c>
      <c r="H277" s="1">
        <f t="shared" si="17"/>
        <v>-9.1901206203331975E-3</v>
      </c>
      <c r="L277" s="1"/>
      <c r="M277" s="1"/>
      <c r="R277">
        <f t="shared" si="20"/>
        <v>-1.6114570993123638E-3</v>
      </c>
      <c r="S277">
        <f t="shared" si="18"/>
        <v>5.7163580224833393E-140</v>
      </c>
      <c r="T277">
        <v>275</v>
      </c>
      <c r="U277">
        <f t="shared" si="19"/>
        <v>222</v>
      </c>
    </row>
    <row r="278" spans="1:21" x14ac:dyDescent="0.25">
      <c r="A278" s="4">
        <v>45695.705555555556</v>
      </c>
      <c r="B278" s="1">
        <v>121.57</v>
      </c>
      <c r="C278" s="1">
        <v>391.4</v>
      </c>
      <c r="D278" s="1">
        <v>17.420000000000002</v>
      </c>
      <c r="F278" s="1">
        <f t="shared" si="17"/>
        <v>-1.2348687951905246E-2</v>
      </c>
      <c r="G278" s="1">
        <f t="shared" si="17"/>
        <v>-2.1669853409815865E-3</v>
      </c>
      <c r="H278" s="1">
        <f t="shared" si="17"/>
        <v>9.8550724637682663E-3</v>
      </c>
      <c r="L278" s="1"/>
      <c r="M278" s="1"/>
      <c r="R278">
        <f t="shared" si="20"/>
        <v>-1.3981802487355696E-3</v>
      </c>
      <c r="S278">
        <f t="shared" si="18"/>
        <v>1.7213462674312385E-139</v>
      </c>
      <c r="T278">
        <v>276</v>
      </c>
      <c r="U278">
        <f t="shared" si="19"/>
        <v>221</v>
      </c>
    </row>
    <row r="279" spans="1:21" x14ac:dyDescent="0.25">
      <c r="A279" s="4">
        <v>45698.705555555556</v>
      </c>
      <c r="B279" s="1">
        <v>122.45</v>
      </c>
      <c r="C279" s="1">
        <v>392.25</v>
      </c>
      <c r="D279" s="1">
        <v>17.62</v>
      </c>
      <c r="F279" s="1">
        <f t="shared" si="17"/>
        <v>7.2386279509748519E-3</v>
      </c>
      <c r="G279" s="1">
        <f t="shared" si="17"/>
        <v>2.1716913643332614E-3</v>
      </c>
      <c r="H279" s="1">
        <f t="shared" si="17"/>
        <v>1.1481056257175659E-2</v>
      </c>
      <c r="L279" s="1"/>
      <c r="M279" s="1"/>
      <c r="R279">
        <f t="shared" si="20"/>
        <v>6.2674126717451317E-3</v>
      </c>
      <c r="S279">
        <f t="shared" si="18"/>
        <v>1.3834978562570169E-137</v>
      </c>
      <c r="T279">
        <v>277</v>
      </c>
      <c r="U279">
        <f t="shared" si="19"/>
        <v>220</v>
      </c>
    </row>
    <row r="280" spans="1:21" x14ac:dyDescent="0.25">
      <c r="A280" s="4">
        <v>45699.705555555556</v>
      </c>
      <c r="B280" s="1">
        <v>123.38</v>
      </c>
      <c r="C280" s="1">
        <v>391.65</v>
      </c>
      <c r="D280" s="1">
        <v>17.510000000000002</v>
      </c>
      <c r="F280" s="1">
        <f t="shared" si="17"/>
        <v>7.5949367088608E-3</v>
      </c>
      <c r="G280" s="1">
        <f t="shared" si="17"/>
        <v>-1.529636711281146E-3</v>
      </c>
      <c r="H280" s="1">
        <f t="shared" si="17"/>
        <v>-6.2429057888762074E-3</v>
      </c>
      <c r="L280" s="1"/>
      <c r="M280" s="1"/>
      <c r="R280">
        <f t="shared" si="20"/>
        <v>-5.3281737388966369E-5</v>
      </c>
      <c r="S280">
        <f t="shared" si="18"/>
        <v>3.9996192923603011E-141</v>
      </c>
      <c r="T280">
        <v>278</v>
      </c>
      <c r="U280">
        <f t="shared" si="19"/>
        <v>219</v>
      </c>
    </row>
    <row r="281" spans="1:21" x14ac:dyDescent="0.25">
      <c r="A281" s="4">
        <v>45700.705555555556</v>
      </c>
      <c r="B281" s="1">
        <v>121.35</v>
      </c>
      <c r="C281" s="1">
        <v>389.5</v>
      </c>
      <c r="D281" s="1">
        <v>17.510000000000002</v>
      </c>
      <c r="F281" s="1">
        <f t="shared" si="17"/>
        <v>-1.6453233911493004E-2</v>
      </c>
      <c r="G281" s="1">
        <f t="shared" si="17"/>
        <v>-5.4895953019277188E-3</v>
      </c>
      <c r="H281" s="1">
        <f t="shared" si="17"/>
        <v>0</v>
      </c>
      <c r="L281" s="1"/>
      <c r="M281" s="1"/>
      <c r="R281">
        <f t="shared" si="20"/>
        <v>-6.5828487640262161E-3</v>
      </c>
      <c r="S281">
        <f t="shared" si="18"/>
        <v>2.4420224137862808E-136</v>
      </c>
      <c r="T281">
        <v>279</v>
      </c>
      <c r="U281">
        <f t="shared" si="19"/>
        <v>218</v>
      </c>
    </row>
    <row r="282" spans="1:21" x14ac:dyDescent="0.25">
      <c r="A282" s="4">
        <v>45701.705555555556</v>
      </c>
      <c r="B282" s="1">
        <v>121.76</v>
      </c>
      <c r="C282" s="1">
        <v>393.9</v>
      </c>
      <c r="D282" s="1">
        <v>17.690000000000001</v>
      </c>
      <c r="F282" s="1">
        <f t="shared" si="17"/>
        <v>3.3786567779152676E-3</v>
      </c>
      <c r="G282" s="1">
        <f t="shared" si="17"/>
        <v>1.1296534017971593E-2</v>
      </c>
      <c r="H282" s="1">
        <f t="shared" si="17"/>
        <v>1.0279840091376391E-2</v>
      </c>
      <c r="L282" s="1"/>
      <c r="M282" s="1"/>
      <c r="R282">
        <f t="shared" si="20"/>
        <v>7.486509266178977E-3</v>
      </c>
      <c r="S282">
        <f t="shared" si="18"/>
        <v>1.2633992499951359E-135</v>
      </c>
      <c r="T282">
        <v>280</v>
      </c>
      <c r="U282">
        <f t="shared" si="19"/>
        <v>217</v>
      </c>
    </row>
    <row r="283" spans="1:21" x14ac:dyDescent="0.25">
      <c r="A283" s="4">
        <v>45702.705555555556</v>
      </c>
      <c r="B283" s="1">
        <v>125</v>
      </c>
      <c r="C283" s="1">
        <v>388.62</v>
      </c>
      <c r="D283" s="1">
        <v>17.23</v>
      </c>
      <c r="F283" s="1">
        <f t="shared" si="17"/>
        <v>2.6609724047306216E-2</v>
      </c>
      <c r="G283" s="1">
        <f t="shared" si="17"/>
        <v>-1.3404417364813348E-2</v>
      </c>
      <c r="H283" s="1">
        <f t="shared" si="17"/>
        <v>-2.6003391746749593E-2</v>
      </c>
      <c r="L283" s="1"/>
      <c r="M283" s="1"/>
      <c r="R283">
        <f t="shared" si="20"/>
        <v>-3.8394255192770186E-3</v>
      </c>
      <c r="S283">
        <f t="shared" si="18"/>
        <v>1.3291511381010247E-135</v>
      </c>
      <c r="T283">
        <v>281</v>
      </c>
      <c r="U283">
        <f t="shared" si="19"/>
        <v>216</v>
      </c>
    </row>
    <row r="284" spans="1:21" x14ac:dyDescent="0.25">
      <c r="A284" s="4">
        <v>45705.705555555556</v>
      </c>
      <c r="B284" s="1">
        <v>125.38</v>
      </c>
      <c r="C284" s="1">
        <v>391.15</v>
      </c>
      <c r="D284" s="1">
        <v>17.399999999999999</v>
      </c>
      <c r="F284" s="1">
        <f t="shared" si="17"/>
        <v>3.0399999999999316E-3</v>
      </c>
      <c r="G284" s="1">
        <f t="shared" si="17"/>
        <v>6.5102156348102458E-3</v>
      </c>
      <c r="H284" s="1">
        <f t="shared" si="17"/>
        <v>9.8665118978524813E-3</v>
      </c>
      <c r="L284" s="1"/>
      <c r="M284" s="1"/>
      <c r="R284">
        <f t="shared" si="20"/>
        <v>5.8250182597987983E-3</v>
      </c>
      <c r="S284">
        <f t="shared" si="18"/>
        <v>1.2237605438158239E-134</v>
      </c>
      <c r="T284">
        <v>282</v>
      </c>
      <c r="U284">
        <f t="shared" si="19"/>
        <v>215</v>
      </c>
    </row>
    <row r="285" spans="1:21" x14ac:dyDescent="0.25">
      <c r="A285" s="4">
        <v>45706.705555555556</v>
      </c>
      <c r="B285" s="1">
        <v>125.37</v>
      </c>
      <c r="C285" s="1">
        <v>389.39</v>
      </c>
      <c r="D285" s="1">
        <v>17.48</v>
      </c>
      <c r="F285" s="1">
        <f t="shared" si="17"/>
        <v>-7.9757537087221664E-5</v>
      </c>
      <c r="G285" s="1">
        <f t="shared" si="17"/>
        <v>-4.4995526013038578E-3</v>
      </c>
      <c r="H285" s="1">
        <f t="shared" si="17"/>
        <v>4.5977011494253706E-3</v>
      </c>
      <c r="L285" s="1"/>
      <c r="M285" s="1"/>
      <c r="R285">
        <f t="shared" si="20"/>
        <v>5.5173033102877151E-6</v>
      </c>
      <c r="S285">
        <f t="shared" si="18"/>
        <v>4.3915271815114914E-140</v>
      </c>
      <c r="T285">
        <v>283</v>
      </c>
      <c r="U285">
        <f t="shared" si="19"/>
        <v>214</v>
      </c>
    </row>
    <row r="286" spans="1:21" x14ac:dyDescent="0.25">
      <c r="A286" s="4">
        <v>45707.705555555556</v>
      </c>
      <c r="B286" s="1">
        <v>124.21</v>
      </c>
      <c r="C286" s="1">
        <v>392.7</v>
      </c>
      <c r="D286" s="1">
        <v>17.61</v>
      </c>
      <c r="F286" s="1">
        <f t="shared" si="17"/>
        <v>-9.2526122676876987E-3</v>
      </c>
      <c r="G286" s="1">
        <f t="shared" si="17"/>
        <v>8.5004751020827385E-3</v>
      </c>
      <c r="H286" s="1">
        <f t="shared" si="17"/>
        <v>7.4370709382149958E-3</v>
      </c>
      <c r="L286" s="1"/>
      <c r="M286" s="1"/>
      <c r="R286">
        <f t="shared" si="20"/>
        <v>2.0054801317830112E-3</v>
      </c>
      <c r="S286">
        <f t="shared" si="18"/>
        <v>2.3209114695512828E-134</v>
      </c>
      <c r="T286">
        <v>284</v>
      </c>
      <c r="U286">
        <f t="shared" si="19"/>
        <v>213</v>
      </c>
    </row>
    <row r="287" spans="1:21" x14ac:dyDescent="0.25">
      <c r="A287" s="4">
        <v>45708.705555555556</v>
      </c>
      <c r="B287" s="1">
        <v>124.47</v>
      </c>
      <c r="C287" s="1">
        <v>390.41</v>
      </c>
      <c r="D287" s="1">
        <v>17.55</v>
      </c>
      <c r="F287" s="1">
        <f t="shared" si="17"/>
        <v>2.0932292085984461E-3</v>
      </c>
      <c r="G287" s="1">
        <f t="shared" si="17"/>
        <v>-5.8314234784822006E-3</v>
      </c>
      <c r="H287" s="1">
        <f t="shared" si="17"/>
        <v>-3.4071550255535543E-3</v>
      </c>
      <c r="L287" s="1"/>
      <c r="M287" s="1"/>
      <c r="R287">
        <f t="shared" si="20"/>
        <v>-2.1436047886311928E-3</v>
      </c>
      <c r="S287">
        <f t="shared" si="18"/>
        <v>1.0606479955888715E-133</v>
      </c>
      <c r="T287">
        <v>285</v>
      </c>
      <c r="U287">
        <f t="shared" si="19"/>
        <v>212</v>
      </c>
    </row>
    <row r="288" spans="1:21" x14ac:dyDescent="0.25">
      <c r="A288" s="4">
        <v>45709.705555555556</v>
      </c>
      <c r="B288" s="1">
        <v>124.02</v>
      </c>
      <c r="C288" s="1">
        <v>385.35</v>
      </c>
      <c r="D288" s="1">
        <v>17.63</v>
      </c>
      <c r="F288" s="1">
        <f t="shared" si="17"/>
        <v>-3.6153289949385492E-3</v>
      </c>
      <c r="G288" s="1">
        <f t="shared" si="17"/>
        <v>-1.2960733587766726E-2</v>
      </c>
      <c r="H288" s="1">
        <f t="shared" si="17"/>
        <v>4.5584045584043942E-3</v>
      </c>
      <c r="L288" s="1"/>
      <c r="M288" s="1"/>
      <c r="R288">
        <f t="shared" si="20"/>
        <v>-3.6052974072902639E-3</v>
      </c>
      <c r="S288">
        <f t="shared" si="18"/>
        <v>1.2001182009452028E-132</v>
      </c>
      <c r="T288">
        <v>286</v>
      </c>
      <c r="U288">
        <f t="shared" si="19"/>
        <v>211</v>
      </c>
    </row>
    <row r="289" spans="1:21" x14ac:dyDescent="0.25">
      <c r="A289" s="4">
        <v>45712.705555555556</v>
      </c>
      <c r="B289" s="1">
        <v>122.36</v>
      </c>
      <c r="C289" s="1">
        <v>387.25</v>
      </c>
      <c r="D289" s="1">
        <v>17.850000000000001</v>
      </c>
      <c r="F289" s="1">
        <f t="shared" si="17"/>
        <v>-1.3384937913239803E-2</v>
      </c>
      <c r="G289" s="1">
        <f t="shared" si="17"/>
        <v>4.9305825872583142E-3</v>
      </c>
      <c r="H289" s="1">
        <f t="shared" si="17"/>
        <v>1.2478729438457403E-2</v>
      </c>
      <c r="L289" s="1"/>
      <c r="M289" s="1"/>
      <c r="R289">
        <f t="shared" si="20"/>
        <v>1.2073122337427755E-3</v>
      </c>
      <c r="S289">
        <f t="shared" si="18"/>
        <v>5.3832063041037167E-133</v>
      </c>
      <c r="T289">
        <v>287</v>
      </c>
      <c r="U289">
        <f t="shared" si="19"/>
        <v>210</v>
      </c>
    </row>
    <row r="290" spans="1:21" x14ac:dyDescent="0.25">
      <c r="A290" s="4">
        <v>45713.705555555556</v>
      </c>
      <c r="B290" s="1">
        <v>122.88</v>
      </c>
      <c r="C290" s="1">
        <v>383</v>
      </c>
      <c r="D290" s="1">
        <v>17.559999999999999</v>
      </c>
      <c r="F290" s="1">
        <f t="shared" si="17"/>
        <v>4.2497548218372039E-3</v>
      </c>
      <c r="G290" s="1">
        <f t="shared" si="17"/>
        <v>-1.0974822466107148E-2</v>
      </c>
      <c r="H290" s="1">
        <f t="shared" si="17"/>
        <v>-1.624649859943994E-2</v>
      </c>
      <c r="L290" s="1"/>
      <c r="M290" s="1"/>
      <c r="R290">
        <f t="shared" si="20"/>
        <v>-6.8914698731129664E-3</v>
      </c>
      <c r="S290">
        <f t="shared" si="18"/>
        <v>7.0159346688041728E-131</v>
      </c>
      <c r="T290">
        <v>288</v>
      </c>
      <c r="U290">
        <f t="shared" si="19"/>
        <v>209</v>
      </c>
    </row>
    <row r="291" spans="1:21" x14ac:dyDescent="0.25">
      <c r="A291" s="4">
        <v>45714.705555555556</v>
      </c>
      <c r="B291" s="1">
        <v>121.74</v>
      </c>
      <c r="C291" s="1">
        <v>386.88</v>
      </c>
      <c r="D291" s="1">
        <v>17.760000000000002</v>
      </c>
      <c r="F291" s="1">
        <f t="shared" si="17"/>
        <v>-9.27734375E-3</v>
      </c>
      <c r="G291" s="1">
        <f t="shared" si="17"/>
        <v>1.0130548302871967E-2</v>
      </c>
      <c r="H291" s="1">
        <f t="shared" si="17"/>
        <v>1.1389521640091216E-2</v>
      </c>
      <c r="L291" s="1"/>
      <c r="M291" s="1"/>
      <c r="R291">
        <f t="shared" si="20"/>
        <v>3.6728178578889553E-3</v>
      </c>
      <c r="S291">
        <f t="shared" si="18"/>
        <v>7.9711427471834103E-131</v>
      </c>
      <c r="T291">
        <v>289</v>
      </c>
      <c r="U291">
        <f t="shared" si="19"/>
        <v>208</v>
      </c>
    </row>
    <row r="292" spans="1:21" x14ac:dyDescent="0.25">
      <c r="A292" s="4">
        <v>45715.705555555556</v>
      </c>
      <c r="B292" s="1">
        <v>121.74</v>
      </c>
      <c r="C292" s="1">
        <v>383.5</v>
      </c>
      <c r="D292" s="1">
        <v>17.55</v>
      </c>
      <c r="F292" s="1">
        <f t="shared" si="17"/>
        <v>0</v>
      </c>
      <c r="G292" s="1">
        <f t="shared" si="17"/>
        <v>-8.736559139784883E-3</v>
      </c>
      <c r="H292" s="1">
        <f t="shared" si="17"/>
        <v>-1.1824324324324342E-2</v>
      </c>
      <c r="L292" s="1"/>
      <c r="M292" s="1"/>
      <c r="R292">
        <f t="shared" si="20"/>
        <v>-6.1682650392327681E-3</v>
      </c>
      <c r="S292">
        <f t="shared" si="18"/>
        <v>8.9930673872840785E-130</v>
      </c>
      <c r="T292">
        <v>290</v>
      </c>
      <c r="U292">
        <f t="shared" si="19"/>
        <v>207</v>
      </c>
    </row>
    <row r="293" spans="1:21" x14ac:dyDescent="0.25">
      <c r="A293" s="4">
        <v>45716.705555555556</v>
      </c>
      <c r="B293" s="1">
        <v>119.83</v>
      </c>
      <c r="C293" s="1">
        <v>392.7</v>
      </c>
      <c r="D293" s="1">
        <v>17.59</v>
      </c>
      <c r="F293" s="1">
        <f t="shared" si="17"/>
        <v>-1.5689173648759658E-2</v>
      </c>
      <c r="G293" s="1">
        <f t="shared" si="17"/>
        <v>2.3989569752281614E-2</v>
      </c>
      <c r="H293" s="1">
        <f t="shared" si="17"/>
        <v>2.2792022792021971E-3</v>
      </c>
      <c r="L293" s="1"/>
      <c r="M293" s="1"/>
      <c r="R293">
        <f t="shared" si="20"/>
        <v>3.1738795148172462E-3</v>
      </c>
      <c r="S293">
        <f t="shared" si="18"/>
        <v>9.5240717599632415E-130</v>
      </c>
      <c r="T293">
        <v>291</v>
      </c>
      <c r="U293">
        <f t="shared" si="19"/>
        <v>206</v>
      </c>
    </row>
    <row r="294" spans="1:21" x14ac:dyDescent="0.25">
      <c r="A294" s="4">
        <v>45721.705555555556</v>
      </c>
      <c r="B294" s="1">
        <v>120.03</v>
      </c>
      <c r="C294" s="1">
        <v>376.65</v>
      </c>
      <c r="D294" s="1">
        <v>17.63</v>
      </c>
      <c r="F294" s="1">
        <f t="shared" si="17"/>
        <v>1.6690311274305536E-3</v>
      </c>
      <c r="G294" s="1">
        <f t="shared" si="17"/>
        <v>-4.0870893812070319E-2</v>
      </c>
      <c r="H294" s="1">
        <f t="shared" si="17"/>
        <v>2.2740193291641564E-3</v>
      </c>
      <c r="L294" s="1"/>
      <c r="M294" s="1"/>
      <c r="R294">
        <f t="shared" si="20"/>
        <v>-1.1078353006642682E-2</v>
      </c>
      <c r="S294">
        <f t="shared" si="18"/>
        <v>4.6414339758700083E-128</v>
      </c>
      <c r="T294">
        <v>292</v>
      </c>
      <c r="U294">
        <f t="shared" si="19"/>
        <v>205</v>
      </c>
    </row>
    <row r="295" spans="1:21" x14ac:dyDescent="0.25">
      <c r="A295" s="4">
        <v>45722.705555555556</v>
      </c>
      <c r="B295" s="1">
        <v>120.33</v>
      </c>
      <c r="C295" s="1">
        <v>370.7</v>
      </c>
      <c r="D295" s="1">
        <v>17.57</v>
      </c>
      <c r="F295" s="1">
        <f t="shared" si="17"/>
        <v>2.4993751562110145E-3</v>
      </c>
      <c r="G295" s="1">
        <f t="shared" si="17"/>
        <v>-1.5797159166334729E-2</v>
      </c>
      <c r="H295" s="1">
        <f t="shared" si="17"/>
        <v>-3.4032898468518979E-3</v>
      </c>
      <c r="L295" s="1"/>
      <c r="M295" s="1"/>
      <c r="R295">
        <f t="shared" si="20"/>
        <v>-5.0103221570926837E-3</v>
      </c>
      <c r="S295">
        <f t="shared" si="18"/>
        <v>3.7974588087894725E-128</v>
      </c>
      <c r="T295">
        <v>293</v>
      </c>
      <c r="U295">
        <f t="shared" si="19"/>
        <v>204</v>
      </c>
    </row>
    <row r="296" spans="1:21" x14ac:dyDescent="0.25">
      <c r="A296" s="4">
        <v>45723.705555555556</v>
      </c>
      <c r="B296" s="1">
        <v>121.94</v>
      </c>
      <c r="C296" s="1">
        <v>373.9</v>
      </c>
      <c r="D296" s="1">
        <v>17.649999999999999</v>
      </c>
      <c r="F296" s="1">
        <f t="shared" si="17"/>
        <v>1.3379872018615568E-2</v>
      </c>
      <c r="G296" s="1">
        <f t="shared" si="17"/>
        <v>8.63231723765856E-3</v>
      </c>
      <c r="H296" s="1">
        <f t="shared" si="17"/>
        <v>4.5532157085941272E-3</v>
      </c>
      <c r="L296" s="1"/>
      <c r="M296" s="1"/>
      <c r="R296">
        <f t="shared" si="20"/>
        <v>7.969621489460477E-3</v>
      </c>
      <c r="S296">
        <f t="shared" si="18"/>
        <v>3.8432368624704663E-127</v>
      </c>
      <c r="T296">
        <v>294</v>
      </c>
      <c r="U296">
        <f t="shared" si="19"/>
        <v>203</v>
      </c>
    </row>
    <row r="297" spans="1:21" x14ac:dyDescent="0.25">
      <c r="A297" s="4">
        <v>45726.705555555556</v>
      </c>
      <c r="B297" s="1">
        <v>121.49</v>
      </c>
      <c r="C297" s="1">
        <v>367.95</v>
      </c>
      <c r="D297" s="1">
        <v>17.670000000000002</v>
      </c>
      <c r="F297" s="1">
        <f t="shared" si="17"/>
        <v>-3.6903395112350967E-3</v>
      </c>
      <c r="G297" s="1">
        <f t="shared" si="17"/>
        <v>-1.5913345814388857E-2</v>
      </c>
      <c r="H297" s="1">
        <f t="shared" si="17"/>
        <v>1.1331444759208331E-3</v>
      </c>
      <c r="L297" s="1"/>
      <c r="M297" s="1"/>
      <c r="R297">
        <f t="shared" si="20"/>
        <v>-5.5411622549109358E-3</v>
      </c>
      <c r="S297">
        <f t="shared" si="18"/>
        <v>7.4316198530517106E-127</v>
      </c>
      <c r="T297">
        <v>295</v>
      </c>
      <c r="U297">
        <f t="shared" si="19"/>
        <v>202</v>
      </c>
    </row>
    <row r="298" spans="1:21" x14ac:dyDescent="0.25">
      <c r="A298" s="4">
        <v>45727.705555555556</v>
      </c>
      <c r="B298" s="1">
        <v>120.5</v>
      </c>
      <c r="C298" s="1">
        <v>363</v>
      </c>
      <c r="D298" s="1">
        <v>17.77</v>
      </c>
      <c r="F298" s="1">
        <f t="shared" si="17"/>
        <v>-8.1488188328256994E-3</v>
      </c>
      <c r="G298" s="1">
        <f t="shared" si="17"/>
        <v>-1.3452914798206206E-2</v>
      </c>
      <c r="H298" s="1">
        <f t="shared" si="17"/>
        <v>5.6593095642329949E-3</v>
      </c>
      <c r="L298" s="1"/>
      <c r="M298" s="1"/>
      <c r="R298">
        <f t="shared" si="20"/>
        <v>-4.7827272200396728E-3</v>
      </c>
      <c r="S298">
        <f t="shared" si="18"/>
        <v>2.2145881248192036E-126</v>
      </c>
      <c r="T298">
        <v>296</v>
      </c>
      <c r="U298">
        <f t="shared" si="19"/>
        <v>201</v>
      </c>
    </row>
    <row r="299" spans="1:21" x14ac:dyDescent="0.25">
      <c r="A299" s="4">
        <v>45728.705555555556</v>
      </c>
      <c r="B299" s="1">
        <v>120.85</v>
      </c>
      <c r="C299" s="1">
        <v>364.01</v>
      </c>
      <c r="D299" s="1">
        <v>17.82</v>
      </c>
      <c r="F299" s="1">
        <f t="shared" si="17"/>
        <v>2.9045643153526868E-3</v>
      </c>
      <c r="G299" s="1">
        <f t="shared" si="17"/>
        <v>2.7823691460053812E-3</v>
      </c>
      <c r="H299" s="1">
        <f t="shared" si="17"/>
        <v>2.8137310073157451E-3</v>
      </c>
      <c r="L299" s="1"/>
      <c r="M299" s="1"/>
      <c r="R299">
        <f t="shared" si="20"/>
        <v>2.5501993406021441E-3</v>
      </c>
      <c r="S299">
        <f t="shared" si="18"/>
        <v>2.518546610069286E-126</v>
      </c>
      <c r="T299">
        <v>297</v>
      </c>
      <c r="U299">
        <f t="shared" si="19"/>
        <v>200</v>
      </c>
    </row>
    <row r="300" spans="1:21" x14ac:dyDescent="0.25">
      <c r="A300" s="4">
        <v>45729.705555555556</v>
      </c>
      <c r="B300" s="1">
        <v>122.55</v>
      </c>
      <c r="C300" s="1">
        <v>358.8</v>
      </c>
      <c r="D300" s="1">
        <v>18.12</v>
      </c>
      <c r="F300" s="1">
        <f t="shared" si="17"/>
        <v>1.4067025237898267E-2</v>
      </c>
      <c r="G300" s="1">
        <f t="shared" si="17"/>
        <v>-1.4312793604571272E-2</v>
      </c>
      <c r="H300" s="1">
        <f t="shared" si="17"/>
        <v>1.6835016835016869E-2</v>
      </c>
      <c r="L300" s="1"/>
      <c r="M300" s="1"/>
      <c r="R300">
        <f t="shared" si="20"/>
        <v>4.9767745405031602E-3</v>
      </c>
      <c r="S300">
        <f t="shared" si="18"/>
        <v>3.8366983826290784E-125</v>
      </c>
      <c r="T300">
        <v>298</v>
      </c>
      <c r="U300">
        <f t="shared" si="19"/>
        <v>199</v>
      </c>
    </row>
    <row r="301" spans="1:21" x14ac:dyDescent="0.25">
      <c r="A301" s="4">
        <v>45730.705555555556</v>
      </c>
      <c r="B301" s="1">
        <v>125.77</v>
      </c>
      <c r="C301" s="1">
        <v>362</v>
      </c>
      <c r="D301" s="1">
        <v>17.940000000000001</v>
      </c>
      <c r="F301" s="1">
        <f t="shared" si="17"/>
        <v>2.6274989800081583E-2</v>
      </c>
      <c r="G301" s="1">
        <f t="shared" si="17"/>
        <v>8.9186176142697082E-3</v>
      </c>
      <c r="H301" s="1">
        <f t="shared" si="17"/>
        <v>-9.9337748344370258E-3</v>
      </c>
      <c r="L301" s="1"/>
      <c r="M301" s="1"/>
      <c r="R301">
        <f t="shared" si="20"/>
        <v>7.5779497739742784E-3</v>
      </c>
      <c r="S301">
        <f t="shared" si="18"/>
        <v>3.5581574510935288E-124</v>
      </c>
      <c r="T301">
        <v>299</v>
      </c>
      <c r="U301">
        <f t="shared" si="19"/>
        <v>198</v>
      </c>
    </row>
    <row r="302" spans="1:21" x14ac:dyDescent="0.25">
      <c r="A302" s="4">
        <v>45733.705555555556</v>
      </c>
      <c r="B302" s="1">
        <v>127.55</v>
      </c>
      <c r="C302" s="1">
        <v>361.1</v>
      </c>
      <c r="D302" s="1">
        <v>17.87</v>
      </c>
      <c r="F302" s="1">
        <f t="shared" si="17"/>
        <v>1.4152818637194864E-2</v>
      </c>
      <c r="G302" s="1">
        <f t="shared" si="17"/>
        <v>-2.4861878453038555E-3</v>
      </c>
      <c r="H302" s="1">
        <f t="shared" si="17"/>
        <v>-3.9018952062430667E-3</v>
      </c>
      <c r="L302" s="1"/>
      <c r="M302" s="1"/>
      <c r="R302">
        <f t="shared" si="20"/>
        <v>2.329420675694382E-3</v>
      </c>
      <c r="S302">
        <f t="shared" si="18"/>
        <v>1.3448614975086859E-124</v>
      </c>
      <c r="T302">
        <v>300</v>
      </c>
      <c r="U302">
        <f t="shared" si="19"/>
        <v>197</v>
      </c>
    </row>
    <row r="303" spans="1:21" x14ac:dyDescent="0.25">
      <c r="A303" s="4">
        <v>45734.705555555556</v>
      </c>
      <c r="B303" s="1">
        <v>128.28</v>
      </c>
      <c r="C303" s="1">
        <v>356.95</v>
      </c>
      <c r="D303" s="1">
        <v>18.04</v>
      </c>
      <c r="F303" s="1">
        <f t="shared" si="17"/>
        <v>5.723245785966391E-3</v>
      </c>
      <c r="G303" s="1">
        <f t="shared" si="17"/>
        <v>-1.1492661312655916E-2</v>
      </c>
      <c r="H303" s="1">
        <f t="shared" si="17"/>
        <v>9.5131505316170539E-3</v>
      </c>
      <c r="L303" s="1"/>
      <c r="M303" s="1"/>
      <c r="R303">
        <f t="shared" si="20"/>
        <v>1.1231205014782589E-3</v>
      </c>
      <c r="S303">
        <f t="shared" si="18"/>
        <v>1.250530848759209E-124</v>
      </c>
      <c r="T303">
        <v>301</v>
      </c>
      <c r="U303">
        <f t="shared" si="19"/>
        <v>196</v>
      </c>
    </row>
    <row r="304" spans="1:21" x14ac:dyDescent="0.25">
      <c r="A304" s="4">
        <v>45735.705555555556</v>
      </c>
      <c r="B304" s="1">
        <v>129.29</v>
      </c>
      <c r="C304" s="1">
        <v>358.9</v>
      </c>
      <c r="D304" s="1">
        <v>18.03</v>
      </c>
      <c r="F304" s="1">
        <f t="shared" si="17"/>
        <v>7.8734019332709071E-3</v>
      </c>
      <c r="G304" s="1">
        <f t="shared" si="17"/>
        <v>5.4629499929961245E-3</v>
      </c>
      <c r="H304" s="1">
        <f t="shared" si="17"/>
        <v>-5.5432372505537231E-4</v>
      </c>
      <c r="L304" s="1"/>
      <c r="M304" s="1"/>
      <c r="R304">
        <f t="shared" si="20"/>
        <v>3.8346084603634975E-3</v>
      </c>
      <c r="S304">
        <f t="shared" si="18"/>
        <v>5.8310094236540572E-123</v>
      </c>
      <c r="T304">
        <v>302</v>
      </c>
      <c r="U304">
        <f t="shared" si="19"/>
        <v>195</v>
      </c>
    </row>
    <row r="305" spans="1:21" x14ac:dyDescent="0.25">
      <c r="A305" s="4">
        <v>45736.705555555556</v>
      </c>
      <c r="B305" s="1">
        <v>128.83000000000001</v>
      </c>
      <c r="C305" s="1">
        <v>359.2</v>
      </c>
      <c r="D305" s="1">
        <v>18.09</v>
      </c>
      <c r="F305" s="1">
        <f t="shared" si="17"/>
        <v>-3.5578931085156196E-3</v>
      </c>
      <c r="G305" s="1">
        <f t="shared" si="17"/>
        <v>8.3588743382567721E-4</v>
      </c>
      <c r="H305" s="1">
        <f t="shared" si="17"/>
        <v>3.3277870216306127E-3</v>
      </c>
      <c r="L305" s="1"/>
      <c r="M305" s="1"/>
      <c r="R305">
        <f t="shared" si="20"/>
        <v>1.817344040822011E-4</v>
      </c>
      <c r="S305">
        <f t="shared" si="18"/>
        <v>5.2388502539838564E-125</v>
      </c>
      <c r="T305">
        <v>303</v>
      </c>
      <c r="U305">
        <f t="shared" si="19"/>
        <v>194</v>
      </c>
    </row>
    <row r="306" spans="1:21" x14ac:dyDescent="0.25">
      <c r="A306" s="4">
        <v>45737.705555555556</v>
      </c>
      <c r="B306" s="1">
        <v>129.1</v>
      </c>
      <c r="C306" s="1">
        <v>362.65</v>
      </c>
      <c r="D306" s="1">
        <v>18.07</v>
      </c>
      <c r="F306" s="1">
        <f t="shared" si="17"/>
        <v>2.0957851432117369E-3</v>
      </c>
      <c r="G306" s="1">
        <f t="shared" si="17"/>
        <v>9.6046770601336817E-3</v>
      </c>
      <c r="H306" s="1">
        <f t="shared" si="17"/>
        <v>-1.1055831951354289E-3</v>
      </c>
      <c r="L306" s="1"/>
      <c r="M306" s="1"/>
      <c r="R306">
        <f t="shared" si="20"/>
        <v>3.1784637024629969E-3</v>
      </c>
      <c r="S306">
        <f t="shared" si="18"/>
        <v>6.4099727927046732E-122</v>
      </c>
      <c r="T306">
        <v>304</v>
      </c>
      <c r="U306">
        <f t="shared" si="19"/>
        <v>193</v>
      </c>
    </row>
    <row r="307" spans="1:21" x14ac:dyDescent="0.25">
      <c r="A307" s="4">
        <v>45740.705555555556</v>
      </c>
      <c r="B307" s="1">
        <v>128.16999999999999</v>
      </c>
      <c r="C307" s="1">
        <v>371</v>
      </c>
      <c r="D307" s="1">
        <v>18.11</v>
      </c>
      <c r="F307" s="1">
        <f t="shared" si="17"/>
        <v>-7.2037180480248875E-3</v>
      </c>
      <c r="G307" s="1">
        <f t="shared" si="17"/>
        <v>2.3024955190955598E-2</v>
      </c>
      <c r="H307" s="1">
        <f t="shared" si="17"/>
        <v>2.2136137244050946E-3</v>
      </c>
      <c r="L307" s="1"/>
      <c r="M307" s="1"/>
      <c r="R307">
        <f t="shared" si="20"/>
        <v>5.4104552602007409E-3</v>
      </c>
      <c r="S307">
        <f t="shared" si="18"/>
        <v>7.4293237701466393E-121</v>
      </c>
      <c r="T307">
        <v>305</v>
      </c>
      <c r="U307">
        <f t="shared" si="19"/>
        <v>192</v>
      </c>
    </row>
    <row r="308" spans="1:21" x14ac:dyDescent="0.25">
      <c r="A308" s="4">
        <v>45741.705555555556</v>
      </c>
      <c r="B308" s="1">
        <v>128.88</v>
      </c>
      <c r="C308" s="1">
        <v>368.65</v>
      </c>
      <c r="D308" s="1">
        <v>18.059999999999999</v>
      </c>
      <c r="F308" s="1">
        <f t="shared" si="17"/>
        <v>5.5395178278849766E-3</v>
      </c>
      <c r="G308" s="1">
        <f t="shared" si="17"/>
        <v>-6.3342318059299574E-3</v>
      </c>
      <c r="H308" s="1">
        <f t="shared" si="17"/>
        <v>-2.7609055770293489E-3</v>
      </c>
      <c r="L308" s="1"/>
      <c r="M308" s="1"/>
      <c r="R308">
        <f t="shared" si="20"/>
        <v>-1.066685866522299E-3</v>
      </c>
      <c r="S308">
        <f t="shared" si="18"/>
        <v>1.1550871112167329E-121</v>
      </c>
      <c r="T308">
        <v>306</v>
      </c>
      <c r="U308">
        <f t="shared" si="19"/>
        <v>191</v>
      </c>
    </row>
    <row r="309" spans="1:21" x14ac:dyDescent="0.25">
      <c r="A309" s="4">
        <v>45742.705555555556</v>
      </c>
      <c r="B309" s="1">
        <v>129.33000000000001</v>
      </c>
      <c r="C309" s="1">
        <v>366.45</v>
      </c>
      <c r="D309" s="1">
        <v>18.100000000000001</v>
      </c>
      <c r="F309" s="1">
        <f t="shared" si="17"/>
        <v>3.4916201117318746E-3</v>
      </c>
      <c r="G309" s="1">
        <f t="shared" si="17"/>
        <v>-5.9677200596771618E-3</v>
      </c>
      <c r="H309" s="1">
        <f t="shared" si="17"/>
        <v>2.2148394241419123E-3</v>
      </c>
      <c r="L309" s="1"/>
      <c r="M309" s="1"/>
      <c r="R309">
        <f t="shared" si="20"/>
        <v>-7.8378157141012375E-5</v>
      </c>
      <c r="S309">
        <f t="shared" si="18"/>
        <v>2.4945473024704465E-123</v>
      </c>
      <c r="T309">
        <v>307</v>
      </c>
      <c r="U309">
        <f t="shared" si="19"/>
        <v>190</v>
      </c>
    </row>
    <row r="310" spans="1:21" x14ac:dyDescent="0.25">
      <c r="A310" s="4">
        <v>45743.705555555556</v>
      </c>
      <c r="B310" s="1">
        <v>129.94999999999999</v>
      </c>
      <c r="C310" s="1">
        <v>366.15</v>
      </c>
      <c r="D310" s="1">
        <v>18.399999999999999</v>
      </c>
      <c r="F310" s="1">
        <f t="shared" si="17"/>
        <v>4.7939379880923561E-3</v>
      </c>
      <c r="G310" s="1">
        <f t="shared" si="17"/>
        <v>-8.1866557511256488E-4</v>
      </c>
      <c r="H310" s="1">
        <f t="shared" si="17"/>
        <v>1.6574585635358963E-2</v>
      </c>
      <c r="L310" s="1"/>
      <c r="M310" s="1"/>
      <c r="R310">
        <f t="shared" si="20"/>
        <v>6.1649574145016262E-3</v>
      </c>
      <c r="S310">
        <f t="shared" si="18"/>
        <v>6.1733628052425685E-119</v>
      </c>
      <c r="T310">
        <v>308</v>
      </c>
      <c r="U310">
        <f t="shared" si="19"/>
        <v>189</v>
      </c>
    </row>
    <row r="311" spans="1:21" x14ac:dyDescent="0.25">
      <c r="A311" s="4">
        <v>45744.705555555556</v>
      </c>
      <c r="B311" s="1">
        <v>128.76</v>
      </c>
      <c r="C311" s="1">
        <v>359.85</v>
      </c>
      <c r="D311" s="1">
        <v>18.579999999999998</v>
      </c>
      <c r="F311" s="1">
        <f t="shared" si="17"/>
        <v>-9.1573682185456251E-3</v>
      </c>
      <c r="G311" s="1">
        <f t="shared" si="17"/>
        <v>-1.7206063088897827E-2</v>
      </c>
      <c r="H311" s="1">
        <f t="shared" si="17"/>
        <v>9.7826086956520619E-3</v>
      </c>
      <c r="L311" s="1"/>
      <c r="M311" s="1"/>
      <c r="R311">
        <f t="shared" si="20"/>
        <v>-4.9742467835374171E-3</v>
      </c>
      <c r="S311">
        <f t="shared" si="18"/>
        <v>1.6075936643154733E-118</v>
      </c>
      <c r="T311">
        <v>309</v>
      </c>
      <c r="U311">
        <f t="shared" si="19"/>
        <v>188</v>
      </c>
    </row>
    <row r="312" spans="1:21" x14ac:dyDescent="0.25">
      <c r="A312" s="4">
        <v>45747.705555555556</v>
      </c>
      <c r="B312" s="1">
        <v>127.16</v>
      </c>
      <c r="C312" s="1">
        <v>358.7</v>
      </c>
      <c r="D312" s="1">
        <v>18.670000000000002</v>
      </c>
      <c r="F312" s="1">
        <f t="shared" si="17"/>
        <v>-1.2426219322770993E-2</v>
      </c>
      <c r="G312" s="1">
        <f t="shared" si="17"/>
        <v>-3.1957760177853123E-3</v>
      </c>
      <c r="H312" s="1">
        <f t="shared" si="17"/>
        <v>4.843918191604013E-3</v>
      </c>
      <c r="L312" s="1"/>
      <c r="M312" s="1"/>
      <c r="R312">
        <f t="shared" si="20"/>
        <v>-3.2334231446856871E-3</v>
      </c>
      <c r="S312">
        <f t="shared" si="18"/>
        <v>2.7171067850730085E-118</v>
      </c>
      <c r="T312">
        <v>310</v>
      </c>
      <c r="U312">
        <f t="shared" si="19"/>
        <v>187</v>
      </c>
    </row>
    <row r="313" spans="1:21" x14ac:dyDescent="0.25">
      <c r="A313" s="4">
        <v>45748.705555555556</v>
      </c>
      <c r="B313" s="1">
        <v>128.02000000000001</v>
      </c>
      <c r="C313" s="1">
        <v>358.5</v>
      </c>
      <c r="D313" s="1">
        <v>18.57</v>
      </c>
      <c r="F313" s="1">
        <f t="shared" si="17"/>
        <v>6.7631330607109685E-3</v>
      </c>
      <c r="G313" s="1">
        <f t="shared" si="17"/>
        <v>-5.5756899916359348E-4</v>
      </c>
      <c r="H313" s="1">
        <f t="shared" si="17"/>
        <v>-5.3561863952866773E-3</v>
      </c>
      <c r="L313" s="1"/>
      <c r="M313" s="1"/>
      <c r="R313">
        <f t="shared" si="20"/>
        <v>2.5481329987820907E-4</v>
      </c>
      <c r="S313">
        <f t="shared" si="18"/>
        <v>6.749720619858376E-120</v>
      </c>
      <c r="T313">
        <v>311</v>
      </c>
      <c r="U313">
        <f t="shared" si="19"/>
        <v>186</v>
      </c>
    </row>
    <row r="314" spans="1:21" x14ac:dyDescent="0.25">
      <c r="A314" s="4">
        <v>45749.705555555556</v>
      </c>
      <c r="B314" s="1">
        <v>128.07</v>
      </c>
      <c r="C314" s="1">
        <v>363.21</v>
      </c>
      <c r="D314" s="1">
        <v>18.649999999999999</v>
      </c>
      <c r="F314" s="1">
        <f t="shared" si="17"/>
        <v>3.9056397437886581E-4</v>
      </c>
      <c r="G314" s="1">
        <f t="shared" si="17"/>
        <v>1.3138075313807507E-2</v>
      </c>
      <c r="H314" s="1">
        <f t="shared" si="17"/>
        <v>4.3080236941301919E-3</v>
      </c>
      <c r="L314" s="1"/>
      <c r="M314" s="1"/>
      <c r="R314">
        <f t="shared" si="20"/>
        <v>5.3509988946949701E-3</v>
      </c>
      <c r="S314">
        <f t="shared" si="18"/>
        <v>1.1906149373201988E-116</v>
      </c>
      <c r="T314">
        <v>312</v>
      </c>
      <c r="U314">
        <f t="shared" si="19"/>
        <v>185</v>
      </c>
    </row>
    <row r="315" spans="1:21" x14ac:dyDescent="0.25">
      <c r="A315" s="4">
        <v>45750.705555555556</v>
      </c>
      <c r="B315" s="1">
        <v>128.03</v>
      </c>
      <c r="C315" s="1">
        <v>339.84</v>
      </c>
      <c r="D315" s="1">
        <v>18.32</v>
      </c>
      <c r="F315" s="1">
        <f t="shared" si="17"/>
        <v>-3.1232919497148348E-4</v>
      </c>
      <c r="G315" s="1">
        <f t="shared" si="17"/>
        <v>-6.4342942099611777E-2</v>
      </c>
      <c r="H315" s="1">
        <f t="shared" si="17"/>
        <v>-1.7694369973190294E-2</v>
      </c>
      <c r="L315" s="1"/>
      <c r="M315" s="1"/>
      <c r="R315">
        <f t="shared" si="20"/>
        <v>-2.4704892380332067E-2</v>
      </c>
      <c r="S315">
        <f t="shared" si="18"/>
        <v>1.0151437108280843E-114</v>
      </c>
      <c r="T315">
        <v>313</v>
      </c>
      <c r="U315">
        <f t="shared" si="19"/>
        <v>184</v>
      </c>
    </row>
    <row r="316" spans="1:21" x14ac:dyDescent="0.25">
      <c r="A316" s="4">
        <v>45751.705555555556</v>
      </c>
      <c r="B316" s="1">
        <v>124.28</v>
      </c>
      <c r="C316" s="1">
        <v>331.78</v>
      </c>
      <c r="D316" s="1">
        <v>18.53</v>
      </c>
      <c r="F316" s="1">
        <f t="shared" si="17"/>
        <v>-2.9290010153870227E-2</v>
      </c>
      <c r="G316" s="1">
        <f t="shared" si="17"/>
        <v>-2.3717043314500974E-2</v>
      </c>
      <c r="H316" s="1">
        <f t="shared" si="17"/>
        <v>1.1462882096069826E-2</v>
      </c>
      <c r="L316" s="1"/>
      <c r="M316" s="1"/>
      <c r="R316">
        <f t="shared" si="20"/>
        <v>-1.2463251411690411E-2</v>
      </c>
      <c r="S316">
        <f t="shared" si="18"/>
        <v>1.0334376951099769E-114</v>
      </c>
      <c r="T316">
        <v>314</v>
      </c>
      <c r="U316">
        <f t="shared" si="19"/>
        <v>183</v>
      </c>
    </row>
    <row r="317" spans="1:21" x14ac:dyDescent="0.25">
      <c r="A317" s="4">
        <v>45754.705555555556</v>
      </c>
      <c r="B317" s="1">
        <v>122.63</v>
      </c>
      <c r="C317" s="1">
        <v>334.35</v>
      </c>
      <c r="D317" s="1">
        <v>18.37</v>
      </c>
      <c r="F317" s="1">
        <f t="shared" si="17"/>
        <v>-1.327647248149344E-2</v>
      </c>
      <c r="G317" s="1">
        <f t="shared" si="17"/>
        <v>7.7460968111400241E-3</v>
      </c>
      <c r="H317" s="1">
        <f t="shared" si="17"/>
        <v>-8.634646519158129E-3</v>
      </c>
      <c r="L317" s="1"/>
      <c r="M317" s="1"/>
      <c r="R317">
        <f t="shared" si="20"/>
        <v>-4.2495066568534641E-3</v>
      </c>
      <c r="S317">
        <f t="shared" si="18"/>
        <v>4.8057215778991415E-115</v>
      </c>
      <c r="T317">
        <v>315</v>
      </c>
      <c r="U317">
        <f t="shared" si="19"/>
        <v>182</v>
      </c>
    </row>
    <row r="318" spans="1:21" x14ac:dyDescent="0.25">
      <c r="A318" s="4">
        <v>45755.705555555556</v>
      </c>
      <c r="B318" s="1">
        <v>121.02</v>
      </c>
      <c r="C318" s="1">
        <v>334.4</v>
      </c>
      <c r="D318" s="1">
        <v>18.73</v>
      </c>
      <c r="F318" s="1">
        <f t="shared" si="17"/>
        <v>-1.3128924406752063E-2</v>
      </c>
      <c r="G318" s="1">
        <f t="shared" si="17"/>
        <v>1.4954389113186473E-4</v>
      </c>
      <c r="H318" s="1">
        <f t="shared" si="17"/>
        <v>1.9597169297768113E-2</v>
      </c>
      <c r="L318" s="1"/>
      <c r="M318" s="1"/>
      <c r="R318">
        <f t="shared" si="20"/>
        <v>1.9853366346443756E-3</v>
      </c>
      <c r="S318">
        <f t="shared" si="18"/>
        <v>4.1957526997506336E-115</v>
      </c>
      <c r="T318">
        <v>316</v>
      </c>
      <c r="U318">
        <f t="shared" si="19"/>
        <v>181</v>
      </c>
    </row>
    <row r="319" spans="1:21" x14ac:dyDescent="0.25">
      <c r="A319" s="4">
        <v>45756.705555555556</v>
      </c>
      <c r="B319" s="1">
        <v>124.73</v>
      </c>
      <c r="C319" s="1">
        <v>356.1</v>
      </c>
      <c r="D319" s="1">
        <v>18.93</v>
      </c>
      <c r="F319" s="1">
        <f t="shared" si="17"/>
        <v>3.0656089902495465E-2</v>
      </c>
      <c r="G319" s="1">
        <f t="shared" si="17"/>
        <v>6.4892344497607723E-2</v>
      </c>
      <c r="H319" s="1">
        <f t="shared" si="17"/>
        <v>1.0678056593699914E-2</v>
      </c>
      <c r="L319" s="1"/>
      <c r="M319" s="1"/>
      <c r="R319">
        <f t="shared" si="20"/>
        <v>3.1867947298140929E-2</v>
      </c>
      <c r="S319">
        <f t="shared" si="18"/>
        <v>4.3242395196327065E-112</v>
      </c>
      <c r="T319">
        <v>317</v>
      </c>
      <c r="U319">
        <f t="shared" si="19"/>
        <v>180</v>
      </c>
    </row>
    <row r="320" spans="1:21" x14ac:dyDescent="0.25">
      <c r="A320" s="4">
        <v>45757.705555555556</v>
      </c>
      <c r="B320" s="1">
        <v>123.38</v>
      </c>
      <c r="C320" s="1">
        <v>347.5</v>
      </c>
      <c r="D320" s="1">
        <v>19.579999999999998</v>
      </c>
      <c r="F320" s="1">
        <f t="shared" si="17"/>
        <v>-1.082337849755477E-2</v>
      </c>
      <c r="G320" s="1">
        <f t="shared" si="17"/>
        <v>-2.4150519516989655E-2</v>
      </c>
      <c r="H320" s="1">
        <f t="shared" si="17"/>
        <v>3.4337031167458898E-2</v>
      </c>
      <c r="L320" s="1"/>
      <c r="M320" s="1"/>
      <c r="R320">
        <f t="shared" si="20"/>
        <v>-1.9106005412565519E-4</v>
      </c>
      <c r="S320">
        <f t="shared" si="18"/>
        <v>6.2172931502709144E-116</v>
      </c>
      <c r="T320">
        <v>318</v>
      </c>
      <c r="U320">
        <f t="shared" si="19"/>
        <v>179</v>
      </c>
    </row>
    <row r="321" spans="1:21" x14ac:dyDescent="0.25">
      <c r="A321" s="4">
        <v>45758.705555555556</v>
      </c>
      <c r="B321" s="1">
        <v>124.65</v>
      </c>
      <c r="C321" s="1">
        <v>351.5</v>
      </c>
      <c r="D321" s="1">
        <v>19.850000000000001</v>
      </c>
      <c r="F321" s="1">
        <f t="shared" si="17"/>
        <v>1.0293402496352799E-2</v>
      </c>
      <c r="G321" s="1">
        <f t="shared" si="17"/>
        <v>1.1510791366906581E-2</v>
      </c>
      <c r="H321" s="1">
        <f t="shared" si="17"/>
        <v>1.3789581205311707E-2</v>
      </c>
      <c r="L321" s="1"/>
      <c r="M321" s="1"/>
      <c r="R321">
        <f t="shared" si="20"/>
        <v>1.0678132520571326E-2</v>
      </c>
      <c r="S321">
        <f t="shared" si="18"/>
        <v>7.7680525761444725E-112</v>
      </c>
      <c r="T321">
        <v>319</v>
      </c>
      <c r="U321">
        <f t="shared" si="19"/>
        <v>178</v>
      </c>
    </row>
    <row r="322" spans="1:21" x14ac:dyDescent="0.25">
      <c r="A322" s="4">
        <v>45761.705555555556</v>
      </c>
      <c r="B322" s="1">
        <v>126.37</v>
      </c>
      <c r="C322" s="1">
        <v>354.45</v>
      </c>
      <c r="D322" s="1">
        <v>19.64</v>
      </c>
      <c r="F322" s="1">
        <f t="shared" si="17"/>
        <v>1.3798636181307611E-2</v>
      </c>
      <c r="G322" s="1">
        <f t="shared" si="17"/>
        <v>8.3926031294452308E-3</v>
      </c>
      <c r="H322" s="1">
        <f t="shared" si="17"/>
        <v>-1.0579345088161274E-2</v>
      </c>
      <c r="L322" s="1"/>
      <c r="M322" s="1"/>
      <c r="R322">
        <f t="shared" si="20"/>
        <v>3.4835682667774693E-3</v>
      </c>
      <c r="S322">
        <f t="shared" si="18"/>
        <v>3.3069694768652506E-112</v>
      </c>
      <c r="T322">
        <v>320</v>
      </c>
      <c r="U322">
        <f t="shared" si="19"/>
        <v>177</v>
      </c>
    </row>
    <row r="323" spans="1:21" x14ac:dyDescent="0.25">
      <c r="A323" s="4">
        <v>45762.705555555556</v>
      </c>
      <c r="B323" s="1">
        <v>126.19</v>
      </c>
      <c r="C323" s="1">
        <v>355.75</v>
      </c>
      <c r="D323" s="1">
        <v>19.91</v>
      </c>
      <c r="F323" s="1">
        <f t="shared" si="17"/>
        <v>-1.4243886998497324E-3</v>
      </c>
      <c r="G323" s="1">
        <f t="shared" si="17"/>
        <v>3.667654112004648E-3</v>
      </c>
      <c r="H323" s="1">
        <f t="shared" si="17"/>
        <v>1.3747454175152773E-2</v>
      </c>
      <c r="L323" s="1"/>
      <c r="M323" s="1"/>
      <c r="R323">
        <f t="shared" si="20"/>
        <v>4.7972158761923076E-3</v>
      </c>
      <c r="S323">
        <f t="shared" si="18"/>
        <v>2.5085343416325779E-111</v>
      </c>
      <c r="T323">
        <v>321</v>
      </c>
      <c r="U323">
        <f t="shared" si="19"/>
        <v>176</v>
      </c>
    </row>
    <row r="324" spans="1:21" x14ac:dyDescent="0.25">
      <c r="A324" s="4">
        <v>45763.705555555556</v>
      </c>
      <c r="B324" s="1">
        <v>125.3</v>
      </c>
      <c r="C324" s="1">
        <v>346.4</v>
      </c>
      <c r="D324" s="1">
        <v>20.47</v>
      </c>
      <c r="F324" s="1">
        <f t="shared" ref="F324:H387" si="21">(B324/B323)-1</f>
        <v>-7.0528568032331984E-3</v>
      </c>
      <c r="G324" s="1">
        <f t="shared" si="21"/>
        <v>-2.6282501756851762E-2</v>
      </c>
      <c r="H324" s="1">
        <f t="shared" si="21"/>
        <v>2.8126569563033499E-2</v>
      </c>
      <c r="L324" s="1"/>
      <c r="M324" s="1"/>
      <c r="R324">
        <f t="shared" si="20"/>
        <v>-1.5626366991154366E-3</v>
      </c>
      <c r="S324">
        <f t="shared" ref="S324:S387" si="22">(R324^2)*((1-$P$2)^U324)</f>
        <v>1.0646762271396802E-111</v>
      </c>
      <c r="T324">
        <v>322</v>
      </c>
      <c r="U324">
        <f t="shared" ref="U324:U387" si="23">497-T324</f>
        <v>175</v>
      </c>
    </row>
    <row r="325" spans="1:21" x14ac:dyDescent="0.25">
      <c r="A325" s="4">
        <v>45764.705555555556</v>
      </c>
      <c r="B325" s="1">
        <v>126.56</v>
      </c>
      <c r="C325" s="1">
        <v>343.75</v>
      </c>
      <c r="D325" s="1">
        <v>20.18</v>
      </c>
      <c r="F325" s="1">
        <f t="shared" si="21"/>
        <v>1.0055865921787754E-2</v>
      </c>
      <c r="G325" s="1">
        <f t="shared" si="21"/>
        <v>-7.650115473441077E-3</v>
      </c>
      <c r="H325" s="1">
        <f t="shared" si="21"/>
        <v>-1.4167073766487515E-2</v>
      </c>
      <c r="L325" s="1"/>
      <c r="M325" s="1"/>
      <c r="R325">
        <f t="shared" ref="R325:R388" si="24">$L$2*F325+G325*$L$3+H325*$L$4</f>
        <v>-3.5283969954422525E-3</v>
      </c>
      <c r="S325">
        <f t="shared" si="22"/>
        <v>2.171282820168017E-110</v>
      </c>
      <c r="T325">
        <v>323</v>
      </c>
      <c r="U325">
        <f t="shared" si="23"/>
        <v>174</v>
      </c>
    </row>
    <row r="326" spans="1:21" x14ac:dyDescent="0.25">
      <c r="A326" s="4">
        <v>45769.705555555556</v>
      </c>
      <c r="B326" s="1">
        <v>127.38</v>
      </c>
      <c r="C326" s="1">
        <v>339.25</v>
      </c>
      <c r="D326" s="1">
        <v>20.239999999999998</v>
      </c>
      <c r="F326" s="1">
        <f t="shared" si="21"/>
        <v>6.4791403286978966E-3</v>
      </c>
      <c r="G326" s="1">
        <f t="shared" si="21"/>
        <v>-1.3090909090909042E-2</v>
      </c>
      <c r="H326" s="1">
        <f t="shared" si="21"/>
        <v>2.9732408325073845E-3</v>
      </c>
      <c r="L326" s="1"/>
      <c r="M326" s="1"/>
      <c r="R326">
        <f t="shared" si="24"/>
        <v>-1.091558378911128E-3</v>
      </c>
      <c r="S326">
        <f t="shared" si="22"/>
        <v>8.312189499581527E-111</v>
      </c>
      <c r="T326">
        <v>324</v>
      </c>
      <c r="U326">
        <f t="shared" si="23"/>
        <v>173</v>
      </c>
    </row>
    <row r="327" spans="1:21" x14ac:dyDescent="0.25">
      <c r="A327" s="4">
        <v>45770.705555555556</v>
      </c>
      <c r="B327" s="1">
        <v>129.08000000000001</v>
      </c>
      <c r="C327" s="1">
        <v>343.9</v>
      </c>
      <c r="D327" s="1">
        <v>19.71</v>
      </c>
      <c r="F327" s="1">
        <f t="shared" si="21"/>
        <v>1.3345894174909834E-2</v>
      </c>
      <c r="G327" s="1">
        <f t="shared" si="21"/>
        <v>1.3706705969049215E-2</v>
      </c>
      <c r="H327" s="1">
        <f t="shared" si="21"/>
        <v>-2.6185770750988047E-2</v>
      </c>
      <c r="L327" s="1"/>
      <c r="M327" s="1"/>
      <c r="R327">
        <f t="shared" si="24"/>
        <v>2.6004881789129866E-4</v>
      </c>
      <c r="S327">
        <f t="shared" si="22"/>
        <v>1.8870841175886248E-111</v>
      </c>
      <c r="T327">
        <v>325</v>
      </c>
      <c r="U327">
        <f t="shared" si="23"/>
        <v>172</v>
      </c>
    </row>
    <row r="328" spans="1:21" x14ac:dyDescent="0.25">
      <c r="A328" s="4">
        <v>45771.705555555556</v>
      </c>
      <c r="B328" s="1">
        <v>131.38</v>
      </c>
      <c r="C328" s="1">
        <v>349.1</v>
      </c>
      <c r="D328" s="1">
        <v>19.89</v>
      </c>
      <c r="F328" s="1">
        <f t="shared" si="21"/>
        <v>1.7818407189339913E-2</v>
      </c>
      <c r="G328" s="1">
        <f t="shared" si="21"/>
        <v>1.5120674614713669E-2</v>
      </c>
      <c r="H328" s="1">
        <f t="shared" si="21"/>
        <v>9.1324200913240894E-3</v>
      </c>
      <c r="L328" s="1"/>
      <c r="M328" s="1"/>
      <c r="R328">
        <f t="shared" si="24"/>
        <v>1.2621450568613302E-2</v>
      </c>
      <c r="S328">
        <f t="shared" si="22"/>
        <v>1.7781157318518082E-107</v>
      </c>
      <c r="T328">
        <v>326</v>
      </c>
      <c r="U328">
        <f t="shared" si="23"/>
        <v>171</v>
      </c>
    </row>
    <row r="329" spans="1:21" x14ac:dyDescent="0.25">
      <c r="A329" s="4">
        <v>45772.705555555556</v>
      </c>
      <c r="B329" s="1">
        <v>131.57</v>
      </c>
      <c r="C329" s="1">
        <v>351.4</v>
      </c>
      <c r="D329" s="1">
        <v>19.690000000000001</v>
      </c>
      <c r="F329" s="1">
        <f t="shared" si="21"/>
        <v>1.4461866341908269E-3</v>
      </c>
      <c r="G329" s="1">
        <f t="shared" si="21"/>
        <v>6.5883700945286172E-3</v>
      </c>
      <c r="H329" s="1">
        <f t="shared" si="21"/>
        <v>-1.0055304172951196E-2</v>
      </c>
      <c r="L329" s="1"/>
      <c r="M329" s="1"/>
      <c r="R329">
        <f t="shared" si="24"/>
        <v>-6.0622423326952592E-4</v>
      </c>
      <c r="S329">
        <f t="shared" si="22"/>
        <v>1.6408468968918317E-109</v>
      </c>
      <c r="T329">
        <v>327</v>
      </c>
      <c r="U329">
        <f t="shared" si="23"/>
        <v>170</v>
      </c>
    </row>
    <row r="330" spans="1:21" x14ac:dyDescent="0.25">
      <c r="A330" s="4">
        <v>45775.705555555556</v>
      </c>
      <c r="B330" s="1">
        <v>131.84</v>
      </c>
      <c r="C330" s="1">
        <v>349.25</v>
      </c>
      <c r="D330" s="1">
        <v>19.829999999999998</v>
      </c>
      <c r="F330" s="1">
        <f t="shared" si="21"/>
        <v>2.0521395454891067E-3</v>
      </c>
      <c r="G330" s="1">
        <f t="shared" si="21"/>
        <v>-6.1183836084234278E-3</v>
      </c>
      <c r="H330" s="1">
        <f t="shared" si="21"/>
        <v>7.1102082275265044E-3</v>
      </c>
      <c r="L330" s="1"/>
      <c r="M330" s="1"/>
      <c r="R330">
        <f t="shared" si="24"/>
        <v>9.1318924937765569E-4</v>
      </c>
      <c r="S330">
        <f t="shared" si="22"/>
        <v>1.4893029361338268E-108</v>
      </c>
      <c r="T330">
        <v>328</v>
      </c>
      <c r="U330">
        <f t="shared" si="23"/>
        <v>169</v>
      </c>
    </row>
    <row r="331" spans="1:21" x14ac:dyDescent="0.25">
      <c r="A331" s="4">
        <v>45776.705555555556</v>
      </c>
      <c r="B331" s="1">
        <v>131.91999999999999</v>
      </c>
      <c r="C331" s="1">
        <v>350.6</v>
      </c>
      <c r="D331" s="1">
        <v>19.579999999999998</v>
      </c>
      <c r="F331" s="1">
        <f t="shared" si="21"/>
        <v>6.0679611650482634E-4</v>
      </c>
      <c r="G331" s="1">
        <f t="shared" si="21"/>
        <v>3.8654259126700286E-3</v>
      </c>
      <c r="H331" s="1">
        <f t="shared" si="21"/>
        <v>-1.260716086737268E-2</v>
      </c>
      <c r="L331" s="1"/>
      <c r="M331" s="1"/>
      <c r="R331">
        <f t="shared" si="24"/>
        <v>-2.4404816514593478E-3</v>
      </c>
      <c r="S331">
        <f t="shared" si="22"/>
        <v>4.2547353393983696E-107</v>
      </c>
      <c r="T331">
        <v>329</v>
      </c>
      <c r="U331">
        <f t="shared" si="23"/>
        <v>168</v>
      </c>
    </row>
    <row r="332" spans="1:21" x14ac:dyDescent="0.25">
      <c r="A332" s="4">
        <v>45777.705555555556</v>
      </c>
      <c r="B332" s="1">
        <v>131.79</v>
      </c>
      <c r="C332" s="1">
        <v>354.35</v>
      </c>
      <c r="D332" s="1">
        <v>19.600000000000001</v>
      </c>
      <c r="F332" s="1">
        <f t="shared" si="21"/>
        <v>-9.8544572468162173E-4</v>
      </c>
      <c r="G332" s="1">
        <f t="shared" si="21"/>
        <v>1.0695949800342275E-2</v>
      </c>
      <c r="H332" s="1">
        <f t="shared" si="21"/>
        <v>1.0214504596528506E-3</v>
      </c>
      <c r="L332" s="1"/>
      <c r="M332" s="1"/>
      <c r="R332">
        <f t="shared" si="24"/>
        <v>3.2195863605940511E-3</v>
      </c>
      <c r="S332">
        <f t="shared" si="22"/>
        <v>2.9619764825862585E-106</v>
      </c>
      <c r="T332">
        <v>330</v>
      </c>
      <c r="U332">
        <f t="shared" si="23"/>
        <v>167</v>
      </c>
    </row>
    <row r="333" spans="1:21" x14ac:dyDescent="0.25">
      <c r="A333" s="4">
        <v>45779.705555555556</v>
      </c>
      <c r="B333" s="1">
        <v>132</v>
      </c>
      <c r="C333" s="1">
        <v>360</v>
      </c>
      <c r="D333" s="1">
        <v>19.12</v>
      </c>
      <c r="F333" s="1">
        <f t="shared" si="21"/>
        <v>1.5934441156386647E-3</v>
      </c>
      <c r="G333" s="1">
        <f t="shared" si="21"/>
        <v>1.5944687455905049E-2</v>
      </c>
      <c r="H333" s="1">
        <f t="shared" si="21"/>
        <v>-2.4489795918367419E-2</v>
      </c>
      <c r="L333" s="1"/>
      <c r="M333" s="1"/>
      <c r="R333">
        <f t="shared" si="24"/>
        <v>-2.0854993040471123E-3</v>
      </c>
      <c r="S333">
        <f t="shared" si="22"/>
        <v>4.9712034586392319E-106</v>
      </c>
      <c r="T333">
        <v>331</v>
      </c>
      <c r="U333">
        <f t="shared" si="23"/>
        <v>166</v>
      </c>
    </row>
    <row r="334" spans="1:21" x14ac:dyDescent="0.25">
      <c r="A334" s="4">
        <v>45782.705555555556</v>
      </c>
      <c r="B334" s="1">
        <v>130.4</v>
      </c>
      <c r="C334" s="1">
        <v>360.05</v>
      </c>
      <c r="D334" s="1">
        <v>19.82</v>
      </c>
      <c r="F334" s="1">
        <f t="shared" si="21"/>
        <v>-1.2121212121212088E-2</v>
      </c>
      <c r="G334" s="1">
        <f t="shared" si="21"/>
        <v>1.388888888889106E-4</v>
      </c>
      <c r="H334" s="1">
        <f t="shared" si="21"/>
        <v>3.661087866108792E-2</v>
      </c>
      <c r="L334" s="1"/>
      <c r="M334" s="1"/>
      <c r="R334">
        <f t="shared" si="24"/>
        <v>7.3885666286294255E-3</v>
      </c>
      <c r="S334">
        <f t="shared" si="22"/>
        <v>2.4958691844124149E-104</v>
      </c>
      <c r="T334">
        <v>332</v>
      </c>
      <c r="U334">
        <f t="shared" si="23"/>
        <v>165</v>
      </c>
    </row>
    <row r="335" spans="1:21" x14ac:dyDescent="0.25">
      <c r="A335" s="4">
        <v>45783.705555555556</v>
      </c>
      <c r="B335" s="1">
        <v>130.41</v>
      </c>
      <c r="C335" s="1">
        <v>358.55</v>
      </c>
      <c r="D335" s="1">
        <v>20.43</v>
      </c>
      <c r="F335" s="1">
        <f t="shared" si="21"/>
        <v>7.6687116564277957E-5</v>
      </c>
      <c r="G335" s="1">
        <f t="shared" si="21"/>
        <v>-4.1660880433272984E-3</v>
      </c>
      <c r="H335" s="1">
        <f t="shared" si="21"/>
        <v>3.0776992936427883E-2</v>
      </c>
      <c r="L335" s="1"/>
      <c r="M335" s="1"/>
      <c r="R335">
        <f t="shared" si="24"/>
        <v>8.0062776028994604E-3</v>
      </c>
      <c r="S335">
        <f t="shared" si="22"/>
        <v>1.1722566659302156E-103</v>
      </c>
      <c r="T335">
        <v>333</v>
      </c>
      <c r="U335">
        <f t="shared" si="23"/>
        <v>164</v>
      </c>
    </row>
    <row r="336" spans="1:21" x14ac:dyDescent="0.25">
      <c r="A336" s="4">
        <v>45784.705555555556</v>
      </c>
      <c r="B336" s="1">
        <v>130.29</v>
      </c>
      <c r="C336" s="1">
        <v>362.34</v>
      </c>
      <c r="D336" s="1">
        <v>20.27</v>
      </c>
      <c r="F336" s="1">
        <f t="shared" si="21"/>
        <v>-9.2017483321837901E-4</v>
      </c>
      <c r="G336" s="1">
        <f t="shared" si="21"/>
        <v>1.0570352809928796E-2</v>
      </c>
      <c r="H336" s="1">
        <f t="shared" si="21"/>
        <v>-7.8316201664219154E-3</v>
      </c>
      <c r="L336" s="1"/>
      <c r="M336" s="1"/>
      <c r="R336">
        <f t="shared" si="24"/>
        <v>5.455673430865499E-4</v>
      </c>
      <c r="S336">
        <f t="shared" si="22"/>
        <v>2.1772993646865627E-105</v>
      </c>
      <c r="T336">
        <v>334</v>
      </c>
      <c r="U336">
        <f t="shared" si="23"/>
        <v>163</v>
      </c>
    </row>
    <row r="337" spans="1:21" x14ac:dyDescent="0.25">
      <c r="A337" s="4">
        <v>45785.705555555556</v>
      </c>
      <c r="B337" s="1">
        <v>133.02000000000001</v>
      </c>
      <c r="C337" s="1">
        <v>359.55</v>
      </c>
      <c r="D337" s="1">
        <v>19.600000000000001</v>
      </c>
      <c r="F337" s="1">
        <f t="shared" si="21"/>
        <v>2.0953258116509499E-2</v>
      </c>
      <c r="G337" s="1">
        <f t="shared" si="21"/>
        <v>-7.6999503229010502E-3</v>
      </c>
      <c r="H337" s="1">
        <f t="shared" si="21"/>
        <v>-3.3053774050320617E-2</v>
      </c>
      <c r="L337" s="1"/>
      <c r="M337" s="1"/>
      <c r="R337">
        <f t="shared" si="24"/>
        <v>-5.9401398770136515E-3</v>
      </c>
      <c r="S337">
        <f t="shared" si="22"/>
        <v>1.0324635977739813E-102</v>
      </c>
      <c r="T337">
        <v>335</v>
      </c>
      <c r="U337">
        <f t="shared" si="23"/>
        <v>162</v>
      </c>
    </row>
    <row r="338" spans="1:21" x14ac:dyDescent="0.25">
      <c r="A338" s="4">
        <v>45786.705555555556</v>
      </c>
      <c r="B338" s="1">
        <v>133.33000000000001</v>
      </c>
      <c r="C338" s="1">
        <v>358.1</v>
      </c>
      <c r="D338" s="1">
        <v>19.690000000000001</v>
      </c>
      <c r="F338" s="1">
        <f t="shared" si="21"/>
        <v>2.3304766200571425E-3</v>
      </c>
      <c r="G338" s="1">
        <f t="shared" si="21"/>
        <v>-4.0328188012793698E-3</v>
      </c>
      <c r="H338" s="1">
        <f t="shared" si="21"/>
        <v>4.5918367346937661E-3</v>
      </c>
      <c r="L338" s="1"/>
      <c r="M338" s="1"/>
      <c r="R338">
        <f t="shared" si="24"/>
        <v>8.6684836604146204E-4</v>
      </c>
      <c r="S338">
        <f t="shared" si="22"/>
        <v>8.7948343912207141E-104</v>
      </c>
      <c r="T338">
        <v>336</v>
      </c>
      <c r="U338">
        <f t="shared" si="23"/>
        <v>161</v>
      </c>
    </row>
    <row r="339" spans="1:21" x14ac:dyDescent="0.25">
      <c r="A339" s="4">
        <v>45789.705555555556</v>
      </c>
      <c r="B339" s="1">
        <v>133.38</v>
      </c>
      <c r="C339" s="1">
        <v>372.2</v>
      </c>
      <c r="D339" s="1">
        <v>19.239999999999998</v>
      </c>
      <c r="F339" s="1">
        <f t="shared" si="21"/>
        <v>3.7500937523415878E-4</v>
      </c>
      <c r="G339" s="1">
        <f t="shared" si="21"/>
        <v>3.9374476403239322E-2</v>
      </c>
      <c r="H339" s="1">
        <f t="shared" si="21"/>
        <v>-2.2854240731335795E-2</v>
      </c>
      <c r="L339" s="1"/>
      <c r="M339" s="1"/>
      <c r="R339">
        <f t="shared" si="24"/>
        <v>5.0685735141413049E-3</v>
      </c>
      <c r="S339">
        <f t="shared" si="22"/>
        <v>1.202743136368267E-101</v>
      </c>
      <c r="T339">
        <v>337</v>
      </c>
      <c r="U339">
        <f t="shared" si="23"/>
        <v>160</v>
      </c>
    </row>
    <row r="340" spans="1:21" x14ac:dyDescent="0.25">
      <c r="A340" s="4">
        <v>45790.705555555556</v>
      </c>
      <c r="B340" s="1">
        <v>135.68</v>
      </c>
      <c r="C340" s="1">
        <v>369.95</v>
      </c>
      <c r="D340" s="1">
        <v>19.07</v>
      </c>
      <c r="F340" s="1">
        <f t="shared" si="21"/>
        <v>1.7243964612385643E-2</v>
      </c>
      <c r="G340" s="1">
        <f t="shared" si="21"/>
        <v>-6.0451370231058288E-3</v>
      </c>
      <c r="H340" s="1">
        <f t="shared" si="21"/>
        <v>-8.8357588357587113E-3</v>
      </c>
      <c r="L340" s="1"/>
      <c r="M340" s="1"/>
      <c r="R340">
        <f t="shared" si="24"/>
        <v>7.0892062605633051E-4</v>
      </c>
      <c r="S340">
        <f t="shared" si="22"/>
        <v>9.411451391724802E-103</v>
      </c>
      <c r="T340">
        <v>338</v>
      </c>
      <c r="U340">
        <f t="shared" si="23"/>
        <v>159</v>
      </c>
    </row>
    <row r="341" spans="1:21" x14ac:dyDescent="0.25">
      <c r="A341" s="4">
        <v>45791.705555555556</v>
      </c>
      <c r="B341" s="1">
        <v>135.21</v>
      </c>
      <c r="C341" s="1">
        <v>371.95</v>
      </c>
      <c r="D341" s="1">
        <v>18.75</v>
      </c>
      <c r="F341" s="1">
        <f t="shared" si="21"/>
        <v>-3.4640330188678847E-3</v>
      </c>
      <c r="G341" s="1">
        <f t="shared" si="21"/>
        <v>5.4061359643196027E-3</v>
      </c>
      <c r="H341" s="1">
        <f t="shared" si="21"/>
        <v>-1.678028316727842E-2</v>
      </c>
      <c r="L341" s="1"/>
      <c r="M341" s="1"/>
      <c r="R341">
        <f t="shared" si="24"/>
        <v>-4.4514540665480115E-3</v>
      </c>
      <c r="S341">
        <f t="shared" si="22"/>
        <v>1.4843118781790615E-100</v>
      </c>
      <c r="T341">
        <v>339</v>
      </c>
      <c r="U341">
        <f t="shared" si="23"/>
        <v>158</v>
      </c>
    </row>
    <row r="342" spans="1:21" x14ac:dyDescent="0.25">
      <c r="A342" s="4">
        <v>45792.705555555556</v>
      </c>
      <c r="B342" s="1">
        <v>136.07</v>
      </c>
      <c r="C342" s="1">
        <v>376.75</v>
      </c>
      <c r="D342" s="1">
        <v>19.2</v>
      </c>
      <c r="F342" s="1">
        <f t="shared" si="21"/>
        <v>6.3604762961317896E-3</v>
      </c>
      <c r="G342" s="1">
        <f t="shared" si="21"/>
        <v>1.2904960344132244E-2</v>
      </c>
      <c r="H342" s="1">
        <f t="shared" si="21"/>
        <v>2.4000000000000021E-2</v>
      </c>
      <c r="L342" s="1"/>
      <c r="M342" s="1"/>
      <c r="R342">
        <f t="shared" si="24"/>
        <v>1.2979630992079216E-2</v>
      </c>
      <c r="S342">
        <f t="shared" si="22"/>
        <v>5.0478454891680365E-99</v>
      </c>
      <c r="T342">
        <v>340</v>
      </c>
      <c r="U342">
        <f t="shared" si="23"/>
        <v>157</v>
      </c>
    </row>
    <row r="343" spans="1:21" x14ac:dyDescent="0.25">
      <c r="A343" s="4">
        <v>45793.705555555556</v>
      </c>
      <c r="B343" s="1">
        <v>135.94999999999999</v>
      </c>
      <c r="C343" s="1">
        <v>378.35</v>
      </c>
      <c r="D343" s="1">
        <v>18.899999999999999</v>
      </c>
      <c r="F343" s="1">
        <f t="shared" si="21"/>
        <v>-8.8189902256197161E-4</v>
      </c>
      <c r="G343" s="1">
        <f t="shared" si="21"/>
        <v>4.2468480424684429E-3</v>
      </c>
      <c r="H343" s="1">
        <f t="shared" si="21"/>
        <v>-1.5625E-2</v>
      </c>
      <c r="L343" s="1"/>
      <c r="M343" s="1"/>
      <c r="R343">
        <f t="shared" si="24"/>
        <v>-3.6780152940280595E-3</v>
      </c>
      <c r="S343">
        <f t="shared" si="22"/>
        <v>1.6213187845035845E-99</v>
      </c>
      <c r="T343">
        <v>341</v>
      </c>
      <c r="U343">
        <f t="shared" si="23"/>
        <v>156</v>
      </c>
    </row>
    <row r="344" spans="1:21" x14ac:dyDescent="0.25">
      <c r="A344" s="4">
        <v>45796.705555555556</v>
      </c>
      <c r="B344" s="1">
        <v>136.38</v>
      </c>
      <c r="C344" s="1">
        <v>377.54</v>
      </c>
      <c r="D344" s="1">
        <v>19.11</v>
      </c>
      <c r="F344" s="1">
        <f t="shared" si="21"/>
        <v>3.1629275468922913E-3</v>
      </c>
      <c r="G344" s="1">
        <f t="shared" si="21"/>
        <v>-2.1408748513281894E-3</v>
      </c>
      <c r="H344" s="1">
        <f t="shared" si="21"/>
        <v>1.1111111111111072E-2</v>
      </c>
      <c r="L344" s="1"/>
      <c r="M344" s="1"/>
      <c r="R344">
        <f t="shared" si="24"/>
        <v>3.6399491420025525E-3</v>
      </c>
      <c r="S344">
        <f t="shared" si="22"/>
        <v>6.3517292204297064E-99</v>
      </c>
      <c r="T344">
        <v>342</v>
      </c>
      <c r="U344">
        <f t="shared" si="23"/>
        <v>155</v>
      </c>
    </row>
    <row r="345" spans="1:21" x14ac:dyDescent="0.25">
      <c r="A345" s="4">
        <v>45797.705555555556</v>
      </c>
      <c r="B345" s="1">
        <v>136.84</v>
      </c>
      <c r="C345" s="1">
        <v>377.55</v>
      </c>
      <c r="D345" s="1">
        <v>19.55</v>
      </c>
      <c r="F345" s="1">
        <f t="shared" si="21"/>
        <v>3.3729285819035226E-3</v>
      </c>
      <c r="G345" s="1">
        <f t="shared" si="21"/>
        <v>2.6487259628060755E-5</v>
      </c>
      <c r="H345" s="1">
        <f t="shared" si="21"/>
        <v>2.3024594453165959E-2</v>
      </c>
      <c r="L345" s="1"/>
      <c r="M345" s="1"/>
      <c r="R345">
        <f t="shared" si="24"/>
        <v>7.9272030884092633E-3</v>
      </c>
      <c r="S345">
        <f t="shared" si="22"/>
        <v>1.2050395605226001E-97</v>
      </c>
      <c r="T345">
        <v>343</v>
      </c>
      <c r="U345">
        <f t="shared" si="23"/>
        <v>154</v>
      </c>
    </row>
    <row r="346" spans="1:21" x14ac:dyDescent="0.25">
      <c r="A346" s="4">
        <v>45798.705555555556</v>
      </c>
      <c r="B346" s="1">
        <v>134.72</v>
      </c>
      <c r="C346" s="1">
        <v>369.8</v>
      </c>
      <c r="D346" s="1">
        <v>19.600000000000001</v>
      </c>
      <c r="F346" s="1">
        <f t="shared" si="21"/>
        <v>-1.549254603916983E-2</v>
      </c>
      <c r="G346" s="1">
        <f t="shared" si="21"/>
        <v>-2.0527082505628402E-2</v>
      </c>
      <c r="H346" s="1">
        <f t="shared" si="21"/>
        <v>2.5575447570331811E-3</v>
      </c>
      <c r="L346" s="1"/>
      <c r="M346" s="1"/>
      <c r="R346">
        <f t="shared" si="24"/>
        <v>-1.0038625136329514E-2</v>
      </c>
      <c r="S346">
        <f t="shared" si="22"/>
        <v>7.7298274765471848E-97</v>
      </c>
      <c r="T346">
        <v>344</v>
      </c>
      <c r="U346">
        <f t="shared" si="23"/>
        <v>153</v>
      </c>
    </row>
    <row r="347" spans="1:21" x14ac:dyDescent="0.25">
      <c r="A347" s="4">
        <v>45799.705555555556</v>
      </c>
      <c r="B347" s="1">
        <v>134.1</v>
      </c>
      <c r="C347" s="1">
        <v>370.8</v>
      </c>
      <c r="D347" s="1">
        <v>19.489999999999998</v>
      </c>
      <c r="F347" s="1">
        <f t="shared" si="21"/>
        <v>-4.6021377672209596E-3</v>
      </c>
      <c r="G347" s="1">
        <f t="shared" si="21"/>
        <v>2.7041644131964304E-3</v>
      </c>
      <c r="H347" s="1">
        <f t="shared" si="21"/>
        <v>-5.6122448979593065E-3</v>
      </c>
      <c r="L347" s="1"/>
      <c r="M347" s="1"/>
      <c r="R347">
        <f t="shared" si="24"/>
        <v>-2.2530654755951512E-3</v>
      </c>
      <c r="S347">
        <f t="shared" si="22"/>
        <v>1.5575031860916382E-97</v>
      </c>
      <c r="T347">
        <v>345</v>
      </c>
      <c r="U347">
        <f t="shared" si="23"/>
        <v>152</v>
      </c>
    </row>
    <row r="348" spans="1:21" x14ac:dyDescent="0.25">
      <c r="A348" s="4">
        <v>45800.705555555556</v>
      </c>
      <c r="B348" s="1">
        <v>134.62</v>
      </c>
      <c r="C348" s="1">
        <v>367.4</v>
      </c>
      <c r="D348" s="1">
        <v>19.829999999999998</v>
      </c>
      <c r="F348" s="1">
        <f t="shared" si="21"/>
        <v>3.8777032065624439E-3</v>
      </c>
      <c r="G348" s="1">
        <f t="shared" si="21"/>
        <v>-9.1693635382956717E-3</v>
      </c>
      <c r="H348" s="1">
        <f t="shared" si="21"/>
        <v>1.7444843509492047E-2</v>
      </c>
      <c r="L348" s="1"/>
      <c r="M348" s="1"/>
      <c r="R348">
        <f t="shared" si="24"/>
        <v>3.6459549533276467E-3</v>
      </c>
      <c r="S348">
        <f t="shared" si="22"/>
        <v>1.6314129544258554E-96</v>
      </c>
      <c r="T348">
        <v>346</v>
      </c>
      <c r="U348">
        <f t="shared" si="23"/>
        <v>151</v>
      </c>
    </row>
    <row r="349" spans="1:21" x14ac:dyDescent="0.25">
      <c r="A349" s="4">
        <v>45803.705555555556</v>
      </c>
      <c r="B349" s="1">
        <v>134.93</v>
      </c>
      <c r="C349" s="1">
        <v>371.79</v>
      </c>
      <c r="D349" s="1">
        <v>19.95</v>
      </c>
      <c r="F349" s="1">
        <f t="shared" si="21"/>
        <v>2.3027781904620959E-3</v>
      </c>
      <c r="G349" s="1">
        <f t="shared" si="21"/>
        <v>1.1948829613500411E-2</v>
      </c>
      <c r="H349" s="1">
        <f t="shared" si="21"/>
        <v>6.0514372163389396E-3</v>
      </c>
      <c r="L349" s="1"/>
      <c r="M349" s="1"/>
      <c r="R349">
        <f t="shared" si="24"/>
        <v>6.0909135060904342E-3</v>
      </c>
      <c r="S349">
        <f t="shared" si="22"/>
        <v>1.8212357449588356E-95</v>
      </c>
      <c r="T349">
        <v>347</v>
      </c>
      <c r="U349">
        <f t="shared" si="23"/>
        <v>150</v>
      </c>
    </row>
    <row r="350" spans="1:21" x14ac:dyDescent="0.25">
      <c r="A350" s="4">
        <v>45804.705555555556</v>
      </c>
      <c r="B350" s="1">
        <v>136.29</v>
      </c>
      <c r="C350" s="1">
        <v>375</v>
      </c>
      <c r="D350" s="1">
        <v>19.510000000000002</v>
      </c>
      <c r="F350" s="1">
        <f t="shared" si="21"/>
        <v>1.0079300377973555E-2</v>
      </c>
      <c r="G350" s="1">
        <f t="shared" si="21"/>
        <v>8.6339062373921305E-3</v>
      </c>
      <c r="H350" s="1">
        <f t="shared" si="21"/>
        <v>-2.2055137844611439E-2</v>
      </c>
      <c r="L350" s="1"/>
      <c r="M350" s="1"/>
      <c r="R350">
        <f t="shared" si="24"/>
        <v>-1.0025793687737277E-3</v>
      </c>
      <c r="S350">
        <f t="shared" si="22"/>
        <v>1.9737803403933123E-96</v>
      </c>
      <c r="T350">
        <v>348</v>
      </c>
      <c r="U350">
        <f t="shared" si="23"/>
        <v>149</v>
      </c>
    </row>
    <row r="351" spans="1:21" x14ac:dyDescent="0.25">
      <c r="A351" s="4">
        <v>45805.705555555556</v>
      </c>
      <c r="B351" s="1">
        <v>135.68</v>
      </c>
      <c r="C351" s="1">
        <v>376.85</v>
      </c>
      <c r="D351" s="1">
        <v>19.63</v>
      </c>
      <c r="F351" s="1">
        <f t="shared" si="21"/>
        <v>-4.4757502384620285E-3</v>
      </c>
      <c r="G351" s="1">
        <f t="shared" si="21"/>
        <v>4.9333333333334561E-3</v>
      </c>
      <c r="H351" s="1">
        <f t="shared" si="21"/>
        <v>6.1506919528444559E-3</v>
      </c>
      <c r="L351" s="1"/>
      <c r="M351" s="1"/>
      <c r="R351">
        <f t="shared" si="24"/>
        <v>1.9824825143147651E-3</v>
      </c>
      <c r="S351">
        <f t="shared" si="22"/>
        <v>3.0870240606243969E-95</v>
      </c>
      <c r="T351">
        <v>349</v>
      </c>
      <c r="U351">
        <f t="shared" si="23"/>
        <v>148</v>
      </c>
    </row>
    <row r="352" spans="1:21" x14ac:dyDescent="0.25">
      <c r="A352" s="4">
        <v>45806.705555555556</v>
      </c>
      <c r="B352" s="1">
        <v>135.33000000000001</v>
      </c>
      <c r="C352" s="1">
        <v>375.65</v>
      </c>
      <c r="D352" s="1">
        <v>19.670000000000002</v>
      </c>
      <c r="F352" s="1">
        <f t="shared" si="21"/>
        <v>-2.5795990566037652E-3</v>
      </c>
      <c r="G352" s="1">
        <f t="shared" si="21"/>
        <v>-3.1842908318960861E-3</v>
      </c>
      <c r="H352" s="1">
        <f t="shared" si="21"/>
        <v>2.037697401936045E-3</v>
      </c>
      <c r="L352" s="1"/>
      <c r="M352" s="1"/>
      <c r="R352">
        <f t="shared" si="24"/>
        <v>-1.1178577459691418E-3</v>
      </c>
      <c r="S352">
        <f t="shared" si="22"/>
        <v>3.9260367074220694E-95</v>
      </c>
      <c r="T352">
        <v>350</v>
      </c>
      <c r="U352">
        <f t="shared" si="23"/>
        <v>147</v>
      </c>
    </row>
    <row r="353" spans="1:21" x14ac:dyDescent="0.25">
      <c r="A353" s="4">
        <v>45807.705555555556</v>
      </c>
      <c r="B353" s="1">
        <v>133.87</v>
      </c>
      <c r="C353" s="1">
        <v>378.8</v>
      </c>
      <c r="D353" s="1">
        <v>19.71</v>
      </c>
      <c r="F353" s="1">
        <f t="shared" si="21"/>
        <v>-1.0788443065100184E-2</v>
      </c>
      <c r="G353" s="1">
        <f t="shared" si="21"/>
        <v>8.3854651936643432E-3</v>
      </c>
      <c r="H353" s="1">
        <f t="shared" si="21"/>
        <v>2.0335536349771477E-3</v>
      </c>
      <c r="L353" s="1"/>
      <c r="M353" s="1"/>
      <c r="R353">
        <f t="shared" si="24"/>
        <v>-1.1082727093760794E-4</v>
      </c>
      <c r="S353">
        <f t="shared" si="22"/>
        <v>1.5435991981979822E-96</v>
      </c>
      <c r="T353">
        <v>351</v>
      </c>
      <c r="U353">
        <f t="shared" si="23"/>
        <v>146</v>
      </c>
    </row>
    <row r="354" spans="1:21" x14ac:dyDescent="0.25">
      <c r="A354" s="4">
        <v>45810.705555555556</v>
      </c>
      <c r="B354" s="1">
        <v>133.63</v>
      </c>
      <c r="C354" s="1">
        <v>377.95</v>
      </c>
      <c r="D354" s="1">
        <v>20.07</v>
      </c>
      <c r="F354" s="1">
        <f t="shared" si="21"/>
        <v>-1.7927840442221177E-3</v>
      </c>
      <c r="G354" s="1">
        <f t="shared" si="21"/>
        <v>-2.2439281942978617E-3</v>
      </c>
      <c r="H354" s="1">
        <f t="shared" si="21"/>
        <v>1.8264840182648401E-2</v>
      </c>
      <c r="L354" s="1"/>
      <c r="M354" s="1"/>
      <c r="R354">
        <f t="shared" si="24"/>
        <v>4.2684383832385271E-3</v>
      </c>
      <c r="S354">
        <f t="shared" si="22"/>
        <v>9.1588150812298317E-93</v>
      </c>
      <c r="T354">
        <v>352</v>
      </c>
      <c r="U354">
        <f t="shared" si="23"/>
        <v>145</v>
      </c>
    </row>
    <row r="355" spans="1:21" x14ac:dyDescent="0.25">
      <c r="A355" s="4">
        <v>45811.705555555556</v>
      </c>
      <c r="B355" s="1">
        <v>134.4</v>
      </c>
      <c r="C355" s="1">
        <v>377.11</v>
      </c>
      <c r="D355" s="1">
        <v>19.79</v>
      </c>
      <c r="F355" s="1">
        <f t="shared" si="21"/>
        <v>5.7621791513882137E-3</v>
      </c>
      <c r="G355" s="1">
        <f t="shared" si="21"/>
        <v>-2.2225162058472359E-3</v>
      </c>
      <c r="H355" s="1">
        <f t="shared" si="21"/>
        <v>-1.3951170901843613E-2</v>
      </c>
      <c r="L355" s="1"/>
      <c r="M355" s="1"/>
      <c r="R355">
        <f t="shared" si="24"/>
        <v>-3.1234523868907912E-3</v>
      </c>
      <c r="S355">
        <f t="shared" si="22"/>
        <v>1.9616929391039001E-92</v>
      </c>
      <c r="T355">
        <v>353</v>
      </c>
      <c r="U355">
        <f t="shared" si="23"/>
        <v>144</v>
      </c>
    </row>
    <row r="356" spans="1:21" x14ac:dyDescent="0.25">
      <c r="A356" s="4">
        <v>45812.705555555556</v>
      </c>
      <c r="B356" s="1">
        <v>133.88999999999999</v>
      </c>
      <c r="C356" s="1">
        <v>377.6</v>
      </c>
      <c r="D356" s="1">
        <v>19.920000000000002</v>
      </c>
      <c r="F356" s="1">
        <f t="shared" si="21"/>
        <v>-3.794642857143038E-3</v>
      </c>
      <c r="G356" s="1">
        <f t="shared" si="21"/>
        <v>1.2993556256795102E-3</v>
      </c>
      <c r="H356" s="1">
        <f t="shared" si="21"/>
        <v>6.5689742294088305E-3</v>
      </c>
      <c r="L356" s="1"/>
      <c r="M356" s="1"/>
      <c r="R356">
        <f t="shared" si="24"/>
        <v>1.2221060993835911E-3</v>
      </c>
      <c r="S356">
        <f t="shared" si="22"/>
        <v>1.2012656628976969E-92</v>
      </c>
      <c r="T356">
        <v>354</v>
      </c>
      <c r="U356">
        <f t="shared" si="23"/>
        <v>143</v>
      </c>
    </row>
    <row r="357" spans="1:21" x14ac:dyDescent="0.25">
      <c r="A357" s="4">
        <v>45813.705555555556</v>
      </c>
      <c r="B357" s="1">
        <v>133.13</v>
      </c>
      <c r="C357" s="1">
        <v>371.85</v>
      </c>
      <c r="D357" s="1">
        <v>19.61</v>
      </c>
      <c r="F357" s="1">
        <f t="shared" si="21"/>
        <v>-5.6763014414817903E-3</v>
      </c>
      <c r="G357" s="1">
        <f t="shared" si="21"/>
        <v>-1.5227754237288171E-2</v>
      </c>
      <c r="H357" s="1">
        <f t="shared" si="21"/>
        <v>-1.5562248995984018E-2</v>
      </c>
      <c r="L357" s="1"/>
      <c r="M357" s="1"/>
      <c r="R357">
        <f t="shared" si="24"/>
        <v>-1.0939891402426193E-2</v>
      </c>
      <c r="S357">
        <f t="shared" si="22"/>
        <v>3.8504124524199974E-90</v>
      </c>
      <c r="T357">
        <v>355</v>
      </c>
      <c r="U357">
        <f t="shared" si="23"/>
        <v>142</v>
      </c>
    </row>
    <row r="358" spans="1:21" x14ac:dyDescent="0.25">
      <c r="A358" s="4">
        <v>45814.705555555556</v>
      </c>
      <c r="B358" s="1">
        <v>132.94999999999999</v>
      </c>
      <c r="C358" s="1">
        <v>374.7</v>
      </c>
      <c r="D358" s="1">
        <v>19.29</v>
      </c>
      <c r="F358" s="1">
        <f t="shared" si="21"/>
        <v>-1.3520618943889673E-3</v>
      </c>
      <c r="G358" s="1">
        <f t="shared" si="21"/>
        <v>7.664380798709125E-3</v>
      </c>
      <c r="H358" s="1">
        <f t="shared" si="21"/>
        <v>-1.6318204997450292E-2</v>
      </c>
      <c r="L358" s="1"/>
      <c r="M358" s="1"/>
      <c r="R358">
        <f t="shared" si="24"/>
        <v>-3.0017658279390411E-3</v>
      </c>
      <c r="S358">
        <f t="shared" si="22"/>
        <v>1.1595643140529023E-90</v>
      </c>
      <c r="T358">
        <v>356</v>
      </c>
      <c r="U358">
        <f t="shared" si="23"/>
        <v>141</v>
      </c>
    </row>
    <row r="359" spans="1:21" x14ac:dyDescent="0.25">
      <c r="A359" s="4">
        <v>45817.705555555556</v>
      </c>
      <c r="B359" s="1">
        <v>132.62</v>
      </c>
      <c r="C359" s="1">
        <v>374.45</v>
      </c>
      <c r="D359" s="1">
        <v>19.350000000000001</v>
      </c>
      <c r="F359" s="1">
        <f t="shared" si="21"/>
        <v>-2.4821361414064658E-3</v>
      </c>
      <c r="G359" s="1">
        <f t="shared" si="21"/>
        <v>-6.6720042700829651E-4</v>
      </c>
      <c r="H359" s="1">
        <f t="shared" si="21"/>
        <v>3.1104199066875893E-3</v>
      </c>
      <c r="L359" s="1"/>
      <c r="M359" s="1"/>
      <c r="R359">
        <f t="shared" si="24"/>
        <v>-1.1674998518151664E-5</v>
      </c>
      <c r="S359">
        <f t="shared" si="22"/>
        <v>7.0164087634448764E-95</v>
      </c>
      <c r="T359">
        <v>357</v>
      </c>
      <c r="U359">
        <f t="shared" si="23"/>
        <v>140</v>
      </c>
    </row>
    <row r="360" spans="1:21" x14ac:dyDescent="0.25">
      <c r="A360" s="4">
        <v>45818.705555555556</v>
      </c>
      <c r="B360" s="1">
        <v>133.33000000000001</v>
      </c>
      <c r="C360" s="1">
        <v>377.2</v>
      </c>
      <c r="D360" s="1">
        <v>19.38</v>
      </c>
      <c r="F360" s="1">
        <f t="shared" si="21"/>
        <v>5.3536419846178518E-3</v>
      </c>
      <c r="G360" s="1">
        <f t="shared" si="21"/>
        <v>7.3441046868740756E-3</v>
      </c>
      <c r="H360" s="1">
        <f t="shared" si="21"/>
        <v>1.5503875968991832E-3</v>
      </c>
      <c r="L360" s="1"/>
      <c r="M360" s="1"/>
      <c r="R360">
        <f t="shared" si="24"/>
        <v>4.2744402805173333E-3</v>
      </c>
      <c r="S360">
        <f t="shared" si="22"/>
        <v>3.7620079849584809E-89</v>
      </c>
      <c r="T360">
        <v>358</v>
      </c>
      <c r="U360">
        <f t="shared" si="23"/>
        <v>139</v>
      </c>
    </row>
    <row r="361" spans="1:21" x14ac:dyDescent="0.25">
      <c r="A361" s="4">
        <v>45819.705555555556</v>
      </c>
      <c r="B361" s="1">
        <v>134</v>
      </c>
      <c r="C361" s="1">
        <v>374.2</v>
      </c>
      <c r="D361" s="1">
        <v>19.39</v>
      </c>
      <c r="F361" s="1">
        <f t="shared" si="21"/>
        <v>5.0251256281406143E-3</v>
      </c>
      <c r="G361" s="1">
        <f t="shared" si="21"/>
        <v>-7.9533404029692445E-3</v>
      </c>
      <c r="H361" s="1">
        <f t="shared" si="21"/>
        <v>5.1599587203310371E-4</v>
      </c>
      <c r="L361" s="1"/>
      <c r="M361" s="1"/>
      <c r="R361">
        <f t="shared" si="24"/>
        <v>-7.2366567083865792E-4</v>
      </c>
      <c r="S361">
        <f t="shared" si="22"/>
        <v>4.3131755925766006E-90</v>
      </c>
      <c r="T361">
        <v>359</v>
      </c>
      <c r="U361">
        <f t="shared" si="23"/>
        <v>138</v>
      </c>
    </row>
    <row r="362" spans="1:21" x14ac:dyDescent="0.25">
      <c r="A362" s="4">
        <v>45820.705555555556</v>
      </c>
      <c r="B362" s="1">
        <v>134.66</v>
      </c>
      <c r="C362" s="1">
        <v>375.45</v>
      </c>
      <c r="D362" s="1">
        <v>19.62</v>
      </c>
      <c r="F362" s="1">
        <f t="shared" si="21"/>
        <v>4.9253731343283924E-3</v>
      </c>
      <c r="G362" s="1">
        <f t="shared" si="21"/>
        <v>3.3404596472474957E-3</v>
      </c>
      <c r="H362" s="1">
        <f t="shared" si="21"/>
        <v>1.186178442496133E-2</v>
      </c>
      <c r="L362" s="1"/>
      <c r="M362" s="1"/>
      <c r="R362">
        <f t="shared" si="24"/>
        <v>6.0382851619611658E-3</v>
      </c>
      <c r="S362">
        <f t="shared" si="22"/>
        <v>1.2011809227792602E-87</v>
      </c>
      <c r="T362">
        <v>360</v>
      </c>
      <c r="U362">
        <f t="shared" si="23"/>
        <v>137</v>
      </c>
    </row>
    <row r="363" spans="1:21" x14ac:dyDescent="0.25">
      <c r="A363" s="4">
        <v>45821.705555555556</v>
      </c>
      <c r="B363" s="1">
        <v>134.11000000000001</v>
      </c>
      <c r="C363" s="1">
        <v>371.68</v>
      </c>
      <c r="D363" s="1">
        <v>19.87</v>
      </c>
      <c r="F363" s="1">
        <f t="shared" si="21"/>
        <v>-4.0843606119113085E-3</v>
      </c>
      <c r="G363" s="1">
        <f t="shared" si="21"/>
        <v>-1.0041283792781908E-2</v>
      </c>
      <c r="H363" s="1">
        <f t="shared" si="21"/>
        <v>1.2742099898063186E-2</v>
      </c>
      <c r="L363" s="1"/>
      <c r="M363" s="1"/>
      <c r="R363">
        <f t="shared" si="24"/>
        <v>-4.1506335198900806E-4</v>
      </c>
      <c r="S363">
        <f t="shared" si="22"/>
        <v>2.2702305181581779E-89</v>
      </c>
      <c r="T363">
        <v>361</v>
      </c>
      <c r="U363">
        <f t="shared" si="23"/>
        <v>136</v>
      </c>
    </row>
    <row r="364" spans="1:21" x14ac:dyDescent="0.25">
      <c r="A364" s="4">
        <v>45824.705555555556</v>
      </c>
      <c r="B364" s="1">
        <v>136.06</v>
      </c>
      <c r="C364" s="1">
        <v>371.3</v>
      </c>
      <c r="D364" s="1">
        <v>19.399999999999999</v>
      </c>
      <c r="F364" s="1">
        <f t="shared" si="21"/>
        <v>1.4540302736559374E-2</v>
      </c>
      <c r="G364" s="1">
        <f t="shared" si="21"/>
        <v>-1.0223848471803132E-3</v>
      </c>
      <c r="H364" s="1">
        <f t="shared" si="21"/>
        <v>-2.3653749370911026E-2</v>
      </c>
      <c r="L364" s="1"/>
      <c r="M364" s="1"/>
      <c r="R364">
        <f t="shared" si="24"/>
        <v>-3.0407494444595904E-3</v>
      </c>
      <c r="S364">
        <f t="shared" si="22"/>
        <v>4.8737409623876935E-87</v>
      </c>
      <c r="T364">
        <v>362</v>
      </c>
      <c r="U364">
        <f t="shared" si="23"/>
        <v>135</v>
      </c>
    </row>
    <row r="365" spans="1:21" x14ac:dyDescent="0.25">
      <c r="A365" s="4">
        <v>45826.705555555556</v>
      </c>
      <c r="B365" s="1">
        <v>135.58000000000001</v>
      </c>
      <c r="C365" s="1">
        <v>369.2</v>
      </c>
      <c r="D365" s="1">
        <v>19.36</v>
      </c>
      <c r="F365" s="1">
        <f t="shared" si="21"/>
        <v>-3.5278553579302097E-3</v>
      </c>
      <c r="G365" s="1">
        <f t="shared" si="21"/>
        <v>-5.6558039321303877E-3</v>
      </c>
      <c r="H365" s="1">
        <f t="shared" si="21"/>
        <v>-2.0618556701030855E-3</v>
      </c>
      <c r="L365" s="1"/>
      <c r="M365" s="1"/>
      <c r="R365">
        <f t="shared" si="24"/>
        <v>-3.3736544880491048E-3</v>
      </c>
      <c r="S365">
        <f t="shared" si="22"/>
        <v>2.3997299224562369E-86</v>
      </c>
      <c r="T365">
        <v>363</v>
      </c>
      <c r="U365">
        <f t="shared" si="23"/>
        <v>134</v>
      </c>
    </row>
    <row r="366" spans="1:21" x14ac:dyDescent="0.25">
      <c r="A366" s="4">
        <v>45828.705555555556</v>
      </c>
      <c r="B366" s="1">
        <v>134.04</v>
      </c>
      <c r="C366" s="1">
        <v>369.75</v>
      </c>
      <c r="D366" s="1">
        <v>19.420000000000002</v>
      </c>
      <c r="F366" s="1">
        <f t="shared" si="21"/>
        <v>-1.1358607464227899E-2</v>
      </c>
      <c r="G366" s="1">
        <f t="shared" si="21"/>
        <v>1.4897074756230477E-3</v>
      </c>
      <c r="H366" s="1">
        <f t="shared" si="21"/>
        <v>3.0991735537191367E-3</v>
      </c>
      <c r="L366" s="1"/>
      <c r="M366" s="1"/>
      <c r="R366">
        <f t="shared" si="24"/>
        <v>-2.0309179304657142E-3</v>
      </c>
      <c r="S366">
        <f t="shared" si="22"/>
        <v>3.478611282082148E-86</v>
      </c>
      <c r="T366">
        <v>364</v>
      </c>
      <c r="U366">
        <f t="shared" si="23"/>
        <v>133</v>
      </c>
    </row>
    <row r="367" spans="1:21" x14ac:dyDescent="0.25">
      <c r="A367" s="4">
        <v>45831.705555555556</v>
      </c>
      <c r="B367" s="1">
        <v>133.47</v>
      </c>
      <c r="C367" s="1">
        <v>371.75</v>
      </c>
      <c r="D367" s="1">
        <v>19.41</v>
      </c>
      <c r="F367" s="1">
        <f t="shared" si="21"/>
        <v>-4.2524619516561835E-3</v>
      </c>
      <c r="G367" s="1">
        <f t="shared" si="21"/>
        <v>5.4090601757945667E-3</v>
      </c>
      <c r="H367" s="1">
        <f t="shared" si="21"/>
        <v>-5.14933058702427E-4</v>
      </c>
      <c r="L367" s="1"/>
      <c r="M367" s="1"/>
      <c r="R367">
        <f t="shared" si="24"/>
        <v>1.9249954963078674E-4</v>
      </c>
      <c r="S367">
        <f t="shared" si="22"/>
        <v>1.2500879827252409E-87</v>
      </c>
      <c r="T367">
        <v>365</v>
      </c>
      <c r="U367">
        <f t="shared" si="23"/>
        <v>132</v>
      </c>
    </row>
    <row r="368" spans="1:21" x14ac:dyDescent="0.25">
      <c r="A368" s="4">
        <v>45832.705555555556</v>
      </c>
      <c r="B368" s="1">
        <v>134.07</v>
      </c>
      <c r="C368" s="1">
        <v>377.1</v>
      </c>
      <c r="D368" s="1">
        <v>19.2</v>
      </c>
      <c r="F368" s="1">
        <f t="shared" si="21"/>
        <v>4.4953922229713505E-3</v>
      </c>
      <c r="G368" s="1">
        <f t="shared" si="21"/>
        <v>1.4391392064559527E-2</v>
      </c>
      <c r="H368" s="1">
        <f t="shared" si="21"/>
        <v>-1.0819165378670781E-2</v>
      </c>
      <c r="L368" s="1"/>
      <c r="M368" s="1"/>
      <c r="R368">
        <f t="shared" si="24"/>
        <v>2.4202856726580277E-3</v>
      </c>
      <c r="S368">
        <f t="shared" si="22"/>
        <v>7.9044998559716215E-85</v>
      </c>
      <c r="T368">
        <v>366</v>
      </c>
      <c r="U368">
        <f t="shared" si="23"/>
        <v>131</v>
      </c>
    </row>
    <row r="369" spans="1:21" x14ac:dyDescent="0.25">
      <c r="A369" s="4">
        <v>45833.705555555556</v>
      </c>
      <c r="B369" s="1">
        <v>132.74</v>
      </c>
      <c r="C369" s="1">
        <v>379.5</v>
      </c>
      <c r="D369" s="1">
        <v>19.36</v>
      </c>
      <c r="F369" s="1">
        <f t="shared" si="21"/>
        <v>-9.9201909450286063E-3</v>
      </c>
      <c r="G369" s="1">
        <f t="shared" si="21"/>
        <v>6.364359586316537E-3</v>
      </c>
      <c r="H369" s="1">
        <f t="shared" si="21"/>
        <v>8.3333333333333037E-3</v>
      </c>
      <c r="L369" s="1"/>
      <c r="M369" s="1"/>
      <c r="R369">
        <f t="shared" si="24"/>
        <v>1.4332505923863705E-3</v>
      </c>
      <c r="S369">
        <f t="shared" si="22"/>
        <v>1.1087800093395082E-84</v>
      </c>
      <c r="T369">
        <v>367</v>
      </c>
      <c r="U369">
        <f t="shared" si="23"/>
        <v>130</v>
      </c>
    </row>
    <row r="370" spans="1:21" x14ac:dyDescent="0.25">
      <c r="A370" s="4">
        <v>45834.705555555556</v>
      </c>
      <c r="B370" s="1">
        <v>134.01</v>
      </c>
      <c r="C370" s="1">
        <v>378.5</v>
      </c>
      <c r="D370" s="1">
        <v>19.16</v>
      </c>
      <c r="F370" s="1">
        <f t="shared" si="21"/>
        <v>9.5675757119177973E-3</v>
      </c>
      <c r="G370" s="1">
        <f t="shared" si="21"/>
        <v>-2.6350461133070047E-3</v>
      </c>
      <c r="H370" s="1">
        <f t="shared" si="21"/>
        <v>-1.0330578512396604E-2</v>
      </c>
      <c r="L370" s="1"/>
      <c r="M370" s="1"/>
      <c r="R370">
        <f t="shared" si="24"/>
        <v>-1.0194146741357439E-3</v>
      </c>
      <c r="S370">
        <f t="shared" si="22"/>
        <v>2.2436901447417296E-84</v>
      </c>
      <c r="T370">
        <v>368</v>
      </c>
      <c r="U370">
        <f t="shared" si="23"/>
        <v>129</v>
      </c>
    </row>
    <row r="371" spans="1:21" x14ac:dyDescent="0.25">
      <c r="A371" s="4">
        <v>45835.705555555556</v>
      </c>
      <c r="B371" s="1">
        <v>133.79</v>
      </c>
      <c r="C371" s="1">
        <v>380</v>
      </c>
      <c r="D371" s="1">
        <v>18.73</v>
      </c>
      <c r="F371" s="1">
        <f t="shared" si="21"/>
        <v>-1.6416685321990476E-3</v>
      </c>
      <c r="G371" s="1">
        <f t="shared" si="21"/>
        <v>3.9630118890356947E-3</v>
      </c>
      <c r="H371" s="1">
        <f t="shared" si="21"/>
        <v>-2.2442588726513502E-2</v>
      </c>
      <c r="L371" s="1"/>
      <c r="M371" s="1"/>
      <c r="R371">
        <f t="shared" si="24"/>
        <v>-6.0363736109030576E-3</v>
      </c>
      <c r="S371">
        <f t="shared" si="22"/>
        <v>3.146830375927274E-82</v>
      </c>
      <c r="T371">
        <v>369</v>
      </c>
      <c r="U371">
        <f t="shared" si="23"/>
        <v>128</v>
      </c>
    </row>
    <row r="372" spans="1:21" x14ac:dyDescent="0.25">
      <c r="A372" s="4">
        <v>45838.705555555556</v>
      </c>
      <c r="B372" s="1">
        <v>135.71</v>
      </c>
      <c r="C372" s="1">
        <v>377.85</v>
      </c>
      <c r="D372" s="1">
        <v>18.77</v>
      </c>
      <c r="F372" s="1">
        <f t="shared" si="21"/>
        <v>1.4350848344420575E-2</v>
      </c>
      <c r="G372" s="1">
        <f t="shared" si="21"/>
        <v>-5.657894736842084E-3</v>
      </c>
      <c r="H372" s="1">
        <f t="shared" si="21"/>
        <v>2.1356113187398496E-3</v>
      </c>
      <c r="L372" s="1"/>
      <c r="M372" s="1"/>
      <c r="R372">
        <f t="shared" si="24"/>
        <v>3.2485694778955016E-3</v>
      </c>
      <c r="S372">
        <f t="shared" si="22"/>
        <v>3.6455698216431463E-82</v>
      </c>
      <c r="T372">
        <v>370</v>
      </c>
      <c r="U372">
        <f t="shared" si="23"/>
        <v>127</v>
      </c>
    </row>
    <row r="373" spans="1:21" x14ac:dyDescent="0.25">
      <c r="A373" s="4">
        <v>45839.705555555556</v>
      </c>
      <c r="B373" s="1">
        <v>136.43</v>
      </c>
      <c r="C373" s="1">
        <v>379.85</v>
      </c>
      <c r="D373" s="1">
        <v>19.04</v>
      </c>
      <c r="F373" s="1">
        <f t="shared" si="21"/>
        <v>5.3054306978115306E-3</v>
      </c>
      <c r="G373" s="1">
        <f t="shared" si="21"/>
        <v>5.2931057297869177E-3</v>
      </c>
      <c r="H373" s="1">
        <f t="shared" si="21"/>
        <v>1.4384656366542403E-2</v>
      </c>
      <c r="L373" s="1"/>
      <c r="M373" s="1"/>
      <c r="R373">
        <f t="shared" si="24"/>
        <v>7.494957838242256E-3</v>
      </c>
      <c r="S373">
        <f t="shared" si="22"/>
        <v>7.7621044224393552E-81</v>
      </c>
      <c r="T373">
        <v>371</v>
      </c>
      <c r="U373">
        <f t="shared" si="23"/>
        <v>126</v>
      </c>
    </row>
    <row r="374" spans="1:21" x14ac:dyDescent="0.25">
      <c r="A374" s="4">
        <v>45840.705555555556</v>
      </c>
      <c r="B374" s="1">
        <v>135.41999999999999</v>
      </c>
      <c r="C374" s="1">
        <v>378.75</v>
      </c>
      <c r="D374" s="1">
        <v>19.04</v>
      </c>
      <c r="F374" s="1">
        <f t="shared" si="21"/>
        <v>-7.4030638422635242E-3</v>
      </c>
      <c r="G374" s="1">
        <f t="shared" si="21"/>
        <v>-2.8958799526129786E-3</v>
      </c>
      <c r="H374" s="1">
        <f t="shared" si="21"/>
        <v>0</v>
      </c>
      <c r="L374" s="1"/>
      <c r="M374" s="1"/>
      <c r="R374">
        <f t="shared" si="24"/>
        <v>-3.0896831384629509E-3</v>
      </c>
      <c r="S374">
        <f t="shared" si="22"/>
        <v>5.2762937897976379E-81</v>
      </c>
      <c r="T374">
        <v>372</v>
      </c>
      <c r="U374">
        <f t="shared" si="23"/>
        <v>125</v>
      </c>
    </row>
    <row r="375" spans="1:21" x14ac:dyDescent="0.25">
      <c r="A375" s="4">
        <v>45841.705555555556</v>
      </c>
      <c r="B375" s="1">
        <v>137.75</v>
      </c>
      <c r="C375" s="1">
        <v>380.25</v>
      </c>
      <c r="D375" s="1">
        <v>18.84</v>
      </c>
      <c r="F375" s="1">
        <f t="shared" si="21"/>
        <v>1.7205730320484447E-2</v>
      </c>
      <c r="G375" s="1">
        <f t="shared" si="21"/>
        <v>3.9603960396039639E-3</v>
      </c>
      <c r="H375" s="1">
        <f t="shared" si="21"/>
        <v>-1.0504201680672232E-2</v>
      </c>
      <c r="L375" s="1"/>
      <c r="M375" s="1"/>
      <c r="R375">
        <f t="shared" si="24"/>
        <v>3.1985774038248535E-3</v>
      </c>
      <c r="S375">
        <f t="shared" si="22"/>
        <v>2.2619073148826394E-80</v>
      </c>
      <c r="T375">
        <v>373</v>
      </c>
      <c r="U375">
        <f t="shared" si="23"/>
        <v>124</v>
      </c>
    </row>
    <row r="376" spans="1:21" x14ac:dyDescent="0.25">
      <c r="A376" s="4">
        <v>45842.705555555556</v>
      </c>
      <c r="B376" s="1">
        <v>138.11000000000001</v>
      </c>
      <c r="C376" s="1">
        <v>379.4</v>
      </c>
      <c r="D376" s="1">
        <v>18.91</v>
      </c>
      <c r="F376" s="1">
        <f t="shared" si="21"/>
        <v>2.6134301270417382E-3</v>
      </c>
      <c r="G376" s="1">
        <f t="shared" si="21"/>
        <v>-2.2353714661407231E-3</v>
      </c>
      <c r="H376" s="1">
        <f t="shared" si="21"/>
        <v>3.7154989384289294E-3</v>
      </c>
      <c r="L376" s="1"/>
      <c r="M376" s="1"/>
      <c r="R376">
        <f t="shared" si="24"/>
        <v>1.2280672797989837E-3</v>
      </c>
      <c r="S376">
        <f t="shared" si="22"/>
        <v>1.3337222220741224E-80</v>
      </c>
      <c r="T376">
        <v>374</v>
      </c>
      <c r="U376">
        <f t="shared" si="23"/>
        <v>123</v>
      </c>
    </row>
    <row r="377" spans="1:21" x14ac:dyDescent="0.25">
      <c r="A377" s="4">
        <v>45845.705555555556</v>
      </c>
      <c r="B377" s="1">
        <v>136.41</v>
      </c>
      <c r="C377" s="1">
        <v>382.75</v>
      </c>
      <c r="D377" s="1">
        <v>19.11</v>
      </c>
      <c r="F377" s="1">
        <f t="shared" si="21"/>
        <v>-1.2309029034827446E-2</v>
      </c>
      <c r="G377" s="1">
        <f t="shared" si="21"/>
        <v>8.8297311544545121E-3</v>
      </c>
      <c r="H377" s="1">
        <f t="shared" si="21"/>
        <v>1.057641459545211E-2</v>
      </c>
      <c r="L377" s="1"/>
      <c r="M377" s="1"/>
      <c r="R377">
        <f t="shared" si="24"/>
        <v>2.1291350145237536E-3</v>
      </c>
      <c r="S377">
        <f t="shared" si="22"/>
        <v>1.6035682998685522E-79</v>
      </c>
      <c r="T377">
        <v>375</v>
      </c>
      <c r="U377">
        <f t="shared" si="23"/>
        <v>122</v>
      </c>
    </row>
    <row r="378" spans="1:21" x14ac:dyDescent="0.25">
      <c r="A378" s="4">
        <v>45846.705555555556</v>
      </c>
      <c r="B378" s="1">
        <v>136.19999999999999</v>
      </c>
      <c r="C378" s="1">
        <v>380.1</v>
      </c>
      <c r="D378" s="1">
        <v>18.760000000000002</v>
      </c>
      <c r="F378" s="1">
        <f t="shared" si="21"/>
        <v>-1.5394765779636055E-3</v>
      </c>
      <c r="G378" s="1">
        <f t="shared" si="21"/>
        <v>-6.9235793598954043E-3</v>
      </c>
      <c r="H378" s="1">
        <f t="shared" si="21"/>
        <v>-1.831501831501825E-2</v>
      </c>
      <c r="L378" s="1"/>
      <c r="M378" s="1"/>
      <c r="R378">
        <f t="shared" si="24"/>
        <v>-8.0334222758631779E-3</v>
      </c>
      <c r="S378">
        <f t="shared" si="22"/>
        <v>9.1315024866667584E-78</v>
      </c>
      <c r="T378">
        <v>376</v>
      </c>
      <c r="U378">
        <f t="shared" si="23"/>
        <v>121</v>
      </c>
    </row>
    <row r="379" spans="1:21" x14ac:dyDescent="0.25">
      <c r="A379" s="4">
        <v>45847.705555555556</v>
      </c>
      <c r="B379" s="1">
        <v>134.44999999999999</v>
      </c>
      <c r="C379" s="1">
        <v>386.65</v>
      </c>
      <c r="D379" s="1">
        <v>19.09</v>
      </c>
      <c r="F379" s="1">
        <f t="shared" si="21"/>
        <v>-1.2848751835536021E-2</v>
      </c>
      <c r="G379" s="1">
        <f t="shared" si="21"/>
        <v>1.7232307287555759E-2</v>
      </c>
      <c r="H379" s="1">
        <f t="shared" si="21"/>
        <v>1.7590618336886799E-2</v>
      </c>
      <c r="L379" s="1"/>
      <c r="M379" s="1"/>
      <c r="R379">
        <f t="shared" si="24"/>
        <v>6.5922521366719618E-3</v>
      </c>
      <c r="S379">
        <f t="shared" si="22"/>
        <v>2.4596236482361849E-77</v>
      </c>
      <c r="T379">
        <v>377</v>
      </c>
      <c r="U379">
        <f t="shared" si="23"/>
        <v>120</v>
      </c>
    </row>
    <row r="380" spans="1:21" x14ac:dyDescent="0.25">
      <c r="A380" s="4">
        <v>45848.705555555556</v>
      </c>
      <c r="B380" s="1">
        <v>133.71</v>
      </c>
      <c r="C380" s="1">
        <v>390.5</v>
      </c>
      <c r="D380" s="1">
        <v>19.239999999999998</v>
      </c>
      <c r="F380" s="1">
        <f t="shared" si="21"/>
        <v>-5.5039047973223232E-3</v>
      </c>
      <c r="G380" s="1">
        <f t="shared" si="21"/>
        <v>9.957325746799528E-3</v>
      </c>
      <c r="H380" s="1">
        <f t="shared" si="21"/>
        <v>7.8575170246202308E-3</v>
      </c>
      <c r="L380" s="1"/>
      <c r="M380" s="1"/>
      <c r="R380">
        <f t="shared" si="24"/>
        <v>3.6932813922292314E-3</v>
      </c>
      <c r="S380">
        <f t="shared" si="22"/>
        <v>3.0880606961638973E-77</v>
      </c>
      <c r="T380">
        <v>378</v>
      </c>
      <c r="U380">
        <f t="shared" si="23"/>
        <v>119</v>
      </c>
    </row>
    <row r="381" spans="1:21" x14ac:dyDescent="0.25">
      <c r="A381" s="4">
        <v>45849.705555555556</v>
      </c>
      <c r="B381" s="1">
        <v>133.16999999999999</v>
      </c>
      <c r="C381" s="1">
        <v>388.8</v>
      </c>
      <c r="D381" s="1">
        <v>19.48</v>
      </c>
      <c r="F381" s="1">
        <f t="shared" si="21"/>
        <v>-4.0385909804803166E-3</v>
      </c>
      <c r="G381" s="1">
        <f t="shared" si="21"/>
        <v>-4.3533930857874159E-3</v>
      </c>
      <c r="H381" s="1">
        <f t="shared" si="21"/>
        <v>1.2474012474012586E-2</v>
      </c>
      <c r="L381" s="1"/>
      <c r="M381" s="1"/>
      <c r="R381">
        <f t="shared" si="24"/>
        <v>1.2246085223234565E-3</v>
      </c>
      <c r="S381">
        <f t="shared" si="22"/>
        <v>1.3580494319787368E-77</v>
      </c>
      <c r="T381">
        <v>379</v>
      </c>
      <c r="U381">
        <f t="shared" si="23"/>
        <v>118</v>
      </c>
    </row>
    <row r="382" spans="1:21" x14ac:dyDescent="0.25">
      <c r="A382" s="4">
        <v>45852.705555555556</v>
      </c>
      <c r="B382" s="1">
        <v>132.31</v>
      </c>
      <c r="C382" s="1">
        <v>392</v>
      </c>
      <c r="D382" s="1">
        <v>19.52</v>
      </c>
      <c r="F382" s="1">
        <f t="shared" si="21"/>
        <v>-6.4579109409025337E-3</v>
      </c>
      <c r="G382" s="1">
        <f t="shared" si="21"/>
        <v>8.2304526748970819E-3</v>
      </c>
      <c r="H382" s="1">
        <f t="shared" si="21"/>
        <v>2.0533880903490509E-3</v>
      </c>
      <c r="L382" s="1"/>
      <c r="M382" s="1"/>
      <c r="R382">
        <f t="shared" si="24"/>
        <v>1.1477789473030799E-3</v>
      </c>
      <c r="S382">
        <f t="shared" si="22"/>
        <v>4.7719680124320246E-77</v>
      </c>
      <c r="T382">
        <v>380</v>
      </c>
      <c r="U382">
        <f t="shared" si="23"/>
        <v>117</v>
      </c>
    </row>
    <row r="383" spans="1:21" x14ac:dyDescent="0.25">
      <c r="A383" s="4">
        <v>45853.705555555556</v>
      </c>
      <c r="B383" s="1">
        <v>132.24</v>
      </c>
      <c r="C383" s="1">
        <v>388.89</v>
      </c>
      <c r="D383" s="1">
        <v>19.37</v>
      </c>
      <c r="F383" s="1">
        <f t="shared" si="21"/>
        <v>-5.2906053964174582E-4</v>
      </c>
      <c r="G383" s="1">
        <f t="shared" si="21"/>
        <v>-7.9336734693877808E-3</v>
      </c>
      <c r="H383" s="1">
        <f t="shared" si="21"/>
        <v>-7.6844262295081567E-3</v>
      </c>
      <c r="L383" s="1"/>
      <c r="M383" s="1"/>
      <c r="R383">
        <f t="shared" si="24"/>
        <v>-4.844148071561305E-3</v>
      </c>
      <c r="S383">
        <f t="shared" si="22"/>
        <v>3.3999757974477165E-75</v>
      </c>
      <c r="T383">
        <v>381</v>
      </c>
      <c r="U383">
        <f t="shared" si="23"/>
        <v>116</v>
      </c>
    </row>
    <row r="384" spans="1:21" x14ac:dyDescent="0.25">
      <c r="A384" s="4">
        <v>45854.705555555556</v>
      </c>
      <c r="B384" s="1">
        <v>132.5</v>
      </c>
      <c r="C384" s="1">
        <v>390.7</v>
      </c>
      <c r="D384" s="1">
        <v>19.46</v>
      </c>
      <c r="F384" s="1">
        <f t="shared" si="21"/>
        <v>1.9661222020568303E-3</v>
      </c>
      <c r="G384" s="1">
        <f t="shared" si="21"/>
        <v>4.6542724163645133E-3</v>
      </c>
      <c r="H384" s="1">
        <f t="shared" si="21"/>
        <v>4.6463603510582541E-3</v>
      </c>
      <c r="L384" s="1"/>
      <c r="M384" s="1"/>
      <c r="R384">
        <f t="shared" si="24"/>
        <v>3.3800264908438798E-3</v>
      </c>
      <c r="S384">
        <f t="shared" si="22"/>
        <v>6.6212685918942974E-75</v>
      </c>
      <c r="T384">
        <v>382</v>
      </c>
      <c r="U384">
        <f t="shared" si="23"/>
        <v>115</v>
      </c>
    </row>
    <row r="385" spans="1:21" x14ac:dyDescent="0.25">
      <c r="A385" s="4">
        <v>45855.705555555556</v>
      </c>
      <c r="B385" s="1">
        <v>132.55000000000001</v>
      </c>
      <c r="C385" s="1">
        <v>391.98</v>
      </c>
      <c r="D385" s="1">
        <v>19.36</v>
      </c>
      <c r="F385" s="1">
        <f t="shared" si="21"/>
        <v>3.7735849056619308E-4</v>
      </c>
      <c r="G385" s="1">
        <f t="shared" si="21"/>
        <v>3.276170975172743E-3</v>
      </c>
      <c r="H385" s="1">
        <f t="shared" si="21"/>
        <v>-5.1387461459404538E-3</v>
      </c>
      <c r="L385" s="1"/>
      <c r="M385" s="1"/>
      <c r="R385">
        <f t="shared" si="24"/>
        <v>-4.4556500406045551E-4</v>
      </c>
      <c r="S385">
        <f t="shared" si="22"/>
        <v>4.602386998721572E-76</v>
      </c>
      <c r="T385">
        <v>383</v>
      </c>
      <c r="U385">
        <f t="shared" si="23"/>
        <v>114</v>
      </c>
    </row>
    <row r="386" spans="1:21" x14ac:dyDescent="0.25">
      <c r="A386" s="4">
        <v>45856.705555555556</v>
      </c>
      <c r="B386" s="1">
        <v>130.46</v>
      </c>
      <c r="C386" s="1">
        <v>394.28</v>
      </c>
      <c r="D386" s="1">
        <v>19.55</v>
      </c>
      <c r="F386" s="1">
        <f t="shared" si="21"/>
        <v>-1.5767634854771839E-2</v>
      </c>
      <c r="G386" s="1">
        <f t="shared" si="21"/>
        <v>5.8676463084850194E-3</v>
      </c>
      <c r="H386" s="1">
        <f t="shared" si="21"/>
        <v>9.8140495867768962E-3</v>
      </c>
      <c r="L386" s="1"/>
      <c r="M386" s="1"/>
      <c r="R386">
        <f t="shared" si="24"/>
        <v>-2.5781687852976295E-5</v>
      </c>
      <c r="S386">
        <f t="shared" si="22"/>
        <v>6.1637309297629652E-78</v>
      </c>
      <c r="T386">
        <v>384</v>
      </c>
      <c r="U386">
        <f t="shared" si="23"/>
        <v>113</v>
      </c>
    </row>
    <row r="387" spans="1:21" x14ac:dyDescent="0.25">
      <c r="A387" s="4">
        <v>45859.705555555556</v>
      </c>
      <c r="B387" s="1">
        <v>131.18</v>
      </c>
      <c r="C387" s="1">
        <v>393.64</v>
      </c>
      <c r="D387" s="1">
        <v>19.77</v>
      </c>
      <c r="F387" s="1">
        <f t="shared" si="21"/>
        <v>5.5189330062854758E-3</v>
      </c>
      <c r="G387" s="1">
        <f t="shared" si="21"/>
        <v>-1.6232119306076598E-3</v>
      </c>
      <c r="H387" s="1">
        <f t="shared" si="21"/>
        <v>1.1253196930946174E-2</v>
      </c>
      <c r="L387" s="1"/>
      <c r="M387" s="1"/>
      <c r="R387">
        <f t="shared" si="24"/>
        <v>4.5446754019871976E-3</v>
      </c>
      <c r="S387">
        <f t="shared" si="22"/>
        <v>7.6610220207124756E-73</v>
      </c>
      <c r="T387">
        <v>385</v>
      </c>
      <c r="U387">
        <f t="shared" si="23"/>
        <v>112</v>
      </c>
    </row>
    <row r="388" spans="1:21" x14ac:dyDescent="0.25">
      <c r="A388" s="4">
        <v>45860.705555555556</v>
      </c>
      <c r="B388" s="1">
        <v>131.07</v>
      </c>
      <c r="C388" s="1">
        <v>393.48</v>
      </c>
      <c r="D388" s="1">
        <v>19.96</v>
      </c>
      <c r="F388" s="1">
        <f t="shared" ref="F388:H451" si="25">(B388/B387)-1</f>
        <v>-8.3854246074110961E-4</v>
      </c>
      <c r="G388" s="1">
        <f t="shared" si="25"/>
        <v>-4.0646275784972374E-4</v>
      </c>
      <c r="H388" s="1">
        <f t="shared" si="25"/>
        <v>9.6105209914012502E-3</v>
      </c>
      <c r="L388" s="1"/>
      <c r="M388" s="1"/>
      <c r="R388">
        <f t="shared" si="24"/>
        <v>2.5096547318431256E-3</v>
      </c>
      <c r="S388">
        <f t="shared" ref="S388:S451" si="26">(R388^2)*((1-$P$2)^U388)</f>
        <v>9.3447764579398653E-73</v>
      </c>
      <c r="T388">
        <v>386</v>
      </c>
      <c r="U388">
        <f t="shared" ref="U388:U451" si="27">497-T388</f>
        <v>111</v>
      </c>
    </row>
    <row r="389" spans="1:21" x14ac:dyDescent="0.25">
      <c r="A389" s="4">
        <v>45861.705555555556</v>
      </c>
      <c r="B389" s="1">
        <v>132.35</v>
      </c>
      <c r="C389" s="1">
        <v>393.78</v>
      </c>
      <c r="D389" s="1">
        <v>19.559999999999999</v>
      </c>
      <c r="F389" s="1">
        <f t="shared" si="25"/>
        <v>9.7657740138856752E-3</v>
      </c>
      <c r="G389" s="1">
        <f t="shared" si="25"/>
        <v>7.6242756938071921E-4</v>
      </c>
      <c r="H389" s="1">
        <f t="shared" si="25"/>
        <v>-2.0040080160320772E-2</v>
      </c>
      <c r="L389" s="1"/>
      <c r="M389" s="1"/>
      <c r="R389">
        <f t="shared" ref="R389:R452" si="28">$L$2*F389+G389*$L$3+H389*$L$4</f>
        <v>-2.8535635731163139E-3</v>
      </c>
      <c r="S389">
        <f t="shared" si="26"/>
        <v>4.8325466908956309E-72</v>
      </c>
      <c r="T389">
        <v>387</v>
      </c>
      <c r="U389">
        <f t="shared" si="27"/>
        <v>110</v>
      </c>
    </row>
    <row r="390" spans="1:21" x14ac:dyDescent="0.25">
      <c r="A390" s="4">
        <v>45862.705555555556</v>
      </c>
      <c r="B390" s="1">
        <v>130.87</v>
      </c>
      <c r="C390" s="1">
        <v>393.98</v>
      </c>
      <c r="D390" s="1">
        <v>19.43</v>
      </c>
      <c r="F390" s="1">
        <f t="shared" si="25"/>
        <v>-1.1182470721571525E-2</v>
      </c>
      <c r="G390" s="1">
        <f t="shared" si="25"/>
        <v>5.0789781096050035E-4</v>
      </c>
      <c r="H390" s="1">
        <f t="shared" si="25"/>
        <v>-6.64621676891608E-3</v>
      </c>
      <c r="L390" s="1"/>
      <c r="M390" s="1"/>
      <c r="R390">
        <f t="shared" si="28"/>
        <v>-5.1962369038581315E-3</v>
      </c>
      <c r="S390">
        <f t="shared" si="26"/>
        <v>6.4097166468457736E-71</v>
      </c>
      <c r="T390">
        <v>388</v>
      </c>
      <c r="U390">
        <f t="shared" si="27"/>
        <v>109</v>
      </c>
    </row>
    <row r="391" spans="1:21" x14ac:dyDescent="0.25">
      <c r="A391" s="4">
        <v>45863.705555555556</v>
      </c>
      <c r="B391" s="1">
        <v>130.57</v>
      </c>
      <c r="C391" s="1">
        <v>398.3</v>
      </c>
      <c r="D391" s="1">
        <v>19.38</v>
      </c>
      <c r="F391" s="1">
        <f t="shared" si="25"/>
        <v>-2.2923511882021463E-3</v>
      </c>
      <c r="G391" s="1">
        <f t="shared" si="25"/>
        <v>1.0965023605259194E-2</v>
      </c>
      <c r="H391" s="1">
        <f t="shared" si="25"/>
        <v>-2.5733401955738699E-3</v>
      </c>
      <c r="L391" s="1"/>
      <c r="M391" s="1"/>
      <c r="R391">
        <f t="shared" si="28"/>
        <v>1.8297996664449531E-3</v>
      </c>
      <c r="S391">
        <f t="shared" si="26"/>
        <v>3.1792744856977742E-71</v>
      </c>
      <c r="T391">
        <v>389</v>
      </c>
      <c r="U391">
        <f t="shared" si="27"/>
        <v>108</v>
      </c>
    </row>
    <row r="392" spans="1:21" x14ac:dyDescent="0.25">
      <c r="A392" s="4">
        <v>45866.705555555556</v>
      </c>
      <c r="B392" s="1">
        <v>129.22999999999999</v>
      </c>
      <c r="C392" s="1">
        <v>400.41</v>
      </c>
      <c r="D392" s="1">
        <v>19.36</v>
      </c>
      <c r="F392" s="1">
        <f t="shared" si="25"/>
        <v>-1.0262694340200662E-2</v>
      </c>
      <c r="G392" s="1">
        <f t="shared" si="25"/>
        <v>5.2975144363545112E-3</v>
      </c>
      <c r="H392" s="1">
        <f t="shared" si="25"/>
        <v>-1.0319917440659854E-3</v>
      </c>
      <c r="L392" s="1"/>
      <c r="M392" s="1"/>
      <c r="R392">
        <f t="shared" si="28"/>
        <v>-1.7991514943736409E-3</v>
      </c>
      <c r="S392">
        <f t="shared" si="26"/>
        <v>1.2294656391655948E-70</v>
      </c>
      <c r="T392">
        <v>390</v>
      </c>
      <c r="U392">
        <f t="shared" si="27"/>
        <v>107</v>
      </c>
    </row>
    <row r="393" spans="1:21" x14ac:dyDescent="0.25">
      <c r="A393" s="4">
        <v>45867.705555555556</v>
      </c>
      <c r="B393" s="1">
        <v>129.79</v>
      </c>
      <c r="C393" s="1">
        <v>397.67</v>
      </c>
      <c r="D393" s="1">
        <v>19.36</v>
      </c>
      <c r="F393" s="1">
        <f t="shared" si="25"/>
        <v>4.3333591271377259E-3</v>
      </c>
      <c r="G393" s="1">
        <f t="shared" si="25"/>
        <v>-6.8429859394121273E-3</v>
      </c>
      <c r="H393" s="1">
        <f t="shared" si="25"/>
        <v>0</v>
      </c>
      <c r="L393" s="1"/>
      <c r="M393" s="1"/>
      <c r="R393">
        <f t="shared" si="28"/>
        <v>-7.5288804368232052E-4</v>
      </c>
      <c r="S393">
        <f t="shared" si="26"/>
        <v>8.6119543667897491E-71</v>
      </c>
      <c r="T393">
        <v>391</v>
      </c>
      <c r="U393">
        <f t="shared" si="27"/>
        <v>106</v>
      </c>
    </row>
    <row r="394" spans="1:21" x14ac:dyDescent="0.25">
      <c r="A394" s="4">
        <v>45868.705555555556</v>
      </c>
      <c r="B394" s="1">
        <v>131.01</v>
      </c>
      <c r="C394" s="1">
        <v>398.49</v>
      </c>
      <c r="D394" s="1">
        <v>19.04</v>
      </c>
      <c r="F394" s="1">
        <f t="shared" si="25"/>
        <v>9.3997996764003666E-3</v>
      </c>
      <c r="G394" s="1">
        <f t="shared" si="25"/>
        <v>2.0620112153293402E-3</v>
      </c>
      <c r="H394" s="1">
        <f t="shared" si="25"/>
        <v>-1.6528925619834767E-2</v>
      </c>
      <c r="L394" s="1"/>
      <c r="M394" s="1"/>
      <c r="R394">
        <f t="shared" si="28"/>
        <v>-1.5201344184315188E-3</v>
      </c>
      <c r="S394">
        <f t="shared" si="26"/>
        <v>1.4043161654088676E-69</v>
      </c>
      <c r="T394">
        <v>392</v>
      </c>
      <c r="U394">
        <f t="shared" si="27"/>
        <v>105</v>
      </c>
    </row>
    <row r="395" spans="1:21" x14ac:dyDescent="0.25">
      <c r="A395" s="4">
        <v>45869.705555555556</v>
      </c>
      <c r="B395" s="1">
        <v>130.68</v>
      </c>
      <c r="C395" s="1">
        <v>398.01</v>
      </c>
      <c r="D395" s="1">
        <v>19.239999999999998</v>
      </c>
      <c r="F395" s="1">
        <f t="shared" si="25"/>
        <v>-2.5188916876572875E-3</v>
      </c>
      <c r="G395" s="1">
        <f t="shared" si="25"/>
        <v>-1.2045471655499629E-3</v>
      </c>
      <c r="H395" s="1">
        <f t="shared" si="25"/>
        <v>1.0504201680672232E-2</v>
      </c>
      <c r="L395" s="1"/>
      <c r="M395" s="1"/>
      <c r="R395">
        <f t="shared" si="28"/>
        <v>2.034228848239495E-3</v>
      </c>
      <c r="S395">
        <f t="shared" si="26"/>
        <v>1.0059132291304907E-68</v>
      </c>
      <c r="T395">
        <v>393</v>
      </c>
      <c r="U395">
        <f t="shared" si="27"/>
        <v>104</v>
      </c>
    </row>
    <row r="396" spans="1:21" x14ac:dyDescent="0.25">
      <c r="A396" s="4">
        <v>45870.705555555556</v>
      </c>
      <c r="B396" s="1">
        <v>130.13</v>
      </c>
      <c r="C396" s="1">
        <v>387.8</v>
      </c>
      <c r="D396" s="1">
        <v>19.47</v>
      </c>
      <c r="F396" s="1">
        <f t="shared" si="25"/>
        <v>-4.2087542087543284E-3</v>
      </c>
      <c r="G396" s="1">
        <f t="shared" si="25"/>
        <v>-2.5652621793422203E-2</v>
      </c>
      <c r="H396" s="1">
        <f t="shared" si="25"/>
        <v>1.195426195426208E-2</v>
      </c>
      <c r="L396" s="1"/>
      <c r="M396" s="1"/>
      <c r="R396">
        <f t="shared" si="28"/>
        <v>-5.3721342143743349E-3</v>
      </c>
      <c r="S396">
        <f t="shared" si="26"/>
        <v>2.8061740347151505E-67</v>
      </c>
      <c r="T396">
        <v>394</v>
      </c>
      <c r="U396">
        <f t="shared" si="27"/>
        <v>103</v>
      </c>
    </row>
    <row r="397" spans="1:21" x14ac:dyDescent="0.25">
      <c r="A397" s="4">
        <v>45873.705555555556</v>
      </c>
      <c r="B397" s="1">
        <v>130.09</v>
      </c>
      <c r="C397" s="1">
        <v>391.3</v>
      </c>
      <c r="D397" s="1">
        <v>19.41</v>
      </c>
      <c r="F397" s="1">
        <f t="shared" si="25"/>
        <v>-3.0738492276949358E-4</v>
      </c>
      <c r="G397" s="1">
        <f t="shared" si="25"/>
        <v>9.0252707581226499E-3</v>
      </c>
      <c r="H397" s="1">
        <f t="shared" si="25"/>
        <v>-3.0816640986132127E-3</v>
      </c>
      <c r="L397" s="1"/>
      <c r="M397" s="1"/>
      <c r="R397">
        <f t="shared" si="28"/>
        <v>1.690866521021983E-3</v>
      </c>
      <c r="S397">
        <f t="shared" si="26"/>
        <v>1.1119865518957254E-67</v>
      </c>
      <c r="T397">
        <v>395</v>
      </c>
      <c r="U397">
        <f t="shared" si="27"/>
        <v>102</v>
      </c>
    </row>
    <row r="398" spans="1:21" x14ac:dyDescent="0.25">
      <c r="A398" s="4">
        <v>45874.705555555556</v>
      </c>
      <c r="B398" s="1">
        <v>130.22</v>
      </c>
      <c r="C398" s="1">
        <v>389.3</v>
      </c>
      <c r="D398" s="1">
        <v>19.45</v>
      </c>
      <c r="F398" s="1">
        <f t="shared" si="25"/>
        <v>9.9930817126603344E-4</v>
      </c>
      <c r="G398" s="1">
        <f t="shared" si="25"/>
        <v>-5.1111679018656098E-3</v>
      </c>
      <c r="H398" s="1">
        <f t="shared" si="25"/>
        <v>2.0607934054610588E-3</v>
      </c>
      <c r="L398" s="1"/>
      <c r="M398" s="1"/>
      <c r="R398">
        <f t="shared" si="28"/>
        <v>-6.1531989754155521E-4</v>
      </c>
      <c r="S398">
        <f t="shared" si="26"/>
        <v>5.8903729621564676E-68</v>
      </c>
      <c r="T398">
        <v>396</v>
      </c>
      <c r="U398">
        <f t="shared" si="27"/>
        <v>101</v>
      </c>
    </row>
    <row r="399" spans="1:21" x14ac:dyDescent="0.25">
      <c r="A399" s="4">
        <v>45875.705555555556</v>
      </c>
      <c r="B399" s="1">
        <v>131.55000000000001</v>
      </c>
      <c r="C399" s="1">
        <v>388.8</v>
      </c>
      <c r="D399" s="1">
        <v>19.260000000000002</v>
      </c>
      <c r="F399" s="1">
        <f t="shared" si="25"/>
        <v>1.0213484871755663E-2</v>
      </c>
      <c r="G399" s="1">
        <f t="shared" si="25"/>
        <v>-1.2843565373747978E-3</v>
      </c>
      <c r="H399" s="1">
        <f t="shared" si="25"/>
        <v>-9.7686375321335284E-3</v>
      </c>
      <c r="L399" s="1"/>
      <c r="M399" s="1"/>
      <c r="R399">
        <f t="shared" si="28"/>
        <v>-2.5185275932579918E-4</v>
      </c>
      <c r="S399">
        <f t="shared" si="26"/>
        <v>3.9472469151272354E-68</v>
      </c>
      <c r="T399">
        <v>397</v>
      </c>
      <c r="U399">
        <f t="shared" si="27"/>
        <v>100</v>
      </c>
    </row>
    <row r="400" spans="1:21" x14ac:dyDescent="0.25">
      <c r="A400" s="4">
        <v>45876.705555555556</v>
      </c>
      <c r="B400" s="1">
        <v>133.49</v>
      </c>
      <c r="C400" s="1">
        <v>385.9</v>
      </c>
      <c r="D400" s="1">
        <v>19.27</v>
      </c>
      <c r="F400" s="1">
        <f t="shared" si="25"/>
        <v>1.4747244393766623E-2</v>
      </c>
      <c r="G400" s="1">
        <f t="shared" si="25"/>
        <v>-7.45884773662564E-3</v>
      </c>
      <c r="H400" s="1">
        <f t="shared" si="25"/>
        <v>5.1921079958461291E-4</v>
      </c>
      <c r="L400" s="1"/>
      <c r="M400" s="1"/>
      <c r="R400">
        <f t="shared" si="28"/>
        <v>2.3422822370176787E-3</v>
      </c>
      <c r="S400">
        <f t="shared" si="26"/>
        <v>1.3656496832467341E-65</v>
      </c>
      <c r="T400">
        <v>398</v>
      </c>
      <c r="U400">
        <f t="shared" si="27"/>
        <v>99</v>
      </c>
    </row>
    <row r="401" spans="1:21" x14ac:dyDescent="0.25">
      <c r="A401" s="4">
        <v>45877.705555555556</v>
      </c>
      <c r="B401" s="1">
        <v>132.94</v>
      </c>
      <c r="C401" s="1">
        <v>390.35</v>
      </c>
      <c r="D401" s="1">
        <v>19.309999999999999</v>
      </c>
      <c r="F401" s="1">
        <f t="shared" si="25"/>
        <v>-4.1201588133943368E-3</v>
      </c>
      <c r="G401" s="1">
        <f t="shared" si="25"/>
        <v>1.1531484840632489E-2</v>
      </c>
      <c r="H401" s="1">
        <f t="shared" si="25"/>
        <v>2.0757654385052948E-3</v>
      </c>
      <c r="L401" s="1"/>
      <c r="M401" s="1"/>
      <c r="R401">
        <f t="shared" si="28"/>
        <v>2.846127439723034E-3</v>
      </c>
      <c r="S401">
        <f t="shared" si="26"/>
        <v>8.06546729746984E-65</v>
      </c>
      <c r="T401">
        <v>399</v>
      </c>
      <c r="U401">
        <f t="shared" si="27"/>
        <v>98</v>
      </c>
    </row>
    <row r="402" spans="1:21" x14ac:dyDescent="0.25">
      <c r="A402" s="4">
        <v>45880.705555555556</v>
      </c>
      <c r="B402" s="1">
        <v>132.66</v>
      </c>
      <c r="C402" s="1">
        <v>389.54</v>
      </c>
      <c r="D402" s="1">
        <v>19.03</v>
      </c>
      <c r="F402" s="1">
        <f t="shared" si="25"/>
        <v>-2.1062133293214824E-3</v>
      </c>
      <c r="G402" s="1">
        <f t="shared" si="25"/>
        <v>-2.0750608428333761E-3</v>
      </c>
      <c r="H402" s="1">
        <f t="shared" si="25"/>
        <v>-1.4500258933195065E-2</v>
      </c>
      <c r="L402" s="1"/>
      <c r="M402" s="1"/>
      <c r="R402">
        <f t="shared" si="28"/>
        <v>-5.6044599316049781E-3</v>
      </c>
      <c r="S402">
        <f t="shared" si="26"/>
        <v>1.2509742732021678E-63</v>
      </c>
      <c r="T402">
        <v>400</v>
      </c>
      <c r="U402">
        <f t="shared" si="27"/>
        <v>97</v>
      </c>
    </row>
    <row r="403" spans="1:21" x14ac:dyDescent="0.25">
      <c r="A403" s="4">
        <v>45881.705555555556</v>
      </c>
      <c r="B403" s="1">
        <v>134.84</v>
      </c>
      <c r="C403" s="1">
        <v>389.88</v>
      </c>
      <c r="D403" s="1">
        <v>18.829999999999998</v>
      </c>
      <c r="F403" s="1">
        <f t="shared" si="25"/>
        <v>1.643298658224035E-2</v>
      </c>
      <c r="G403" s="1">
        <f t="shared" si="25"/>
        <v>8.7282435693381011E-4</v>
      </c>
      <c r="H403" s="1">
        <f t="shared" si="25"/>
        <v>-1.0509721492380608E-2</v>
      </c>
      <c r="L403" s="1"/>
      <c r="M403" s="1"/>
      <c r="R403">
        <f t="shared" si="28"/>
        <v>2.0388268340380648E-3</v>
      </c>
      <c r="S403">
        <f t="shared" si="26"/>
        <v>6.6221881282566331E-64</v>
      </c>
      <c r="T403">
        <v>401</v>
      </c>
      <c r="U403">
        <f t="shared" si="27"/>
        <v>96</v>
      </c>
    </row>
    <row r="404" spans="1:21" x14ac:dyDescent="0.25">
      <c r="A404" s="4">
        <v>45882.705555555556</v>
      </c>
      <c r="B404" s="1">
        <v>133.79</v>
      </c>
      <c r="C404" s="1">
        <v>391.95</v>
      </c>
      <c r="D404" s="1">
        <v>18.93</v>
      </c>
      <c r="F404" s="1">
        <f t="shared" si="25"/>
        <v>-7.7870068229013434E-3</v>
      </c>
      <c r="G404" s="1">
        <f t="shared" si="25"/>
        <v>5.3093259464449538E-3</v>
      </c>
      <c r="H404" s="1">
        <f t="shared" si="25"/>
        <v>5.3106744556559171E-3</v>
      </c>
      <c r="L404" s="1"/>
      <c r="M404" s="1"/>
      <c r="R404">
        <f t="shared" si="28"/>
        <v>8.4989807375985844E-4</v>
      </c>
      <c r="S404">
        <f t="shared" si="26"/>
        <v>4.602931519867878E-64</v>
      </c>
      <c r="T404">
        <v>402</v>
      </c>
      <c r="U404">
        <f t="shared" si="27"/>
        <v>95</v>
      </c>
    </row>
    <row r="405" spans="1:21" x14ac:dyDescent="0.25">
      <c r="A405" s="4">
        <v>45883.705555555556</v>
      </c>
      <c r="B405" s="1">
        <v>133.44999999999999</v>
      </c>
      <c r="C405" s="1">
        <v>393</v>
      </c>
      <c r="D405" s="1">
        <v>18.87</v>
      </c>
      <c r="F405" s="1">
        <f t="shared" si="25"/>
        <v>-2.5412960609911828E-3</v>
      </c>
      <c r="G405" s="1">
        <f t="shared" si="25"/>
        <v>2.6789131266744537E-3</v>
      </c>
      <c r="H405" s="1">
        <f t="shared" si="25"/>
        <v>-3.1695721077653616E-3</v>
      </c>
      <c r="L405" s="1"/>
      <c r="M405" s="1"/>
      <c r="R405">
        <f t="shared" si="28"/>
        <v>-9.0958651262462741E-4</v>
      </c>
      <c r="S405">
        <f t="shared" si="26"/>
        <v>2.1088652918515499E-63</v>
      </c>
      <c r="T405">
        <v>403</v>
      </c>
      <c r="U405">
        <f t="shared" si="27"/>
        <v>94</v>
      </c>
    </row>
    <row r="406" spans="1:21" x14ac:dyDescent="0.25">
      <c r="A406" s="4">
        <v>45884.705555555556</v>
      </c>
      <c r="B406" s="1">
        <v>133.43</v>
      </c>
      <c r="C406" s="1">
        <v>390.9</v>
      </c>
      <c r="D406" s="1">
        <v>18.82</v>
      </c>
      <c r="F406" s="1">
        <f t="shared" si="25"/>
        <v>-1.4986886474321892E-4</v>
      </c>
      <c r="G406" s="1">
        <f t="shared" si="25"/>
        <v>-5.3435114503816994E-3</v>
      </c>
      <c r="H406" s="1">
        <f t="shared" si="25"/>
        <v>-2.6497085320614788E-3</v>
      </c>
      <c r="L406" s="1"/>
      <c r="M406" s="1"/>
      <c r="R406">
        <f t="shared" si="28"/>
        <v>-2.4429266541559193E-3</v>
      </c>
      <c r="S406">
        <f t="shared" si="26"/>
        <v>6.0847349128066872E-62</v>
      </c>
      <c r="T406">
        <v>404</v>
      </c>
      <c r="U406">
        <f t="shared" si="27"/>
        <v>93</v>
      </c>
    </row>
    <row r="407" spans="1:21" x14ac:dyDescent="0.25">
      <c r="A407" s="4">
        <v>45887.705555555556</v>
      </c>
      <c r="B407" s="1">
        <v>134.37</v>
      </c>
      <c r="C407" s="1">
        <v>393.55</v>
      </c>
      <c r="D407" s="1">
        <v>18.93</v>
      </c>
      <c r="F407" s="1">
        <f t="shared" si="25"/>
        <v>7.044892452971574E-3</v>
      </c>
      <c r="G407" s="1">
        <f t="shared" si="25"/>
        <v>6.7792274238935857E-3</v>
      </c>
      <c r="H407" s="1">
        <f t="shared" si="25"/>
        <v>5.8448459086077875E-3</v>
      </c>
      <c r="L407" s="1"/>
      <c r="M407" s="1"/>
      <c r="R407">
        <f t="shared" si="28"/>
        <v>5.9006897356418848E-3</v>
      </c>
      <c r="S407">
        <f t="shared" si="26"/>
        <v>1.4199935019320102E-60</v>
      </c>
      <c r="T407">
        <v>405</v>
      </c>
      <c r="U407">
        <f t="shared" si="27"/>
        <v>92</v>
      </c>
    </row>
    <row r="408" spans="1:21" x14ac:dyDescent="0.25">
      <c r="A408" s="4">
        <v>45888.705555555556</v>
      </c>
      <c r="B408" s="1">
        <v>131.66999999999999</v>
      </c>
      <c r="C408" s="1">
        <v>396</v>
      </c>
      <c r="D408" s="1">
        <v>19.03</v>
      </c>
      <c r="F408" s="1">
        <f t="shared" si="25"/>
        <v>-2.0093770931011501E-2</v>
      </c>
      <c r="G408" s="1">
        <f t="shared" si="25"/>
        <v>6.2253843221953264E-3</v>
      </c>
      <c r="H408" s="1">
        <f t="shared" si="25"/>
        <v>5.282620179609232E-3</v>
      </c>
      <c r="L408" s="1"/>
      <c r="M408" s="1"/>
      <c r="R408">
        <f t="shared" si="28"/>
        <v>-2.5757299287620826E-3</v>
      </c>
      <c r="S408">
        <f t="shared" si="26"/>
        <v>1.0822844975738348E-60</v>
      </c>
      <c r="T408">
        <v>406</v>
      </c>
      <c r="U408">
        <f t="shared" si="27"/>
        <v>91</v>
      </c>
    </row>
    <row r="409" spans="1:21" x14ac:dyDescent="0.25">
      <c r="A409" s="4">
        <v>45889.705555555556</v>
      </c>
      <c r="B409" s="1">
        <v>131.80000000000001</v>
      </c>
      <c r="C409" s="1">
        <v>392.52</v>
      </c>
      <c r="D409" s="1">
        <v>19.14</v>
      </c>
      <c r="F409" s="1">
        <f t="shared" si="25"/>
        <v>9.8731677679064767E-4</v>
      </c>
      <c r="G409" s="1">
        <f t="shared" si="25"/>
        <v>-8.787878787878789E-3</v>
      </c>
      <c r="H409" s="1">
        <f t="shared" si="25"/>
        <v>5.7803468208093012E-3</v>
      </c>
      <c r="L409" s="1"/>
      <c r="M409" s="1"/>
      <c r="R409">
        <f t="shared" si="28"/>
        <v>-6.0606455708365169E-4</v>
      </c>
      <c r="S409">
        <f t="shared" si="26"/>
        <v>2.3968372994120651E-61</v>
      </c>
      <c r="T409">
        <v>407</v>
      </c>
      <c r="U409">
        <f t="shared" si="27"/>
        <v>90</v>
      </c>
    </row>
    <row r="410" spans="1:21" x14ac:dyDescent="0.25">
      <c r="A410" s="4">
        <v>45890.705555555556</v>
      </c>
      <c r="B410" s="1">
        <v>131.66</v>
      </c>
      <c r="C410" s="1">
        <v>392.08</v>
      </c>
      <c r="D410" s="1">
        <v>19.11</v>
      </c>
      <c r="F410" s="1">
        <f t="shared" si="25"/>
        <v>-1.0622154779971194E-3</v>
      </c>
      <c r="G410" s="1">
        <f t="shared" si="25"/>
        <v>-1.1209619891979772E-3</v>
      </c>
      <c r="H410" s="1">
        <f t="shared" si="25"/>
        <v>-1.5673981191223207E-3</v>
      </c>
      <c r="L410" s="1"/>
      <c r="M410" s="1"/>
      <c r="R410">
        <f t="shared" si="28"/>
        <v>-1.1251726758952252E-3</v>
      </c>
      <c r="S410">
        <f t="shared" si="26"/>
        <v>3.3044495512617285E-60</v>
      </c>
      <c r="T410">
        <v>408</v>
      </c>
      <c r="U410">
        <f t="shared" si="27"/>
        <v>89</v>
      </c>
    </row>
    <row r="411" spans="1:21" x14ac:dyDescent="0.25">
      <c r="A411" s="4">
        <v>45891.705555555556</v>
      </c>
      <c r="B411" s="1">
        <v>134.99</v>
      </c>
      <c r="C411" s="1">
        <v>394.1</v>
      </c>
      <c r="D411" s="1">
        <v>19.11</v>
      </c>
      <c r="F411" s="1">
        <f t="shared" si="25"/>
        <v>2.5292419869360483E-2</v>
      </c>
      <c r="G411" s="1">
        <f t="shared" si="25"/>
        <v>5.1520097939197207E-3</v>
      </c>
      <c r="H411" s="1">
        <f t="shared" si="25"/>
        <v>0</v>
      </c>
      <c r="L411" s="1"/>
      <c r="M411" s="1"/>
      <c r="R411">
        <f t="shared" si="28"/>
        <v>9.1333288989840604E-3</v>
      </c>
      <c r="S411">
        <f t="shared" si="26"/>
        <v>8.7092139118274837E-58</v>
      </c>
      <c r="T411">
        <v>409</v>
      </c>
      <c r="U411">
        <f t="shared" si="27"/>
        <v>88</v>
      </c>
    </row>
    <row r="412" spans="1:21" x14ac:dyDescent="0.25">
      <c r="A412" s="4">
        <v>45894.705555555556</v>
      </c>
      <c r="B412" s="1">
        <v>135.12</v>
      </c>
      <c r="C412" s="1">
        <v>391.45</v>
      </c>
      <c r="D412" s="1">
        <v>19.05</v>
      </c>
      <c r="F412" s="1">
        <f t="shared" si="25"/>
        <v>9.6303429883692893E-4</v>
      </c>
      <c r="G412" s="1">
        <f t="shared" si="25"/>
        <v>-6.7241816797768417E-3</v>
      </c>
      <c r="H412" s="1">
        <f t="shared" si="25"/>
        <v>-3.1397174254316207E-3</v>
      </c>
      <c r="L412" s="1"/>
      <c r="M412" s="1"/>
      <c r="R412">
        <f t="shared" si="28"/>
        <v>-2.67025944191146E-3</v>
      </c>
      <c r="S412">
        <f t="shared" si="26"/>
        <v>2.9777461598202602E-58</v>
      </c>
      <c r="T412">
        <v>410</v>
      </c>
      <c r="U412">
        <f t="shared" si="27"/>
        <v>87</v>
      </c>
    </row>
    <row r="413" spans="1:21" x14ac:dyDescent="0.25">
      <c r="A413" s="4">
        <v>45895.705555555556</v>
      </c>
      <c r="B413" s="1">
        <v>134.88</v>
      </c>
      <c r="C413" s="1">
        <v>394.13</v>
      </c>
      <c r="D413" s="1">
        <v>19.23</v>
      </c>
      <c r="F413" s="1">
        <f t="shared" si="25"/>
        <v>-1.776198934280715E-3</v>
      </c>
      <c r="G413" s="1">
        <f t="shared" si="25"/>
        <v>6.8463405288032853E-3</v>
      </c>
      <c r="H413" s="1">
        <f t="shared" si="25"/>
        <v>9.4488188976378229E-3</v>
      </c>
      <c r="L413" s="1"/>
      <c r="M413" s="1"/>
      <c r="R413">
        <f t="shared" si="28"/>
        <v>4.3556881476481185E-3</v>
      </c>
      <c r="S413">
        <f t="shared" si="26"/>
        <v>3.1692339689182679E-57</v>
      </c>
      <c r="T413">
        <v>411</v>
      </c>
      <c r="U413">
        <f t="shared" si="27"/>
        <v>86</v>
      </c>
    </row>
    <row r="414" spans="1:21" x14ac:dyDescent="0.25">
      <c r="A414" s="4">
        <v>45896.705555555556</v>
      </c>
      <c r="B414" s="1">
        <v>136.24</v>
      </c>
      <c r="C414" s="1">
        <v>394.25</v>
      </c>
      <c r="D414" s="1">
        <v>19.22</v>
      </c>
      <c r="F414" s="1">
        <f t="shared" si="25"/>
        <v>1.0083036773428367E-2</v>
      </c>
      <c r="G414" s="1">
        <f t="shared" si="25"/>
        <v>3.0446806891126776E-4</v>
      </c>
      <c r="H414" s="1">
        <f t="shared" si="25"/>
        <v>-5.2002080083213276E-4</v>
      </c>
      <c r="L414" s="1"/>
      <c r="M414" s="1"/>
      <c r="R414">
        <f t="shared" si="28"/>
        <v>2.9602452124522505E-3</v>
      </c>
      <c r="S414">
        <f t="shared" si="26"/>
        <v>5.8553938460432086E-57</v>
      </c>
      <c r="T414">
        <v>412</v>
      </c>
      <c r="U414">
        <f t="shared" si="27"/>
        <v>85</v>
      </c>
    </row>
    <row r="415" spans="1:21" x14ac:dyDescent="0.25">
      <c r="A415" s="4">
        <v>45897.705555555556</v>
      </c>
      <c r="B415" s="1">
        <v>138.04</v>
      </c>
      <c r="C415" s="1">
        <v>394.75</v>
      </c>
      <c r="D415" s="1">
        <v>19.309999999999999</v>
      </c>
      <c r="F415" s="1">
        <f t="shared" si="25"/>
        <v>1.3211978860833806E-2</v>
      </c>
      <c r="G415" s="1">
        <f t="shared" si="25"/>
        <v>1.2682308180089752E-3</v>
      </c>
      <c r="H415" s="1">
        <f t="shared" si="25"/>
        <v>4.6826222684703822E-3</v>
      </c>
      <c r="L415" s="1"/>
      <c r="M415" s="1"/>
      <c r="R415">
        <f t="shared" si="28"/>
        <v>5.7488495841939487E-3</v>
      </c>
      <c r="S415">
        <f t="shared" si="26"/>
        <v>8.8332926670875139E-56</v>
      </c>
      <c r="T415">
        <v>413</v>
      </c>
      <c r="U415">
        <f t="shared" si="27"/>
        <v>84</v>
      </c>
    </row>
    <row r="416" spans="1:21" x14ac:dyDescent="0.25">
      <c r="A416" s="4">
        <v>45898.705555555556</v>
      </c>
      <c r="B416" s="1">
        <v>138.41</v>
      </c>
      <c r="C416" s="1">
        <v>393.85</v>
      </c>
      <c r="D416" s="1">
        <v>19.579999999999998</v>
      </c>
      <c r="F416" s="1">
        <f t="shared" si="25"/>
        <v>2.680382497826761E-3</v>
      </c>
      <c r="G416" s="1">
        <f t="shared" si="25"/>
        <v>-2.2799240025331846E-3</v>
      </c>
      <c r="H416" s="1">
        <f t="shared" si="25"/>
        <v>1.3982392542724043E-2</v>
      </c>
      <c r="L416" s="1"/>
      <c r="M416" s="1"/>
      <c r="R416">
        <f t="shared" si="28"/>
        <v>4.3148553114052864E-3</v>
      </c>
      <c r="S416">
        <f t="shared" si="26"/>
        <v>1.9904588073584743E-55</v>
      </c>
      <c r="T416">
        <v>414</v>
      </c>
      <c r="U416">
        <f t="shared" si="27"/>
        <v>83</v>
      </c>
    </row>
    <row r="417" spans="1:21" x14ac:dyDescent="0.25">
      <c r="A417" s="4">
        <v>45901.705555555556</v>
      </c>
      <c r="B417" s="1">
        <v>138.32</v>
      </c>
      <c r="C417" s="1">
        <v>394.9</v>
      </c>
      <c r="D417" s="1">
        <v>19.66</v>
      </c>
      <c r="F417" s="1">
        <f t="shared" si="25"/>
        <v>-6.5024203453512008E-4</v>
      </c>
      <c r="G417" s="1">
        <f t="shared" si="25"/>
        <v>2.665989589945239E-3</v>
      </c>
      <c r="H417" s="1">
        <f t="shared" si="25"/>
        <v>4.0858018386109585E-3</v>
      </c>
      <c r="L417" s="1"/>
      <c r="M417" s="1"/>
      <c r="R417">
        <f t="shared" si="28"/>
        <v>1.8304648182063234E-3</v>
      </c>
      <c r="S417">
        <f t="shared" si="26"/>
        <v>1.4328590903985458E-55</v>
      </c>
      <c r="T417">
        <v>415</v>
      </c>
      <c r="U417">
        <f t="shared" si="27"/>
        <v>82</v>
      </c>
    </row>
    <row r="418" spans="1:21" x14ac:dyDescent="0.25">
      <c r="A418" s="4">
        <v>45902.705555555556</v>
      </c>
      <c r="B418" s="1">
        <v>137.41</v>
      </c>
      <c r="C418" s="1">
        <v>394.7</v>
      </c>
      <c r="D418" s="1">
        <v>20.21</v>
      </c>
      <c r="F418" s="1">
        <f t="shared" si="25"/>
        <v>-6.5789473684210176E-3</v>
      </c>
      <c r="G418" s="1">
        <f t="shared" si="25"/>
        <v>-5.0645733096987833E-4</v>
      </c>
      <c r="H418" s="1">
        <f t="shared" si="25"/>
        <v>2.7975584944048837E-2</v>
      </c>
      <c r="L418" s="1"/>
      <c r="M418" s="1"/>
      <c r="R418">
        <f t="shared" si="28"/>
        <v>6.2670540733973847E-3</v>
      </c>
      <c r="S418">
        <f t="shared" si="26"/>
        <v>6.7184267461060261E-54</v>
      </c>
      <c r="T418">
        <v>416</v>
      </c>
      <c r="U418">
        <f t="shared" si="27"/>
        <v>81</v>
      </c>
    </row>
    <row r="419" spans="1:21" x14ac:dyDescent="0.25">
      <c r="A419" s="4">
        <v>45903.705555555556</v>
      </c>
      <c r="B419" s="1">
        <v>136.93</v>
      </c>
      <c r="C419" s="1">
        <v>395.15</v>
      </c>
      <c r="D419" s="1">
        <v>20.29</v>
      </c>
      <c r="F419" s="1">
        <f t="shared" si="25"/>
        <v>-3.4931955461755537E-3</v>
      </c>
      <c r="G419" s="1">
        <f t="shared" si="25"/>
        <v>1.1401064099316738E-3</v>
      </c>
      <c r="H419" s="1">
        <f t="shared" si="25"/>
        <v>3.9584364176150633E-3</v>
      </c>
      <c r="L419" s="1"/>
      <c r="M419" s="1"/>
      <c r="R419">
        <f t="shared" si="28"/>
        <v>4.8160418441135517E-4</v>
      </c>
      <c r="S419">
        <f t="shared" si="26"/>
        <v>1.5870156044855103E-55</v>
      </c>
      <c r="T419">
        <v>417</v>
      </c>
      <c r="U419">
        <f t="shared" si="27"/>
        <v>80</v>
      </c>
    </row>
    <row r="420" spans="1:21" x14ac:dyDescent="0.25">
      <c r="A420" s="4">
        <v>45904.705555555556</v>
      </c>
      <c r="B420" s="1">
        <v>138.01</v>
      </c>
      <c r="C420" s="1">
        <v>397.95</v>
      </c>
      <c r="D420" s="1">
        <v>20.2</v>
      </c>
      <c r="F420" s="1">
        <f t="shared" si="25"/>
        <v>7.8872416563207093E-3</v>
      </c>
      <c r="G420" s="1">
        <f t="shared" si="25"/>
        <v>7.0859167404784262E-3</v>
      </c>
      <c r="H420" s="1">
        <f t="shared" si="25"/>
        <v>-4.4356826022671214E-3</v>
      </c>
      <c r="L420" s="1"/>
      <c r="M420" s="1"/>
      <c r="R420">
        <f t="shared" si="28"/>
        <v>3.1612427383596038E-3</v>
      </c>
      <c r="S420">
        <f t="shared" si="26"/>
        <v>2.7351199329703326E-53</v>
      </c>
      <c r="T420">
        <v>418</v>
      </c>
      <c r="U420">
        <f t="shared" si="27"/>
        <v>79</v>
      </c>
    </row>
    <row r="421" spans="1:21" x14ac:dyDescent="0.25">
      <c r="A421" s="4">
        <v>45905.705555555556</v>
      </c>
      <c r="B421" s="1">
        <v>139.62</v>
      </c>
      <c r="C421" s="1">
        <v>394.2</v>
      </c>
      <c r="D421" s="1">
        <v>20.329999999999998</v>
      </c>
      <c r="F421" s="1">
        <f t="shared" si="25"/>
        <v>1.1665821317295988E-2</v>
      </c>
      <c r="G421" s="1">
        <f t="shared" si="25"/>
        <v>-9.423294383716585E-3</v>
      </c>
      <c r="H421" s="1">
        <f t="shared" si="25"/>
        <v>6.4356435643564414E-3</v>
      </c>
      <c r="L421" s="1"/>
      <c r="M421" s="1"/>
      <c r="R421">
        <f t="shared" si="28"/>
        <v>2.603451149380754E-3</v>
      </c>
      <c r="S421">
        <f t="shared" si="26"/>
        <v>7.420267170787823E-53</v>
      </c>
      <c r="T421">
        <v>419</v>
      </c>
      <c r="U421">
        <f t="shared" si="27"/>
        <v>78</v>
      </c>
    </row>
    <row r="422" spans="1:21" x14ac:dyDescent="0.25">
      <c r="A422" s="4">
        <v>45908.705555555556</v>
      </c>
      <c r="B422" s="1">
        <v>138.82</v>
      </c>
      <c r="C422" s="1">
        <v>395.65</v>
      </c>
      <c r="D422" s="1">
        <v>20.56</v>
      </c>
      <c r="F422" s="1">
        <f t="shared" si="25"/>
        <v>-5.7298381320728398E-3</v>
      </c>
      <c r="G422" s="1">
        <f t="shared" si="25"/>
        <v>3.678335870116678E-3</v>
      </c>
      <c r="H422" s="1">
        <f t="shared" si="25"/>
        <v>1.1313330054107285E-2</v>
      </c>
      <c r="L422" s="1"/>
      <c r="M422" s="1"/>
      <c r="R422">
        <f t="shared" si="28"/>
        <v>2.7785483376453371E-3</v>
      </c>
      <c r="S422">
        <f t="shared" si="26"/>
        <v>3.3807774327149503E-52</v>
      </c>
      <c r="T422">
        <v>420</v>
      </c>
      <c r="U422">
        <f t="shared" si="27"/>
        <v>77</v>
      </c>
    </row>
    <row r="423" spans="1:21" x14ac:dyDescent="0.25">
      <c r="A423" s="4">
        <v>45909.705555555556</v>
      </c>
      <c r="B423" s="1">
        <v>138.63999999999999</v>
      </c>
      <c r="C423" s="1">
        <v>397.85</v>
      </c>
      <c r="D423" s="1">
        <v>20.59</v>
      </c>
      <c r="F423" s="1">
        <f t="shared" si="25"/>
        <v>-1.2966431349950014E-3</v>
      </c>
      <c r="G423" s="1">
        <f t="shared" si="25"/>
        <v>5.5604701124731815E-3</v>
      </c>
      <c r="H423" s="1">
        <f t="shared" si="25"/>
        <v>1.4591439688715901E-3</v>
      </c>
      <c r="L423" s="1"/>
      <c r="M423" s="1"/>
      <c r="R423">
        <f t="shared" si="28"/>
        <v>1.7168912839049312E-3</v>
      </c>
      <c r="S423">
        <f t="shared" si="26"/>
        <v>5.16328682087421E-52</v>
      </c>
      <c r="T423">
        <v>421</v>
      </c>
      <c r="U423">
        <f t="shared" si="27"/>
        <v>76</v>
      </c>
    </row>
    <row r="424" spans="1:21" x14ac:dyDescent="0.25">
      <c r="A424" s="4">
        <v>45910.705555555556</v>
      </c>
      <c r="B424" s="1">
        <v>139.34</v>
      </c>
      <c r="C424" s="1">
        <v>396.91</v>
      </c>
      <c r="D424" s="1">
        <v>20.57</v>
      </c>
      <c r="F424" s="1">
        <f t="shared" si="25"/>
        <v>5.0490478938258754E-3</v>
      </c>
      <c r="G424" s="1">
        <f t="shared" si="25"/>
        <v>-2.3626995098655623E-3</v>
      </c>
      <c r="H424" s="1">
        <f t="shared" si="25"/>
        <v>-9.7134531325882012E-4</v>
      </c>
      <c r="L424" s="1"/>
      <c r="M424" s="1"/>
      <c r="R424">
        <f t="shared" si="28"/>
        <v>5.1450092121044797E-4</v>
      </c>
      <c r="S424">
        <f t="shared" si="26"/>
        <v>1.8546969757192324E-52</v>
      </c>
      <c r="T424">
        <v>422</v>
      </c>
      <c r="U424">
        <f t="shared" si="27"/>
        <v>75</v>
      </c>
    </row>
    <row r="425" spans="1:21" x14ac:dyDescent="0.25">
      <c r="A425" s="4">
        <v>45911.705555555556</v>
      </c>
      <c r="B425" s="1">
        <v>140.13</v>
      </c>
      <c r="C425" s="1">
        <v>399.1</v>
      </c>
      <c r="D425" s="1">
        <v>20.48</v>
      </c>
      <c r="F425" s="1">
        <f t="shared" si="25"/>
        <v>5.6695851873116432E-3</v>
      </c>
      <c r="G425" s="1">
        <f t="shared" si="25"/>
        <v>5.5176236426393022E-3</v>
      </c>
      <c r="H425" s="1">
        <f t="shared" si="25"/>
        <v>-4.3753038405445199E-3</v>
      </c>
      <c r="L425" s="1"/>
      <c r="M425" s="1"/>
      <c r="R425">
        <f t="shared" si="28"/>
        <v>2.043571496821927E-3</v>
      </c>
      <c r="S425">
        <f t="shared" si="26"/>
        <v>1.1704161748421574E-50</v>
      </c>
      <c r="T425">
        <v>423</v>
      </c>
      <c r="U425">
        <f t="shared" si="27"/>
        <v>74</v>
      </c>
    </row>
    <row r="426" spans="1:21" x14ac:dyDescent="0.25">
      <c r="A426" s="4">
        <v>45912.705555555556</v>
      </c>
      <c r="B426" s="1">
        <v>139.29</v>
      </c>
      <c r="C426" s="1">
        <v>396.1</v>
      </c>
      <c r="D426" s="1">
        <v>20.38</v>
      </c>
      <c r="F426" s="1">
        <f t="shared" si="25"/>
        <v>-5.9944337400985592E-3</v>
      </c>
      <c r="G426" s="1">
        <f t="shared" si="25"/>
        <v>-7.5169130543722984E-3</v>
      </c>
      <c r="H426" s="1">
        <f t="shared" si="25"/>
        <v>-4.882812500000111E-3</v>
      </c>
      <c r="L426" s="1"/>
      <c r="M426" s="1"/>
      <c r="R426">
        <f t="shared" si="28"/>
        <v>-5.5182477883412911E-3</v>
      </c>
      <c r="S426">
        <f t="shared" si="26"/>
        <v>3.4136817382609198E-49</v>
      </c>
      <c r="T426">
        <v>424</v>
      </c>
      <c r="U426">
        <f t="shared" si="27"/>
        <v>73</v>
      </c>
    </row>
    <row r="427" spans="1:21" x14ac:dyDescent="0.25">
      <c r="A427" s="4">
        <v>45915.705555555556</v>
      </c>
      <c r="B427" s="1">
        <v>140.51</v>
      </c>
      <c r="C427" s="1">
        <v>395.5</v>
      </c>
      <c r="D427" s="1">
        <v>20.47</v>
      </c>
      <c r="F427" s="1">
        <f t="shared" si="25"/>
        <v>8.7587048603632311E-3</v>
      </c>
      <c r="G427" s="1">
        <f t="shared" si="25"/>
        <v>-1.5147689977279555E-3</v>
      </c>
      <c r="H427" s="1">
        <f t="shared" si="25"/>
        <v>4.4160942100097689E-3</v>
      </c>
      <c r="L427" s="1"/>
      <c r="M427" s="1"/>
      <c r="R427">
        <f t="shared" si="28"/>
        <v>3.4980090217935139E-3</v>
      </c>
      <c r="S427">
        <f t="shared" si="26"/>
        <v>5.4868422591344793E-49</v>
      </c>
      <c r="T427">
        <v>425</v>
      </c>
      <c r="U427">
        <f t="shared" si="27"/>
        <v>72</v>
      </c>
    </row>
    <row r="428" spans="1:21" x14ac:dyDescent="0.25">
      <c r="A428" s="4">
        <v>45916.705555555556</v>
      </c>
      <c r="B428" s="1">
        <v>141.02000000000001</v>
      </c>
      <c r="C428" s="1">
        <v>393.13</v>
      </c>
      <c r="D428" s="1">
        <v>20.39</v>
      </c>
      <c r="F428" s="1">
        <f t="shared" si="25"/>
        <v>3.629634901430645E-3</v>
      </c>
      <c r="G428" s="1">
        <f t="shared" si="25"/>
        <v>-5.9924146649810162E-3</v>
      </c>
      <c r="H428" s="1">
        <f t="shared" si="25"/>
        <v>-3.9081582804102455E-3</v>
      </c>
      <c r="L428" s="1"/>
      <c r="M428" s="1"/>
      <c r="R428">
        <f t="shared" si="28"/>
        <v>-1.8812814131881849E-3</v>
      </c>
      <c r="S428">
        <f t="shared" si="26"/>
        <v>6.3481641068039831E-49</v>
      </c>
      <c r="T428">
        <v>426</v>
      </c>
      <c r="U428">
        <f t="shared" si="27"/>
        <v>71</v>
      </c>
    </row>
    <row r="429" spans="1:21" x14ac:dyDescent="0.25">
      <c r="A429" s="4">
        <v>45917.705555555556</v>
      </c>
      <c r="B429" s="1">
        <v>142.51</v>
      </c>
      <c r="C429" s="1">
        <v>392.93</v>
      </c>
      <c r="D429" s="1">
        <v>20.25</v>
      </c>
      <c r="F429" s="1">
        <f t="shared" si="25"/>
        <v>1.0565877180541694E-2</v>
      </c>
      <c r="G429" s="1">
        <f t="shared" si="25"/>
        <v>-5.0873756772562562E-4</v>
      </c>
      <c r="H429" s="1">
        <f t="shared" si="25"/>
        <v>-6.8661108386464109E-3</v>
      </c>
      <c r="L429" s="1"/>
      <c r="M429" s="1"/>
      <c r="R429">
        <f t="shared" si="28"/>
        <v>9.5730863225089663E-4</v>
      </c>
      <c r="S429">
        <f t="shared" si="26"/>
        <v>6.5751332287673748E-49</v>
      </c>
      <c r="T429">
        <v>427</v>
      </c>
      <c r="U429">
        <f t="shared" si="27"/>
        <v>70</v>
      </c>
    </row>
    <row r="430" spans="1:21" x14ac:dyDescent="0.25">
      <c r="A430" s="4">
        <v>45918.705555555556</v>
      </c>
      <c r="B430" s="1">
        <v>142.44</v>
      </c>
      <c r="C430" s="1">
        <v>396.15</v>
      </c>
      <c r="D430" s="1">
        <v>20.25</v>
      </c>
      <c r="F430" s="1">
        <f t="shared" si="25"/>
        <v>-4.9119360044902471E-4</v>
      </c>
      <c r="G430" s="1">
        <f t="shared" si="25"/>
        <v>8.1948438653194344E-3</v>
      </c>
      <c r="H430" s="1">
        <f t="shared" si="25"/>
        <v>0</v>
      </c>
      <c r="L430" s="1"/>
      <c r="M430" s="1"/>
      <c r="R430">
        <f t="shared" si="28"/>
        <v>2.311095079461123E-3</v>
      </c>
      <c r="S430">
        <f t="shared" si="26"/>
        <v>1.53283787963429E-47</v>
      </c>
      <c r="T430">
        <v>428</v>
      </c>
      <c r="U430">
        <f t="shared" si="27"/>
        <v>69</v>
      </c>
    </row>
    <row r="431" spans="1:21" x14ac:dyDescent="0.25">
      <c r="A431" s="4">
        <v>45919.705555555556</v>
      </c>
      <c r="B431" s="1">
        <v>142.79</v>
      </c>
      <c r="C431" s="1">
        <v>398.05</v>
      </c>
      <c r="D431" s="1">
        <v>20.45</v>
      </c>
      <c r="F431" s="1">
        <f t="shared" si="25"/>
        <v>2.4571749508564E-3</v>
      </c>
      <c r="G431" s="1">
        <f t="shared" si="25"/>
        <v>4.7961630695445567E-3</v>
      </c>
      <c r="H431" s="1">
        <f t="shared" si="25"/>
        <v>9.8765432098764094E-3</v>
      </c>
      <c r="L431" s="1"/>
      <c r="M431" s="1"/>
      <c r="R431">
        <f t="shared" si="28"/>
        <v>5.1389643690832104E-3</v>
      </c>
      <c r="S431">
        <f t="shared" si="26"/>
        <v>3.0315993323139697E-46</v>
      </c>
      <c r="T431">
        <v>429</v>
      </c>
      <c r="U431">
        <f t="shared" si="27"/>
        <v>68</v>
      </c>
    </row>
    <row r="432" spans="1:21" x14ac:dyDescent="0.25">
      <c r="A432" s="4">
        <v>45922.705555555556</v>
      </c>
      <c r="B432" s="1">
        <v>142.06</v>
      </c>
      <c r="C432" s="1">
        <v>401.42</v>
      </c>
      <c r="D432" s="1">
        <v>20.9</v>
      </c>
      <c r="F432" s="1">
        <f t="shared" si="25"/>
        <v>-5.1124028293296764E-3</v>
      </c>
      <c r="G432" s="1">
        <f t="shared" si="25"/>
        <v>8.4662730812712361E-3</v>
      </c>
      <c r="H432" s="1">
        <f t="shared" si="25"/>
        <v>2.2004889975550057E-2</v>
      </c>
      <c r="L432" s="1"/>
      <c r="M432" s="1"/>
      <c r="R432">
        <f t="shared" si="28"/>
        <v>7.6076280682474857E-3</v>
      </c>
      <c r="S432">
        <f t="shared" si="26"/>
        <v>2.6575358093633024E-45</v>
      </c>
      <c r="T432">
        <v>430</v>
      </c>
      <c r="U432">
        <f t="shared" si="27"/>
        <v>67</v>
      </c>
    </row>
    <row r="433" spans="1:21" x14ac:dyDescent="0.25">
      <c r="A433" s="4">
        <v>45923.705555555556</v>
      </c>
      <c r="B433" s="1">
        <v>143.38</v>
      </c>
      <c r="C433" s="1">
        <v>394.91</v>
      </c>
      <c r="D433" s="1">
        <v>20.75</v>
      </c>
      <c r="F433" s="1">
        <f t="shared" si="25"/>
        <v>9.2918485147119867E-3</v>
      </c>
      <c r="G433" s="1">
        <f t="shared" si="25"/>
        <v>-1.6217428130137934E-2</v>
      </c>
      <c r="H433" s="1">
        <f t="shared" si="25"/>
        <v>-7.1770334928229484E-3</v>
      </c>
      <c r="L433" s="1"/>
      <c r="M433" s="1"/>
      <c r="R433">
        <f t="shared" si="28"/>
        <v>-4.2307839324746688E-3</v>
      </c>
      <c r="S433">
        <f t="shared" si="26"/>
        <v>3.2876249299314667E-45</v>
      </c>
      <c r="T433">
        <v>431</v>
      </c>
      <c r="U433">
        <f t="shared" si="27"/>
        <v>66</v>
      </c>
    </row>
    <row r="434" spans="1:21" x14ac:dyDescent="0.25">
      <c r="A434" s="4">
        <v>45924.705555555556</v>
      </c>
      <c r="B434" s="1">
        <v>143.15</v>
      </c>
      <c r="C434" s="1">
        <v>396.5</v>
      </c>
      <c r="D434" s="1">
        <v>20.74</v>
      </c>
      <c r="F434" s="1">
        <f t="shared" si="25"/>
        <v>-1.6041288882688853E-3</v>
      </c>
      <c r="G434" s="1">
        <f t="shared" si="25"/>
        <v>4.026233825428438E-3</v>
      </c>
      <c r="H434" s="1">
        <f t="shared" si="25"/>
        <v>-4.8192771084343278E-4</v>
      </c>
      <c r="L434" s="1"/>
      <c r="M434" s="1"/>
      <c r="R434">
        <f t="shared" si="28"/>
        <v>5.8205316789483597E-4</v>
      </c>
      <c r="S434">
        <f t="shared" si="26"/>
        <v>2.4890056258419642E-46</v>
      </c>
      <c r="T434">
        <v>432</v>
      </c>
      <c r="U434">
        <f t="shared" si="27"/>
        <v>65</v>
      </c>
    </row>
    <row r="435" spans="1:21" x14ac:dyDescent="0.25">
      <c r="A435" s="4">
        <v>45925.705555555556</v>
      </c>
      <c r="B435" s="1">
        <v>142.28</v>
      </c>
      <c r="C435" s="1">
        <v>396.5</v>
      </c>
      <c r="D435" s="1">
        <v>20.74</v>
      </c>
      <c r="F435" s="1">
        <f t="shared" si="25"/>
        <v>-6.0775410408662189E-3</v>
      </c>
      <c r="G435" s="1">
        <f t="shared" si="25"/>
        <v>0</v>
      </c>
      <c r="H435" s="1">
        <f t="shared" si="25"/>
        <v>0</v>
      </c>
      <c r="L435" s="1"/>
      <c r="M435" s="1"/>
      <c r="R435">
        <f t="shared" si="28"/>
        <v>-1.8232623122598655E-3</v>
      </c>
      <c r="S435">
        <f t="shared" si="26"/>
        <v>9.7691969448406917E-45</v>
      </c>
      <c r="T435">
        <v>433</v>
      </c>
      <c r="U435">
        <f t="shared" si="27"/>
        <v>64</v>
      </c>
    </row>
    <row r="436" spans="1:21" x14ac:dyDescent="0.25">
      <c r="A436" s="4">
        <v>45926.705555555556</v>
      </c>
      <c r="B436" s="1">
        <v>142.4</v>
      </c>
      <c r="C436" s="1">
        <v>398.25</v>
      </c>
      <c r="D436" s="1">
        <v>21</v>
      </c>
      <c r="F436" s="1">
        <f t="shared" si="25"/>
        <v>8.4340736575772013E-4</v>
      </c>
      <c r="G436" s="1">
        <f t="shared" si="25"/>
        <v>4.4136191677175418E-3</v>
      </c>
      <c r="H436" s="1">
        <f t="shared" si="25"/>
        <v>1.2536162005786E-2</v>
      </c>
      <c r="L436" s="1"/>
      <c r="M436" s="1"/>
      <c r="R436">
        <f t="shared" si="28"/>
        <v>5.3379565617783786E-3</v>
      </c>
      <c r="S436">
        <f t="shared" si="26"/>
        <v>3.3494277723832949E-43</v>
      </c>
      <c r="T436">
        <v>434</v>
      </c>
      <c r="U436">
        <f t="shared" si="27"/>
        <v>63</v>
      </c>
    </row>
    <row r="437" spans="1:21" x14ac:dyDescent="0.25">
      <c r="A437" s="4">
        <v>45929.705555555556</v>
      </c>
      <c r="B437" s="1">
        <v>143.27000000000001</v>
      </c>
      <c r="C437" s="1">
        <v>398</v>
      </c>
      <c r="D437" s="1">
        <v>21.28</v>
      </c>
      <c r="F437" s="1">
        <f t="shared" si="25"/>
        <v>6.1095505617978496E-3</v>
      </c>
      <c r="G437" s="1">
        <f t="shared" si="25"/>
        <v>-6.2774639045826142E-4</v>
      </c>
      <c r="H437" s="1">
        <f t="shared" si="25"/>
        <v>1.3333333333333419E-2</v>
      </c>
      <c r="L437" s="1"/>
      <c r="M437" s="1"/>
      <c r="R437">
        <f t="shared" si="28"/>
        <v>5.6445412514019022E-3</v>
      </c>
      <c r="S437">
        <f t="shared" si="26"/>
        <v>1.4980897765380987E-42</v>
      </c>
      <c r="T437">
        <v>435</v>
      </c>
      <c r="U437">
        <f t="shared" si="27"/>
        <v>62</v>
      </c>
    </row>
    <row r="438" spans="1:21" x14ac:dyDescent="0.25">
      <c r="A438" s="4">
        <v>45930.705555555556</v>
      </c>
      <c r="B438" s="1">
        <v>143.21</v>
      </c>
      <c r="C438" s="1">
        <v>399.8</v>
      </c>
      <c r="D438" s="1">
        <v>21.46</v>
      </c>
      <c r="F438" s="1">
        <f t="shared" si="25"/>
        <v>-4.1878969777342512E-4</v>
      </c>
      <c r="G438" s="1">
        <f t="shared" si="25"/>
        <v>4.5226130653266416E-3</v>
      </c>
      <c r="H438" s="1">
        <f t="shared" si="25"/>
        <v>8.4586466165412766E-3</v>
      </c>
      <c r="L438" s="1"/>
      <c r="M438" s="1"/>
      <c r="R438">
        <f t="shared" si="28"/>
        <v>3.7687409952283481E-3</v>
      </c>
      <c r="S438">
        <f t="shared" si="26"/>
        <v>2.6713642682359347E-42</v>
      </c>
      <c r="T438">
        <v>436</v>
      </c>
      <c r="U438">
        <f t="shared" si="27"/>
        <v>61</v>
      </c>
    </row>
    <row r="439" spans="1:21" x14ac:dyDescent="0.25">
      <c r="A439" s="4">
        <v>45931.705555555556</v>
      </c>
      <c r="B439" s="1">
        <v>142.52000000000001</v>
      </c>
      <c r="C439" s="1">
        <v>401.45</v>
      </c>
      <c r="D439" s="1">
        <v>21.52</v>
      </c>
      <c r="F439" s="1">
        <f t="shared" si="25"/>
        <v>-4.8180992947419732E-3</v>
      </c>
      <c r="G439" s="1">
        <f t="shared" si="25"/>
        <v>4.12706353176584E-3</v>
      </c>
      <c r="H439" s="1">
        <f t="shared" si="25"/>
        <v>2.7958993476233651E-3</v>
      </c>
      <c r="L439" s="1"/>
      <c r="M439" s="1"/>
      <c r="R439">
        <f t="shared" si="28"/>
        <v>6.3145907539416965E-4</v>
      </c>
      <c r="S439">
        <f t="shared" si="26"/>
        <v>2.9997905939545105E-43</v>
      </c>
      <c r="T439">
        <v>437</v>
      </c>
      <c r="U439">
        <f t="shared" si="27"/>
        <v>60</v>
      </c>
    </row>
    <row r="440" spans="1:21" x14ac:dyDescent="0.25">
      <c r="A440" s="4">
        <v>45932.705555555556</v>
      </c>
      <c r="B440" s="1">
        <v>140.99</v>
      </c>
      <c r="C440" s="1">
        <v>402.8</v>
      </c>
      <c r="D440" s="1">
        <v>21.48</v>
      </c>
      <c r="F440" s="1">
        <f t="shared" si="25"/>
        <v>-1.0735335391524048E-2</v>
      </c>
      <c r="G440" s="1">
        <f t="shared" si="25"/>
        <v>3.3628098144227181E-3</v>
      </c>
      <c r="H440" s="1">
        <f t="shared" si="25"/>
        <v>-1.8587360594795044E-3</v>
      </c>
      <c r="L440" s="1"/>
      <c r="M440" s="1"/>
      <c r="R440">
        <f t="shared" si="28"/>
        <v>-2.7693784909742503E-3</v>
      </c>
      <c r="S440">
        <f t="shared" si="26"/>
        <v>2.3079433326987556E-41</v>
      </c>
      <c r="T440">
        <v>438</v>
      </c>
      <c r="U440">
        <f t="shared" si="27"/>
        <v>59</v>
      </c>
    </row>
    <row r="441" spans="1:21" x14ac:dyDescent="0.25">
      <c r="A441" s="4">
        <v>45933.705555555556</v>
      </c>
      <c r="B441" s="1">
        <v>141.22</v>
      </c>
      <c r="C441" s="1">
        <v>402.4</v>
      </c>
      <c r="D441" s="1">
        <v>21.65</v>
      </c>
      <c r="F441" s="1">
        <f t="shared" si="25"/>
        <v>1.6313213703098572E-3</v>
      </c>
      <c r="G441" s="1">
        <f t="shared" si="25"/>
        <v>-9.9304865938443232E-4</v>
      </c>
      <c r="H441" s="1">
        <f t="shared" si="25"/>
        <v>7.9143389199254344E-3</v>
      </c>
      <c r="L441" s="1"/>
      <c r="M441" s="1"/>
      <c r="R441">
        <f t="shared" si="28"/>
        <v>2.5657834892552581E-3</v>
      </c>
      <c r="S441">
        <f t="shared" si="26"/>
        <v>7.9242928191231153E-41</v>
      </c>
      <c r="T441">
        <v>439</v>
      </c>
      <c r="U441">
        <f t="shared" si="27"/>
        <v>58</v>
      </c>
    </row>
    <row r="442" spans="1:21" x14ac:dyDescent="0.25">
      <c r="A442" s="4">
        <v>45936.705555555556</v>
      </c>
      <c r="B442" s="1">
        <v>140.65</v>
      </c>
      <c r="C442" s="1">
        <v>402</v>
      </c>
      <c r="D442" s="1">
        <v>21.95</v>
      </c>
      <c r="F442" s="1">
        <f t="shared" si="25"/>
        <v>-4.036255487891216E-3</v>
      </c>
      <c r="G442" s="1">
        <f t="shared" si="25"/>
        <v>-9.9403578528822756E-4</v>
      </c>
      <c r="H442" s="1">
        <f t="shared" si="25"/>
        <v>1.3856812933025431E-2</v>
      </c>
      <c r="L442" s="1"/>
      <c r="M442" s="1"/>
      <c r="R442">
        <f t="shared" si="28"/>
        <v>2.647956497953797E-3</v>
      </c>
      <c r="S442">
        <f t="shared" si="26"/>
        <v>3.3759980438764362E-40</v>
      </c>
      <c r="T442">
        <v>440</v>
      </c>
      <c r="U442">
        <f t="shared" si="27"/>
        <v>57</v>
      </c>
    </row>
    <row r="443" spans="1:21" x14ac:dyDescent="0.25">
      <c r="A443" s="4">
        <v>45937.705555555556</v>
      </c>
      <c r="B443" s="1">
        <v>138.47</v>
      </c>
      <c r="C443" s="1">
        <v>403.73</v>
      </c>
      <c r="D443" s="1">
        <v>22.22</v>
      </c>
      <c r="F443" s="1">
        <f t="shared" si="25"/>
        <v>-1.5499466761464631E-2</v>
      </c>
      <c r="G443" s="1">
        <f t="shared" si="25"/>
        <v>4.3034825870646998E-3</v>
      </c>
      <c r="H443" s="1">
        <f t="shared" si="25"/>
        <v>1.2300683371298415E-2</v>
      </c>
      <c r="L443" s="1"/>
      <c r="M443" s="1"/>
      <c r="R443">
        <f t="shared" si="28"/>
        <v>3.3140975906954546E-4</v>
      </c>
      <c r="S443">
        <f t="shared" si="26"/>
        <v>2.1152956273291142E-41</v>
      </c>
      <c r="T443">
        <v>441</v>
      </c>
      <c r="U443">
        <f t="shared" si="27"/>
        <v>56</v>
      </c>
    </row>
    <row r="444" spans="1:21" x14ac:dyDescent="0.25">
      <c r="A444" s="4">
        <v>45938.705555555556</v>
      </c>
      <c r="B444" s="1">
        <v>138.47</v>
      </c>
      <c r="C444" s="1">
        <v>405.49</v>
      </c>
      <c r="D444" s="1">
        <v>22.57</v>
      </c>
      <c r="F444" s="1">
        <f t="shared" si="25"/>
        <v>0</v>
      </c>
      <c r="G444" s="1">
        <f t="shared" si="25"/>
        <v>4.3593490699229687E-3</v>
      </c>
      <c r="H444" s="1">
        <f t="shared" si="25"/>
        <v>1.5751575157515907E-2</v>
      </c>
      <c r="L444" s="1"/>
      <c r="M444" s="1"/>
      <c r="R444">
        <f t="shared" si="28"/>
        <v>6.0332772682316627E-3</v>
      </c>
      <c r="S444">
        <f t="shared" si="26"/>
        <v>2.8041874790365866E-38</v>
      </c>
      <c r="T444">
        <v>442</v>
      </c>
      <c r="U444">
        <f t="shared" si="27"/>
        <v>55</v>
      </c>
    </row>
    <row r="445" spans="1:21" x14ac:dyDescent="0.25">
      <c r="A445" s="4">
        <v>45939.705555555556</v>
      </c>
      <c r="B445" s="1">
        <v>138.79</v>
      </c>
      <c r="C445" s="1">
        <v>406.75</v>
      </c>
      <c r="D445" s="1">
        <v>22.3</v>
      </c>
      <c r="F445" s="1">
        <f t="shared" si="25"/>
        <v>2.3109698851735416E-3</v>
      </c>
      <c r="G445" s="1">
        <f t="shared" si="25"/>
        <v>3.1073515992996459E-3</v>
      </c>
      <c r="H445" s="1">
        <f t="shared" si="25"/>
        <v>-1.1962782454585708E-2</v>
      </c>
      <c r="L445" s="1"/>
      <c r="M445" s="1"/>
      <c r="R445">
        <f t="shared" si="28"/>
        <v>-1.9633382910337568E-3</v>
      </c>
      <c r="S445">
        <f t="shared" si="26"/>
        <v>1.1878202961229236E-38</v>
      </c>
      <c r="T445">
        <v>443</v>
      </c>
      <c r="U445">
        <f t="shared" si="27"/>
        <v>54</v>
      </c>
    </row>
    <row r="446" spans="1:21" x14ac:dyDescent="0.25">
      <c r="A446" s="4">
        <v>45940.705555555556</v>
      </c>
      <c r="B446" s="1">
        <v>137.79</v>
      </c>
      <c r="C446" s="1">
        <v>405.25</v>
      </c>
      <c r="D446" s="1">
        <v>23.03</v>
      </c>
      <c r="F446" s="1">
        <f t="shared" si="25"/>
        <v>-7.205130052597486E-3</v>
      </c>
      <c r="G446" s="1">
        <f t="shared" si="25"/>
        <v>-3.6877688998155911E-3</v>
      </c>
      <c r="H446" s="1">
        <f t="shared" si="25"/>
        <v>3.2735426008968727E-2</v>
      </c>
      <c r="L446" s="1"/>
      <c r="M446" s="1"/>
      <c r="R446">
        <f t="shared" si="28"/>
        <v>6.5527581169666964E-3</v>
      </c>
      <c r="S446">
        <f t="shared" si="26"/>
        <v>5.2925958723048122E-37</v>
      </c>
      <c r="T446">
        <v>444</v>
      </c>
      <c r="U446">
        <f t="shared" si="27"/>
        <v>53</v>
      </c>
    </row>
    <row r="447" spans="1:21" x14ac:dyDescent="0.25">
      <c r="A447" s="4">
        <v>45943.705555555556</v>
      </c>
      <c r="B447" s="1">
        <v>138.84</v>
      </c>
      <c r="C447" s="1">
        <v>408.2</v>
      </c>
      <c r="D447" s="1">
        <v>23.43</v>
      </c>
      <c r="F447" s="1">
        <f t="shared" si="25"/>
        <v>7.6202917483128019E-3</v>
      </c>
      <c r="G447" s="1">
        <f t="shared" si="25"/>
        <v>7.279457125231259E-3</v>
      </c>
      <c r="H447" s="1">
        <f t="shared" si="25"/>
        <v>1.7368649587494511E-2</v>
      </c>
      <c r="L447" s="1"/>
      <c r="M447" s="1"/>
      <c r="R447">
        <f t="shared" si="28"/>
        <v>9.6805195383115709E-3</v>
      </c>
      <c r="S447">
        <f t="shared" si="26"/>
        <v>4.6203809292343629E-36</v>
      </c>
      <c r="T447">
        <v>445</v>
      </c>
      <c r="U447">
        <f t="shared" si="27"/>
        <v>52</v>
      </c>
    </row>
    <row r="448" spans="1:21" x14ac:dyDescent="0.25">
      <c r="A448" s="4">
        <v>45944.705555555556</v>
      </c>
      <c r="B448" s="1">
        <v>138.76</v>
      </c>
      <c r="C448" s="1">
        <v>408.37</v>
      </c>
      <c r="D448" s="1">
        <v>23.66</v>
      </c>
      <c r="F448" s="1">
        <f t="shared" si="25"/>
        <v>-5.7620282339387874E-4</v>
      </c>
      <c r="G448" s="1">
        <f t="shared" si="25"/>
        <v>4.1646251837335058E-4</v>
      </c>
      <c r="H448" s="1">
        <f t="shared" si="25"/>
        <v>9.8164746052069596E-3</v>
      </c>
      <c r="L448" s="1"/>
      <c r="M448" s="1"/>
      <c r="R448">
        <f t="shared" si="28"/>
        <v>2.8970202900559299E-3</v>
      </c>
      <c r="S448">
        <f t="shared" si="26"/>
        <v>1.6551734680448831E-36</v>
      </c>
      <c r="T448">
        <v>446</v>
      </c>
      <c r="U448">
        <f t="shared" si="27"/>
        <v>51</v>
      </c>
    </row>
    <row r="449" spans="1:21" x14ac:dyDescent="0.25">
      <c r="A449" s="4">
        <v>45945.705555555556</v>
      </c>
      <c r="B449" s="1">
        <v>139.65</v>
      </c>
      <c r="C449" s="1">
        <v>409.41</v>
      </c>
      <c r="D449" s="1">
        <v>24</v>
      </c>
      <c r="F449" s="1">
        <f t="shared" si="25"/>
        <v>6.4139521475929939E-3</v>
      </c>
      <c r="G449" s="1">
        <f t="shared" si="25"/>
        <v>2.5467100913387775E-3</v>
      </c>
      <c r="H449" s="1">
        <f t="shared" si="25"/>
        <v>1.4370245139475823E-2</v>
      </c>
      <c r="L449" s="1"/>
      <c r="M449" s="1"/>
      <c r="R449">
        <f t="shared" si="28"/>
        <v>6.9992722135222788E-3</v>
      </c>
      <c r="S449">
        <f t="shared" si="26"/>
        <v>3.8646147061473308E-35</v>
      </c>
      <c r="T449">
        <v>447</v>
      </c>
      <c r="U449">
        <f t="shared" si="27"/>
        <v>50</v>
      </c>
    </row>
    <row r="450" spans="1:21" x14ac:dyDescent="0.25">
      <c r="A450" s="4">
        <v>45946.705555555556</v>
      </c>
      <c r="B450" s="1">
        <v>139.27000000000001</v>
      </c>
      <c r="C450" s="1">
        <v>405</v>
      </c>
      <c r="D450" s="1">
        <v>24.48</v>
      </c>
      <c r="F450" s="1">
        <f t="shared" si="25"/>
        <v>-2.7210884353741083E-3</v>
      </c>
      <c r="G450" s="1">
        <f t="shared" si="25"/>
        <v>-1.077159815344042E-2</v>
      </c>
      <c r="H450" s="1">
        <f t="shared" si="25"/>
        <v>2.0000000000000018E-2</v>
      </c>
      <c r="L450" s="1"/>
      <c r="M450" s="1"/>
      <c r="R450">
        <f t="shared" si="28"/>
        <v>1.9521940233556481E-3</v>
      </c>
      <c r="S450">
        <f t="shared" si="26"/>
        <v>1.2025589714198422E-35</v>
      </c>
      <c r="T450">
        <v>448</v>
      </c>
      <c r="U450">
        <f t="shared" si="27"/>
        <v>49</v>
      </c>
    </row>
    <row r="451" spans="1:21" x14ac:dyDescent="0.25">
      <c r="A451" s="4">
        <v>45947.705555555556</v>
      </c>
      <c r="B451" s="1">
        <v>140.41999999999999</v>
      </c>
      <c r="C451" s="1">
        <v>404.96</v>
      </c>
      <c r="D451" s="1">
        <v>23.86</v>
      </c>
      <c r="F451" s="1">
        <f t="shared" si="25"/>
        <v>8.25734185395266E-3</v>
      </c>
      <c r="G451" s="1">
        <f t="shared" si="25"/>
        <v>-9.8765432098857353E-5</v>
      </c>
      <c r="H451" s="1">
        <f t="shared" si="25"/>
        <v>-2.5326797385620936E-2</v>
      </c>
      <c r="L451" s="1"/>
      <c r="M451" s="1"/>
      <c r="R451">
        <f t="shared" si="28"/>
        <v>-5.1504662891301411E-3</v>
      </c>
      <c r="S451">
        <f t="shared" si="26"/>
        <v>3.3482163606520595E-34</v>
      </c>
      <c r="T451">
        <v>449</v>
      </c>
      <c r="U451">
        <f t="shared" si="27"/>
        <v>48</v>
      </c>
    </row>
    <row r="452" spans="1:21" x14ac:dyDescent="0.25">
      <c r="A452" s="4">
        <v>45951.705555555556</v>
      </c>
      <c r="B452" s="1">
        <v>141.11000000000001</v>
      </c>
      <c r="C452" s="1">
        <v>407.84</v>
      </c>
      <c r="D452" s="1">
        <v>23.09</v>
      </c>
      <c r="F452" s="1">
        <f t="shared" ref="F452:H498" si="29">(B452/B451)-1</f>
        <v>4.9138299387554429E-3</v>
      </c>
      <c r="G452" s="1">
        <f t="shared" si="29"/>
        <v>7.1118135124457194E-3</v>
      </c>
      <c r="H452" s="1">
        <f t="shared" si="29"/>
        <v>-3.2271584241408191E-2</v>
      </c>
      <c r="L452" s="1"/>
      <c r="M452" s="1"/>
      <c r="R452">
        <f t="shared" si="28"/>
        <v>-6.0737822370621093E-3</v>
      </c>
      <c r="S452">
        <f t="shared" ref="S452:S498" si="30">(R452^2)*((1-$P$2)^U452)</f>
        <v>1.8625109805675139E-33</v>
      </c>
      <c r="T452">
        <v>450</v>
      </c>
      <c r="U452">
        <f t="shared" ref="U452:U498" si="31">497-T452</f>
        <v>47</v>
      </c>
    </row>
    <row r="453" spans="1:21" x14ac:dyDescent="0.25">
      <c r="A453" s="4">
        <v>45952.705555555556</v>
      </c>
      <c r="B453" s="1">
        <v>141.87</v>
      </c>
      <c r="C453" s="1">
        <v>406.35</v>
      </c>
      <c r="D453" s="1">
        <v>23.08</v>
      </c>
      <c r="F453" s="1">
        <f t="shared" si="29"/>
        <v>5.3858691800721115E-3</v>
      </c>
      <c r="G453" s="1">
        <f t="shared" si="29"/>
        <v>-3.6533934876420426E-3</v>
      </c>
      <c r="H453" s="1">
        <f t="shared" si="29"/>
        <v>-4.3308791684715242E-4</v>
      </c>
      <c r="L453" s="1"/>
      <c r="M453" s="1"/>
      <c r="R453">
        <f t="shared" ref="R453:R498" si="32">$L$2*F453+G453*$L$3+H453*$L$4</f>
        <v>3.8981633267487492E-4</v>
      </c>
      <c r="S453">
        <f t="shared" si="30"/>
        <v>3.0687425965276986E-35</v>
      </c>
      <c r="T453">
        <v>451</v>
      </c>
      <c r="U453">
        <f t="shared" si="31"/>
        <v>46</v>
      </c>
    </row>
    <row r="454" spans="1:21" x14ac:dyDescent="0.25">
      <c r="A454" s="4">
        <v>45953.705555555556</v>
      </c>
      <c r="B454" s="1">
        <v>142.69999999999999</v>
      </c>
      <c r="C454" s="1">
        <v>407.8</v>
      </c>
      <c r="D454" s="1">
        <v>23.14</v>
      </c>
      <c r="F454" s="1">
        <f t="shared" si="29"/>
        <v>5.8504264467469369E-3</v>
      </c>
      <c r="G454" s="1">
        <f t="shared" si="29"/>
        <v>3.5683524055616367E-3</v>
      </c>
      <c r="H454" s="1">
        <f t="shared" si="29"/>
        <v>2.5996533795495935E-3</v>
      </c>
      <c r="L454" s="1"/>
      <c r="M454" s="1"/>
      <c r="R454">
        <f t="shared" si="32"/>
        <v>3.60552966955745E-3</v>
      </c>
      <c r="S454">
        <f t="shared" si="30"/>
        <v>1.0501190514496495E-32</v>
      </c>
      <c r="T454">
        <v>452</v>
      </c>
      <c r="U454">
        <f t="shared" si="31"/>
        <v>45</v>
      </c>
    </row>
    <row r="455" spans="1:21" x14ac:dyDescent="0.25">
      <c r="A455" s="4">
        <v>45954.705555555556</v>
      </c>
      <c r="B455" s="1">
        <v>143.15</v>
      </c>
      <c r="C455" s="1">
        <v>411.68</v>
      </c>
      <c r="D455" s="1">
        <v>23.09</v>
      </c>
      <c r="F455" s="1">
        <f t="shared" si="29"/>
        <v>3.1534688156973356E-3</v>
      </c>
      <c r="G455" s="1">
        <f t="shared" si="29"/>
        <v>9.5144678764100821E-3</v>
      </c>
      <c r="H455" s="1">
        <f t="shared" si="29"/>
        <v>-2.160760587726962E-3</v>
      </c>
      <c r="L455" s="1"/>
      <c r="M455" s="1"/>
      <c r="R455">
        <f t="shared" si="32"/>
        <v>3.1521528313141365E-3</v>
      </c>
      <c r="S455">
        <f t="shared" si="30"/>
        <v>3.2105165538380919E-32</v>
      </c>
      <c r="T455">
        <v>453</v>
      </c>
      <c r="U455">
        <f t="shared" si="31"/>
        <v>44</v>
      </c>
    </row>
    <row r="456" spans="1:21" x14ac:dyDescent="0.25">
      <c r="A456" s="4">
        <v>45957.705555555556</v>
      </c>
      <c r="B456" s="1">
        <v>143.93</v>
      </c>
      <c r="C456" s="1">
        <v>414.81</v>
      </c>
      <c r="D456" s="1">
        <v>22.36</v>
      </c>
      <c r="F456" s="1">
        <f t="shared" si="29"/>
        <v>5.4488298987076522E-3</v>
      </c>
      <c r="G456" s="1">
        <f t="shared" si="29"/>
        <v>7.6029926156238048E-3</v>
      </c>
      <c r="H456" s="1">
        <f t="shared" si="29"/>
        <v>-3.1615417929839795E-2</v>
      </c>
      <c r="L456" s="1"/>
      <c r="M456" s="1"/>
      <c r="R456">
        <f t="shared" si="32"/>
        <v>-5.5690786246525023E-3</v>
      </c>
      <c r="S456">
        <f t="shared" si="30"/>
        <v>4.008547844752168E-31</v>
      </c>
      <c r="T456">
        <v>454</v>
      </c>
      <c r="U456">
        <f t="shared" si="31"/>
        <v>43</v>
      </c>
    </row>
    <row r="457" spans="1:21" x14ac:dyDescent="0.25">
      <c r="A457" s="4">
        <v>45958.705555555556</v>
      </c>
      <c r="B457" s="1">
        <v>144.38</v>
      </c>
      <c r="C457" s="1">
        <v>415.05</v>
      </c>
      <c r="D457" s="1">
        <v>22.13</v>
      </c>
      <c r="F457" s="1">
        <f t="shared" si="29"/>
        <v>3.126519836031294E-3</v>
      </c>
      <c r="G457" s="1">
        <f t="shared" si="29"/>
        <v>5.785781442106952E-4</v>
      </c>
      <c r="H457" s="1">
        <f t="shared" si="29"/>
        <v>-1.0286225402504456E-2</v>
      </c>
      <c r="L457" s="1"/>
      <c r="M457" s="1"/>
      <c r="R457">
        <f t="shared" si="32"/>
        <v>-1.9743382266787408E-3</v>
      </c>
      <c r="S457">
        <f t="shared" si="30"/>
        <v>2.015224678222776E-31</v>
      </c>
      <c r="T457">
        <v>455</v>
      </c>
      <c r="U457">
        <f t="shared" si="31"/>
        <v>42</v>
      </c>
    </row>
    <row r="458" spans="1:21" x14ac:dyDescent="0.25">
      <c r="A458" s="4">
        <v>45959.705555555556</v>
      </c>
      <c r="B458" s="1">
        <v>145.55000000000001</v>
      </c>
      <c r="C458" s="1">
        <v>414.9</v>
      </c>
      <c r="D458" s="1">
        <v>22.06</v>
      </c>
      <c r="F458" s="1">
        <f t="shared" si="29"/>
        <v>8.1036154592049048E-3</v>
      </c>
      <c r="G458" s="1">
        <f t="shared" si="29"/>
        <v>-3.6140224069391991E-4</v>
      </c>
      <c r="H458" s="1">
        <f t="shared" si="29"/>
        <v>-3.1631269769544224E-3</v>
      </c>
      <c r="L458" s="1"/>
      <c r="M458" s="1"/>
      <c r="R458">
        <f t="shared" si="32"/>
        <v>1.3737258724669686E-3</v>
      </c>
      <c r="S458">
        <f t="shared" si="30"/>
        <v>3.9024784276811428E-31</v>
      </c>
      <c r="T458">
        <v>456</v>
      </c>
      <c r="U458">
        <f t="shared" si="31"/>
        <v>41</v>
      </c>
    </row>
    <row r="459" spans="1:21" x14ac:dyDescent="0.25">
      <c r="A459" s="4">
        <v>45960.705555555556</v>
      </c>
      <c r="B459" s="1">
        <v>145.71</v>
      </c>
      <c r="C459" s="1">
        <v>412.5</v>
      </c>
      <c r="D459" s="1">
        <v>22.6</v>
      </c>
      <c r="F459" s="1">
        <f t="shared" si="29"/>
        <v>1.0992785984198505E-3</v>
      </c>
      <c r="G459" s="1">
        <f t="shared" si="29"/>
        <v>-5.7845263919016343E-3</v>
      </c>
      <c r="H459" s="1">
        <f t="shared" si="29"/>
        <v>2.447869446962847E-2</v>
      </c>
      <c r="L459" s="1"/>
      <c r="M459" s="1"/>
      <c r="R459">
        <f t="shared" si="32"/>
        <v>5.9380340028440072E-3</v>
      </c>
      <c r="S459">
        <f t="shared" si="30"/>
        <v>2.9166593389635415E-29</v>
      </c>
      <c r="T459">
        <v>457</v>
      </c>
      <c r="U459">
        <f t="shared" si="31"/>
        <v>40</v>
      </c>
    </row>
    <row r="460" spans="1:21" x14ac:dyDescent="0.25">
      <c r="A460" s="4">
        <v>45961.705555555556</v>
      </c>
      <c r="B460" s="1">
        <v>146.44</v>
      </c>
      <c r="C460" s="1">
        <v>413.33</v>
      </c>
      <c r="D460" s="1">
        <v>22.45</v>
      </c>
      <c r="F460" s="1">
        <f t="shared" si="29"/>
        <v>5.0099512730765738E-3</v>
      </c>
      <c r="G460" s="1">
        <f t="shared" si="29"/>
        <v>2.0121212121211318E-3</v>
      </c>
      <c r="H460" s="1">
        <f t="shared" si="29"/>
        <v>-6.6371681415929862E-3</v>
      </c>
      <c r="L460" s="1"/>
      <c r="M460" s="1"/>
      <c r="R460">
        <f t="shared" si="32"/>
        <v>1.1547130308141567E-4</v>
      </c>
      <c r="S460">
        <f t="shared" si="30"/>
        <v>4.4117253909162208E-32</v>
      </c>
      <c r="T460">
        <v>458</v>
      </c>
      <c r="U460">
        <f t="shared" si="31"/>
        <v>39</v>
      </c>
    </row>
    <row r="461" spans="1:21" x14ac:dyDescent="0.25">
      <c r="A461" s="4">
        <v>45964.705555555556</v>
      </c>
      <c r="B461" s="1">
        <v>147.33000000000001</v>
      </c>
      <c r="C461" s="1">
        <v>412.35</v>
      </c>
      <c r="D461" s="1">
        <v>22.42</v>
      </c>
      <c r="F461" s="1">
        <f t="shared" si="29"/>
        <v>6.0775744332151049E-3</v>
      </c>
      <c r="G461" s="1">
        <f t="shared" si="29"/>
        <v>-2.3709868627972419E-3</v>
      </c>
      <c r="H461" s="1">
        <f t="shared" si="29"/>
        <v>-1.3363028953228273E-3</v>
      </c>
      <c r="L461" s="1"/>
      <c r="M461" s="1"/>
      <c r="R461">
        <f t="shared" si="32"/>
        <v>7.1108540252851071E-4</v>
      </c>
      <c r="S461">
        <f t="shared" si="30"/>
        <v>6.6921221002667435E-30</v>
      </c>
      <c r="T461">
        <v>459</v>
      </c>
      <c r="U461">
        <f t="shared" si="31"/>
        <v>38</v>
      </c>
    </row>
    <row r="462" spans="1:21" x14ac:dyDescent="0.25">
      <c r="A462" s="4">
        <v>45965.705555555556</v>
      </c>
      <c r="B462" s="1">
        <v>147.74</v>
      </c>
      <c r="C462" s="1">
        <v>410.95</v>
      </c>
      <c r="D462" s="1">
        <v>22.2</v>
      </c>
      <c r="F462" s="1">
        <f t="shared" si="29"/>
        <v>2.7828683906876428E-3</v>
      </c>
      <c r="G462" s="1">
        <f t="shared" si="29"/>
        <v>-3.3951740026677557E-3</v>
      </c>
      <c r="H462" s="1">
        <f t="shared" si="29"/>
        <v>-9.8126672613738641E-3</v>
      </c>
      <c r="L462" s="1"/>
      <c r="M462" s="1"/>
      <c r="R462">
        <f t="shared" si="32"/>
        <v>-3.1274918620061935E-3</v>
      </c>
      <c r="S462">
        <f t="shared" si="30"/>
        <v>5.178126995435566E-28</v>
      </c>
      <c r="T462">
        <v>460</v>
      </c>
      <c r="U462">
        <f t="shared" si="31"/>
        <v>37</v>
      </c>
    </row>
    <row r="463" spans="1:21" x14ac:dyDescent="0.25">
      <c r="A463" s="4">
        <v>45966.705555555556</v>
      </c>
      <c r="B463" s="1">
        <v>150.1</v>
      </c>
      <c r="C463" s="1">
        <v>409</v>
      </c>
      <c r="D463" s="1">
        <v>22.27</v>
      </c>
      <c r="F463" s="1">
        <f t="shared" si="29"/>
        <v>1.5974008393123018E-2</v>
      </c>
      <c r="G463" s="1">
        <f t="shared" si="29"/>
        <v>-4.7451028105608417E-3</v>
      </c>
      <c r="H463" s="1">
        <f t="shared" si="29"/>
        <v>3.153153153153232E-3</v>
      </c>
      <c r="L463" s="1"/>
      <c r="M463" s="1"/>
      <c r="R463">
        <f t="shared" si="32"/>
        <v>4.3146176207146218E-3</v>
      </c>
      <c r="S463">
        <f t="shared" si="30"/>
        <v>3.9420754997542562E-27</v>
      </c>
      <c r="T463">
        <v>461</v>
      </c>
      <c r="U463">
        <f t="shared" si="31"/>
        <v>36</v>
      </c>
    </row>
    <row r="464" spans="1:21" x14ac:dyDescent="0.25">
      <c r="A464" s="4">
        <v>45967.705555555556</v>
      </c>
      <c r="B464" s="1">
        <v>150.19</v>
      </c>
      <c r="C464" s="1">
        <v>404.4</v>
      </c>
      <c r="D464" s="1">
        <v>22.2</v>
      </c>
      <c r="F464" s="1">
        <f t="shared" si="29"/>
        <v>5.9960026648897546E-4</v>
      </c>
      <c r="G464" s="1">
        <f t="shared" si="29"/>
        <v>-1.1246943765281237E-2</v>
      </c>
      <c r="H464" s="1">
        <f t="shared" si="29"/>
        <v>-3.1432420296363395E-3</v>
      </c>
      <c r="L464" s="1"/>
      <c r="M464" s="1"/>
      <c r="R464">
        <f t="shared" si="32"/>
        <v>-4.1371756585285805E-3</v>
      </c>
      <c r="S464">
        <f t="shared" si="30"/>
        <v>1.4498004330337666E-26</v>
      </c>
      <c r="T464">
        <v>462</v>
      </c>
      <c r="U464">
        <f t="shared" si="31"/>
        <v>35</v>
      </c>
    </row>
    <row r="465" spans="1:21" x14ac:dyDescent="0.25">
      <c r="A465" s="4">
        <v>45968.705555555556</v>
      </c>
      <c r="B465" s="1">
        <v>150.88999999999999</v>
      </c>
      <c r="C465" s="1">
        <v>403.4</v>
      </c>
      <c r="D465" s="1">
        <v>22.29</v>
      </c>
      <c r="F465" s="1">
        <f t="shared" si="29"/>
        <v>4.6607630334909445E-3</v>
      </c>
      <c r="G465" s="1">
        <f t="shared" si="29"/>
        <v>-2.4727992087042461E-3</v>
      </c>
      <c r="H465" s="1">
        <f t="shared" si="29"/>
        <v>4.0540540540541237E-3</v>
      </c>
      <c r="L465" s="1"/>
      <c r="M465" s="1"/>
      <c r="R465">
        <f t="shared" si="32"/>
        <v>1.8726053636522466E-3</v>
      </c>
      <c r="S465">
        <f t="shared" si="30"/>
        <v>1.1880995211022327E-26</v>
      </c>
      <c r="T465">
        <v>463</v>
      </c>
      <c r="U465">
        <f t="shared" si="31"/>
        <v>34</v>
      </c>
    </row>
    <row r="466" spans="1:21" x14ac:dyDescent="0.25">
      <c r="A466" s="4">
        <v>45971.705555555556</v>
      </c>
      <c r="B466" s="1">
        <v>151.91999999999999</v>
      </c>
      <c r="C466" s="1">
        <v>407.1</v>
      </c>
      <c r="D466" s="1">
        <v>22.71</v>
      </c>
      <c r="F466" s="1">
        <f t="shared" si="29"/>
        <v>6.826164755782349E-3</v>
      </c>
      <c r="G466" s="1">
        <f t="shared" si="29"/>
        <v>9.1720376797224112E-3</v>
      </c>
      <c r="H466" s="1">
        <f t="shared" si="29"/>
        <v>1.8842530282638048E-2</v>
      </c>
      <c r="L466" s="1"/>
      <c r="M466" s="1"/>
      <c r="R466">
        <f t="shared" si="32"/>
        <v>1.0452219815442844E-2</v>
      </c>
      <c r="S466">
        <f t="shared" si="30"/>
        <v>1.4805986714213492E-24</v>
      </c>
      <c r="T466">
        <v>464</v>
      </c>
      <c r="U466">
        <f t="shared" si="31"/>
        <v>33</v>
      </c>
    </row>
    <row r="467" spans="1:21" x14ac:dyDescent="0.25">
      <c r="A467" s="4">
        <v>45972.705555555556</v>
      </c>
      <c r="B467" s="1">
        <v>154.28</v>
      </c>
      <c r="C467" s="1">
        <v>405.75</v>
      </c>
      <c r="D467" s="1">
        <v>22.73</v>
      </c>
      <c r="F467" s="1">
        <f t="shared" si="29"/>
        <v>1.5534491837809528E-2</v>
      </c>
      <c r="G467" s="1">
        <f t="shared" si="29"/>
        <v>-3.3161385408990718E-3</v>
      </c>
      <c r="H467" s="1">
        <f t="shared" si="29"/>
        <v>8.8066930867447546E-4</v>
      </c>
      <c r="L467" s="1"/>
      <c r="M467" s="1"/>
      <c r="R467">
        <f t="shared" si="32"/>
        <v>3.9297067816754794E-3</v>
      </c>
      <c r="S467">
        <f t="shared" si="30"/>
        <v>8.3714477352971819E-25</v>
      </c>
      <c r="T467">
        <v>465</v>
      </c>
      <c r="U467">
        <f t="shared" si="31"/>
        <v>32</v>
      </c>
    </row>
    <row r="468" spans="1:21" x14ac:dyDescent="0.25">
      <c r="A468" s="4">
        <v>45973.705555555556</v>
      </c>
      <c r="B468" s="1">
        <v>154.4</v>
      </c>
      <c r="C468" s="1">
        <v>407.55</v>
      </c>
      <c r="D468" s="1">
        <v>23.18</v>
      </c>
      <c r="F468" s="1">
        <f t="shared" si="29"/>
        <v>7.7780658542914161E-4</v>
      </c>
      <c r="G468" s="1">
        <f t="shared" si="29"/>
        <v>4.4362292051756125E-3</v>
      </c>
      <c r="H468" s="1">
        <f t="shared" si="29"/>
        <v>1.9797624285085691E-2</v>
      </c>
      <c r="L468" s="1"/>
      <c r="M468" s="1"/>
      <c r="R468">
        <f t="shared" si="32"/>
        <v>7.5034980227071339E-3</v>
      </c>
      <c r="S468">
        <f t="shared" si="30"/>
        <v>1.2208654785212231E-23</v>
      </c>
      <c r="T468">
        <v>466</v>
      </c>
      <c r="U468">
        <f t="shared" si="31"/>
        <v>31</v>
      </c>
    </row>
    <row r="469" spans="1:21" x14ac:dyDescent="0.25">
      <c r="A469" s="4">
        <v>45974.705555555556</v>
      </c>
      <c r="B469" s="1">
        <v>153.94</v>
      </c>
      <c r="C469" s="1">
        <v>401.5</v>
      </c>
      <c r="D469" s="1">
        <v>23.02</v>
      </c>
      <c r="F469" s="1">
        <f t="shared" si="29"/>
        <v>-2.9792746113990187E-3</v>
      </c>
      <c r="G469" s="1">
        <f t="shared" si="29"/>
        <v>-1.4844804318488558E-2</v>
      </c>
      <c r="H469" s="1">
        <f t="shared" si="29"/>
        <v>-6.90250215703192E-3</v>
      </c>
      <c r="L469" s="1"/>
      <c r="M469" s="1"/>
      <c r="R469">
        <f t="shared" si="32"/>
        <v>-7.4179743260758494E-3</v>
      </c>
      <c r="S469">
        <f t="shared" si="30"/>
        <v>4.7727744588374868E-23</v>
      </c>
      <c r="T469">
        <v>467</v>
      </c>
      <c r="U469">
        <f t="shared" si="31"/>
        <v>30</v>
      </c>
    </row>
    <row r="470" spans="1:21" x14ac:dyDescent="0.25">
      <c r="A470" s="4">
        <v>45975.705555555556</v>
      </c>
      <c r="B470" s="1">
        <v>154.49</v>
      </c>
      <c r="C470" s="1">
        <v>401.1</v>
      </c>
      <c r="D470" s="1">
        <v>22.59</v>
      </c>
      <c r="F470" s="1">
        <f t="shared" si="29"/>
        <v>3.5728205794465229E-3</v>
      </c>
      <c r="G470" s="1">
        <f t="shared" si="29"/>
        <v>-9.9626400996255526E-4</v>
      </c>
      <c r="H470" s="1">
        <f t="shared" si="29"/>
        <v>-1.8679409209383158E-2</v>
      </c>
      <c r="L470" s="1"/>
      <c r="M470" s="1"/>
      <c r="R470">
        <f t="shared" si="32"/>
        <v>-4.8308557919697574E-3</v>
      </c>
      <c r="S470">
        <f t="shared" si="30"/>
        <v>8.0967065284347739E-23</v>
      </c>
      <c r="T470">
        <v>468</v>
      </c>
      <c r="U470">
        <f t="shared" si="31"/>
        <v>29</v>
      </c>
    </row>
    <row r="471" spans="1:21" x14ac:dyDescent="0.25">
      <c r="A471" s="4">
        <v>45978.705555555556</v>
      </c>
      <c r="B471" s="1">
        <v>153.78</v>
      </c>
      <c r="C471" s="1">
        <v>399.7</v>
      </c>
      <c r="D471" s="1">
        <v>22.46</v>
      </c>
      <c r="F471" s="1">
        <f t="shared" si="29"/>
        <v>-4.5957667162923599E-3</v>
      </c>
      <c r="G471" s="1">
        <f t="shared" si="29"/>
        <v>-3.4904013961606362E-3</v>
      </c>
      <c r="H471" s="1">
        <f t="shared" si="29"/>
        <v>-5.7547587428065095E-3</v>
      </c>
      <c r="L471" s="1"/>
      <c r="M471" s="1"/>
      <c r="R471">
        <f t="shared" si="32"/>
        <v>-4.1522780565778523E-3</v>
      </c>
      <c r="S471">
        <f t="shared" si="30"/>
        <v>2.3927267194159754E-22</v>
      </c>
      <c r="T471">
        <v>469</v>
      </c>
      <c r="U471">
        <f t="shared" si="31"/>
        <v>28</v>
      </c>
    </row>
    <row r="472" spans="1:21" x14ac:dyDescent="0.25">
      <c r="A472" s="4">
        <v>45979.705555555556</v>
      </c>
      <c r="B472" s="1">
        <v>153.32</v>
      </c>
      <c r="C472" s="1">
        <v>396.15</v>
      </c>
      <c r="D472" s="1">
        <v>22.61</v>
      </c>
      <c r="F472" s="1">
        <f t="shared" si="29"/>
        <v>-2.9912862530888651E-3</v>
      </c>
      <c r="G472" s="1">
        <f t="shared" si="29"/>
        <v>-8.8816612459344801E-3</v>
      </c>
      <c r="H472" s="1">
        <f t="shared" si="29"/>
        <v>6.6785396260016228E-3</v>
      </c>
      <c r="L472" s="1"/>
      <c r="M472" s="1"/>
      <c r="R472">
        <f t="shared" si="32"/>
        <v>-1.558322361906516E-3</v>
      </c>
      <c r="S472">
        <f t="shared" si="30"/>
        <v>1.3480153569044878E-22</v>
      </c>
      <c r="T472">
        <v>470</v>
      </c>
      <c r="U472">
        <f t="shared" si="31"/>
        <v>27</v>
      </c>
    </row>
    <row r="473" spans="1:21" x14ac:dyDescent="0.25">
      <c r="A473" s="4">
        <v>45980.705555555556</v>
      </c>
      <c r="B473" s="1">
        <v>152.21</v>
      </c>
      <c r="C473" s="1">
        <v>398.2</v>
      </c>
      <c r="D473" s="1">
        <v>22.69</v>
      </c>
      <c r="F473" s="1">
        <f t="shared" si="29"/>
        <v>-7.2397599791285128E-3</v>
      </c>
      <c r="G473" s="1">
        <f t="shared" si="29"/>
        <v>5.1748075224031798E-3</v>
      </c>
      <c r="H473" s="1">
        <f t="shared" si="29"/>
        <v>3.5382574082265528E-3</v>
      </c>
      <c r="L473" s="1"/>
      <c r="M473" s="1"/>
      <c r="R473">
        <f t="shared" si="32"/>
        <v>4.4199148545036619E-4</v>
      </c>
      <c r="S473">
        <f t="shared" si="30"/>
        <v>4.3377850913599862E-23</v>
      </c>
      <c r="T473">
        <v>471</v>
      </c>
      <c r="U473">
        <f t="shared" si="31"/>
        <v>26</v>
      </c>
    </row>
    <row r="474" spans="1:21" x14ac:dyDescent="0.25">
      <c r="A474" s="4">
        <v>45982.705555555556</v>
      </c>
      <c r="B474" s="1">
        <v>151.61000000000001</v>
      </c>
      <c r="C474" s="1">
        <v>401.69</v>
      </c>
      <c r="D474" s="1">
        <v>22.9</v>
      </c>
      <c r="F474" s="1">
        <f t="shared" si="29"/>
        <v>-3.9419223441298223E-3</v>
      </c>
      <c r="G474" s="1">
        <f t="shared" si="29"/>
        <v>8.7644399799096107E-3</v>
      </c>
      <c r="H474" s="1">
        <f t="shared" si="29"/>
        <v>9.2551784927279446E-3</v>
      </c>
      <c r="L474" s="1"/>
      <c r="M474" s="1"/>
      <c r="R474">
        <f t="shared" si="32"/>
        <v>4.2233088385523199E-3</v>
      </c>
      <c r="S474">
        <f t="shared" si="30"/>
        <v>1.5841850094661454E-20</v>
      </c>
      <c r="T474">
        <v>472</v>
      </c>
      <c r="U474">
        <f t="shared" si="31"/>
        <v>25</v>
      </c>
    </row>
    <row r="475" spans="1:21" x14ac:dyDescent="0.25">
      <c r="A475" s="4">
        <v>45985.705555555556</v>
      </c>
      <c r="B475" s="1">
        <v>152.09</v>
      </c>
      <c r="C475" s="1">
        <v>406.2</v>
      </c>
      <c r="D475" s="1">
        <v>23.21</v>
      </c>
      <c r="F475" s="1">
        <f t="shared" si="29"/>
        <v>3.1660180726864606E-3</v>
      </c>
      <c r="G475" s="1">
        <f t="shared" si="29"/>
        <v>1.1227563544026431E-2</v>
      </c>
      <c r="H475" s="1">
        <f t="shared" si="29"/>
        <v>1.3537117903930307E-2</v>
      </c>
      <c r="L475" s="1"/>
      <c r="M475" s="1"/>
      <c r="R475">
        <f t="shared" si="32"/>
        <v>8.3792098561929589E-3</v>
      </c>
      <c r="S475">
        <f t="shared" si="30"/>
        <v>2.4944014077064915E-19</v>
      </c>
      <c r="T475">
        <v>473</v>
      </c>
      <c r="U475">
        <f t="shared" si="31"/>
        <v>24</v>
      </c>
    </row>
    <row r="476" spans="1:21" x14ac:dyDescent="0.25">
      <c r="A476" s="4">
        <v>45986.705555555556</v>
      </c>
      <c r="B476" s="1">
        <v>152.71</v>
      </c>
      <c r="C476" s="1">
        <v>409.65</v>
      </c>
      <c r="D476" s="1">
        <v>23.22</v>
      </c>
      <c r="F476" s="1">
        <f t="shared" si="29"/>
        <v>4.0765336314025902E-3</v>
      </c>
      <c r="G476" s="1">
        <f t="shared" si="29"/>
        <v>8.493353028064865E-3</v>
      </c>
      <c r="H476" s="1">
        <f t="shared" si="29"/>
        <v>4.3084877208099392E-4</v>
      </c>
      <c r="L476" s="1"/>
      <c r="M476" s="1"/>
      <c r="R476">
        <f t="shared" si="32"/>
        <v>3.9002206294645341E-3</v>
      </c>
      <c r="S476">
        <f t="shared" si="30"/>
        <v>2.1617155650944719E-19</v>
      </c>
      <c r="T476">
        <v>474</v>
      </c>
      <c r="U476">
        <f t="shared" si="31"/>
        <v>23</v>
      </c>
    </row>
    <row r="477" spans="1:21" x14ac:dyDescent="0.25">
      <c r="A477" s="4">
        <v>45987.705555555556</v>
      </c>
      <c r="B477" s="1">
        <v>155.28</v>
      </c>
      <c r="C477" s="1">
        <v>408.65</v>
      </c>
      <c r="D477" s="1">
        <v>23.17</v>
      </c>
      <c r="F477" s="1">
        <f t="shared" si="29"/>
        <v>1.6829284264291644E-2</v>
      </c>
      <c r="G477" s="1">
        <f t="shared" si="29"/>
        <v>-2.4411082631514702E-3</v>
      </c>
      <c r="H477" s="1">
        <f t="shared" si="29"/>
        <v>-2.1533161068043594E-3</v>
      </c>
      <c r="L477" s="1"/>
      <c r="M477" s="1"/>
      <c r="R477">
        <f t="shared" si="32"/>
        <v>3.6704579683007445E-3</v>
      </c>
      <c r="S477">
        <f t="shared" si="30"/>
        <v>7.6580941464853991E-19</v>
      </c>
      <c r="T477">
        <v>475</v>
      </c>
      <c r="U477">
        <f t="shared" si="31"/>
        <v>22</v>
      </c>
    </row>
    <row r="478" spans="1:21" x14ac:dyDescent="0.25">
      <c r="A478" s="4">
        <v>45988.705555555556</v>
      </c>
      <c r="B478" s="1">
        <v>155.13</v>
      </c>
      <c r="C478" s="1">
        <v>410.4</v>
      </c>
      <c r="D478" s="1">
        <v>23.22</v>
      </c>
      <c r="F478" s="1">
        <f t="shared" si="29"/>
        <v>-9.6599690880994071E-4</v>
      </c>
      <c r="G478" s="1">
        <f t="shared" si="29"/>
        <v>4.2823932460540615E-3</v>
      </c>
      <c r="H478" s="1">
        <f t="shared" si="29"/>
        <v>2.1579628830383779E-3</v>
      </c>
      <c r="L478" s="1"/>
      <c r="M478" s="1"/>
      <c r="R478">
        <f t="shared" si="32"/>
        <v>1.6423077660847494E-3</v>
      </c>
      <c r="S478">
        <f t="shared" si="30"/>
        <v>6.1326654725741715E-19</v>
      </c>
      <c r="T478">
        <v>476</v>
      </c>
      <c r="U478">
        <f t="shared" si="31"/>
        <v>21</v>
      </c>
    </row>
    <row r="479" spans="1:21" x14ac:dyDescent="0.25">
      <c r="A479" s="4">
        <v>45989.705555555556</v>
      </c>
      <c r="B479" s="1">
        <v>155.81</v>
      </c>
      <c r="C479" s="1">
        <v>411.09</v>
      </c>
      <c r="D479" s="1">
        <v>23.42</v>
      </c>
      <c r="F479" s="1">
        <f t="shared" si="29"/>
        <v>4.3834203571198049E-3</v>
      </c>
      <c r="G479" s="1">
        <f t="shared" si="29"/>
        <v>1.6812865497075613E-3</v>
      </c>
      <c r="H479" s="1">
        <f t="shared" si="29"/>
        <v>8.6132644272181036E-3</v>
      </c>
      <c r="L479" s="1"/>
      <c r="M479" s="1"/>
      <c r="R479">
        <f t="shared" si="32"/>
        <v>4.4033914002136413E-3</v>
      </c>
      <c r="S479">
        <f t="shared" si="30"/>
        <v>1.7634971139591882E-17</v>
      </c>
      <c r="T479">
        <v>477</v>
      </c>
      <c r="U479">
        <f t="shared" si="31"/>
        <v>20</v>
      </c>
    </row>
    <row r="480" spans="1:21" x14ac:dyDescent="0.25">
      <c r="A480" s="4">
        <v>45992.705555555556</v>
      </c>
      <c r="B480" s="1">
        <v>155.38</v>
      </c>
      <c r="C480" s="1">
        <v>410.75</v>
      </c>
      <c r="D480" s="1">
        <v>23.67</v>
      </c>
      <c r="F480" s="1">
        <f t="shared" si="29"/>
        <v>-2.7597715165907921E-3</v>
      </c>
      <c r="G480" s="1">
        <f t="shared" si="29"/>
        <v>-8.2706949816335751E-4</v>
      </c>
      <c r="H480" s="1">
        <f t="shared" si="29"/>
        <v>1.0674637062339842E-2</v>
      </c>
      <c r="L480" s="1"/>
      <c r="M480" s="1"/>
      <c r="R480">
        <f t="shared" si="32"/>
        <v>2.1263388142757082E-3</v>
      </c>
      <c r="S480">
        <f t="shared" si="30"/>
        <v>1.6448454527909869E-17</v>
      </c>
      <c r="T480">
        <v>478</v>
      </c>
      <c r="U480">
        <f t="shared" si="31"/>
        <v>19</v>
      </c>
    </row>
    <row r="481" spans="1:21" x14ac:dyDescent="0.25">
      <c r="A481" s="4">
        <v>45993.705555555556</v>
      </c>
      <c r="B481" s="1">
        <v>157.77000000000001</v>
      </c>
      <c r="C481" s="1">
        <v>409.35</v>
      </c>
      <c r="D481" s="1">
        <v>23.39</v>
      </c>
      <c r="F481" s="1">
        <f t="shared" si="29"/>
        <v>1.5381644999356459E-2</v>
      </c>
      <c r="G481" s="1">
        <f t="shared" si="29"/>
        <v>-3.4083992696286591E-3</v>
      </c>
      <c r="H481" s="1">
        <f t="shared" si="29"/>
        <v>-1.1829319814110728E-2</v>
      </c>
      <c r="L481" s="1"/>
      <c r="M481" s="1"/>
      <c r="R481">
        <f t="shared" si="32"/>
        <v>4.3177774685120452E-5</v>
      </c>
      <c r="S481">
        <f t="shared" si="30"/>
        <v>2.7129429898327051E-20</v>
      </c>
      <c r="T481">
        <v>479</v>
      </c>
      <c r="U481">
        <f t="shared" si="31"/>
        <v>18</v>
      </c>
    </row>
    <row r="482" spans="1:21" x14ac:dyDescent="0.25">
      <c r="A482" s="4">
        <v>45994.705555555556</v>
      </c>
      <c r="B482" s="1">
        <v>158.44</v>
      </c>
      <c r="C482" s="1">
        <v>409.31</v>
      </c>
      <c r="D482" s="1">
        <v>23.38</v>
      </c>
      <c r="F482" s="1">
        <f t="shared" si="29"/>
        <v>4.2466882170246745E-3</v>
      </c>
      <c r="G482" s="1">
        <f t="shared" si="29"/>
        <v>-9.7715891046790126E-5</v>
      </c>
      <c r="H482" s="1">
        <f t="shared" si="29"/>
        <v>-4.2753313381793667E-4</v>
      </c>
      <c r="L482" s="1"/>
      <c r="M482" s="1"/>
      <c r="R482">
        <f t="shared" si="32"/>
        <v>1.1164317576479843E-3</v>
      </c>
      <c r="S482">
        <f t="shared" si="30"/>
        <v>7.2551185118789287E-17</v>
      </c>
      <c r="T482">
        <v>480</v>
      </c>
      <c r="U482">
        <f t="shared" si="31"/>
        <v>17</v>
      </c>
    </row>
    <row r="483" spans="1:21" x14ac:dyDescent="0.25">
      <c r="A483" s="4">
        <v>45995.705555555556</v>
      </c>
      <c r="B483" s="1">
        <v>161.06</v>
      </c>
      <c r="C483" s="1">
        <v>409.85</v>
      </c>
      <c r="D483" s="1">
        <v>23.32</v>
      </c>
      <c r="F483" s="1">
        <f t="shared" si="29"/>
        <v>1.6536228225195737E-2</v>
      </c>
      <c r="G483" s="1">
        <f t="shared" si="29"/>
        <v>1.3192934450660943E-3</v>
      </c>
      <c r="H483" s="1">
        <f t="shared" si="29"/>
        <v>-2.5662959794695572E-3</v>
      </c>
      <c r="L483" s="1"/>
      <c r="M483" s="1"/>
      <c r="R483">
        <f t="shared" si="32"/>
        <v>4.5867677072376828E-3</v>
      </c>
      <c r="S483">
        <f t="shared" si="30"/>
        <v>4.8983930610489165E-15</v>
      </c>
      <c r="T483">
        <v>481</v>
      </c>
      <c r="U483">
        <f t="shared" si="31"/>
        <v>16</v>
      </c>
    </row>
    <row r="484" spans="1:21" x14ac:dyDescent="0.25">
      <c r="A484" s="4">
        <v>45996.705555555556</v>
      </c>
      <c r="B484" s="1">
        <v>154.26</v>
      </c>
      <c r="C484" s="1">
        <v>421.4</v>
      </c>
      <c r="D484" s="1">
        <v>23.86</v>
      </c>
      <c r="F484" s="1">
        <f t="shared" si="29"/>
        <v>-4.2220290574941033E-2</v>
      </c>
      <c r="G484" s="1">
        <f t="shared" si="29"/>
        <v>2.8181041844577148E-2</v>
      </c>
      <c r="H484" s="1">
        <f t="shared" si="29"/>
        <v>2.3156089193824947E-2</v>
      </c>
      <c r="L484" s="1"/>
      <c r="M484" s="1"/>
      <c r="R484">
        <f t="shared" si="32"/>
        <v>2.7350521390383208E-3</v>
      </c>
      <c r="S484">
        <f t="shared" si="30"/>
        <v>6.9667680219356846E-15</v>
      </c>
      <c r="T484">
        <v>482</v>
      </c>
      <c r="U484">
        <f t="shared" si="31"/>
        <v>15</v>
      </c>
    </row>
    <row r="485" spans="1:21" x14ac:dyDescent="0.25">
      <c r="A485" s="4">
        <v>45999.705555555556</v>
      </c>
      <c r="B485" s="1">
        <v>154.94999999999999</v>
      </c>
      <c r="C485" s="1">
        <v>418.82</v>
      </c>
      <c r="D485" s="1">
        <v>23.76</v>
      </c>
      <c r="F485" s="1">
        <f t="shared" si="29"/>
        <v>4.4729677168415805E-3</v>
      </c>
      <c r="G485" s="1">
        <f t="shared" si="29"/>
        <v>-6.1224489795917991E-3</v>
      </c>
      <c r="H485" s="1">
        <f t="shared" si="29"/>
        <v>-4.191114836546439E-3</v>
      </c>
      <c r="L485" s="1"/>
      <c r="M485" s="1"/>
      <c r="R485">
        <f t="shared" si="32"/>
        <v>-1.7521788297889976E-3</v>
      </c>
      <c r="S485">
        <f t="shared" si="30"/>
        <v>1.1437127931269783E-14</v>
      </c>
      <c r="T485">
        <v>483</v>
      </c>
      <c r="U485">
        <f t="shared" si="31"/>
        <v>14</v>
      </c>
    </row>
    <row r="486" spans="1:21" x14ac:dyDescent="0.25">
      <c r="A486" s="4">
        <v>46000.705555555556</v>
      </c>
      <c r="B486" s="1">
        <v>154.77000000000001</v>
      </c>
      <c r="C486" s="1">
        <v>418.65</v>
      </c>
      <c r="D486" s="1">
        <v>23.88</v>
      </c>
      <c r="F486" s="1">
        <f t="shared" si="29"/>
        <v>-1.1616650532428885E-3</v>
      </c>
      <c r="G486" s="1">
        <f t="shared" si="29"/>
        <v>-4.0590229692949453E-4</v>
      </c>
      <c r="H486" s="1">
        <f t="shared" si="29"/>
        <v>5.050505050504972E-3</v>
      </c>
      <c r="L486" s="1"/>
      <c r="M486" s="1"/>
      <c r="R486">
        <f t="shared" si="32"/>
        <v>1.0448813100997769E-3</v>
      </c>
      <c r="S486">
        <f t="shared" si="30"/>
        <v>1.6268744352397711E-14</v>
      </c>
      <c r="T486">
        <v>484</v>
      </c>
      <c r="U486">
        <f t="shared" si="31"/>
        <v>13</v>
      </c>
    </row>
    <row r="487" spans="1:21" x14ac:dyDescent="0.25">
      <c r="A487" s="4">
        <v>46001.705555555556</v>
      </c>
      <c r="B487" s="1">
        <v>155.83000000000001</v>
      </c>
      <c r="C487" s="1">
        <v>424.15</v>
      </c>
      <c r="D487" s="1">
        <v>24.12</v>
      </c>
      <c r="F487" s="1">
        <f t="shared" si="29"/>
        <v>6.8488725205142487E-3</v>
      </c>
      <c r="G487" s="1">
        <f t="shared" si="29"/>
        <v>1.3137465663441983E-2</v>
      </c>
      <c r="H487" s="1">
        <f t="shared" si="29"/>
        <v>1.0050251256281451E-2</v>
      </c>
      <c r="L487" s="1"/>
      <c r="M487" s="1"/>
      <c r="R487">
        <f t="shared" si="32"/>
        <v>9.0109768320713046E-3</v>
      </c>
      <c r="S487">
        <f t="shared" si="30"/>
        <v>4.8397602717951422E-12</v>
      </c>
      <c r="T487">
        <v>485</v>
      </c>
      <c r="U487">
        <f t="shared" si="31"/>
        <v>12</v>
      </c>
    </row>
    <row r="488" spans="1:21" x14ac:dyDescent="0.25">
      <c r="A488" s="4">
        <v>46003.705555555556</v>
      </c>
      <c r="B488" s="1">
        <v>157.54</v>
      </c>
      <c r="C488" s="1">
        <v>416.76</v>
      </c>
      <c r="D488" s="1">
        <v>24.28</v>
      </c>
      <c r="F488" s="1">
        <f t="shared" si="29"/>
        <v>1.0973496759288937E-2</v>
      </c>
      <c r="G488" s="1">
        <f t="shared" si="29"/>
        <v>-1.7423081457031642E-2</v>
      </c>
      <c r="H488" s="1">
        <f t="shared" si="29"/>
        <v>6.6334991708125735E-3</v>
      </c>
      <c r="L488" s="1"/>
      <c r="M488" s="1"/>
      <c r="R488">
        <f t="shared" si="32"/>
        <v>5.5174341920960577E-5</v>
      </c>
      <c r="S488">
        <f t="shared" si="30"/>
        <v>7.2579574737812706E-16</v>
      </c>
      <c r="T488">
        <v>486</v>
      </c>
      <c r="U488">
        <f t="shared" si="31"/>
        <v>11</v>
      </c>
    </row>
    <row r="489" spans="1:21" x14ac:dyDescent="0.25">
      <c r="A489" s="4">
        <v>46006.705555555556</v>
      </c>
      <c r="B489" s="1">
        <v>159.19999999999999</v>
      </c>
      <c r="C489" s="1">
        <v>415.75</v>
      </c>
      <c r="D489" s="1">
        <v>24.33</v>
      </c>
      <c r="F489" s="1">
        <f t="shared" si="29"/>
        <v>1.0537006474546029E-2</v>
      </c>
      <c r="G489" s="1">
        <f t="shared" si="29"/>
        <v>-2.4234571455993281E-3</v>
      </c>
      <c r="H489" s="1">
        <f t="shared" si="29"/>
        <v>2.0593080724875534E-3</v>
      </c>
      <c r="L489" s="1"/>
      <c r="M489" s="1"/>
      <c r="R489">
        <f t="shared" si="32"/>
        <v>3.0518572204302763E-3</v>
      </c>
      <c r="S489">
        <f t="shared" si="30"/>
        <v>8.882362836735165E-12</v>
      </c>
      <c r="T489">
        <v>487</v>
      </c>
      <c r="U489">
        <f t="shared" si="31"/>
        <v>10</v>
      </c>
    </row>
    <row r="490" spans="1:21" x14ac:dyDescent="0.25">
      <c r="A490" s="4">
        <v>46007.705555555556</v>
      </c>
      <c r="B490" s="1">
        <v>155.52000000000001</v>
      </c>
      <c r="C490" s="1">
        <v>418</v>
      </c>
      <c r="D490" s="1">
        <v>24.54</v>
      </c>
      <c r="F490" s="1">
        <f t="shared" si="29"/>
        <v>-2.311557788944707E-2</v>
      </c>
      <c r="G490" s="1">
        <f t="shared" si="29"/>
        <v>5.4119061936259705E-3</v>
      </c>
      <c r="H490" s="1">
        <f t="shared" si="29"/>
        <v>8.6313193588163362E-3</v>
      </c>
      <c r="L490" s="1"/>
      <c r="M490" s="1"/>
      <c r="R490">
        <f t="shared" si="32"/>
        <v>-2.7217057011014291E-3</v>
      </c>
      <c r="S490">
        <f t="shared" si="30"/>
        <v>2.8258063977844321E-11</v>
      </c>
      <c r="T490">
        <v>488</v>
      </c>
      <c r="U490">
        <f t="shared" si="31"/>
        <v>9</v>
      </c>
    </row>
    <row r="491" spans="1:21" x14ac:dyDescent="0.25">
      <c r="A491" s="4">
        <v>46008.705555555556</v>
      </c>
      <c r="B491" s="1">
        <v>154.22999999999999</v>
      </c>
      <c r="C491" s="1">
        <v>417.17</v>
      </c>
      <c r="D491" s="1">
        <v>24.94</v>
      </c>
      <c r="F491" s="1">
        <f t="shared" si="29"/>
        <v>-8.2947530864199148E-3</v>
      </c>
      <c r="G491" s="1">
        <f t="shared" si="29"/>
        <v>-1.9856459330143128E-3</v>
      </c>
      <c r="H491" s="1">
        <f t="shared" si="29"/>
        <v>1.6299918500407573E-2</v>
      </c>
      <c r="L491" s="1"/>
      <c r="M491" s="1"/>
      <c r="R491">
        <f t="shared" si="32"/>
        <v>1.8058558442920047E-3</v>
      </c>
      <c r="S491">
        <f t="shared" si="30"/>
        <v>4.976067093450301E-11</v>
      </c>
      <c r="T491">
        <v>489</v>
      </c>
      <c r="U491">
        <f t="shared" si="31"/>
        <v>8</v>
      </c>
    </row>
    <row r="492" spans="1:21" x14ac:dyDescent="0.25">
      <c r="A492" s="4">
        <v>46009.705555555556</v>
      </c>
      <c r="B492" s="1">
        <v>154.79</v>
      </c>
      <c r="C492" s="1">
        <v>420.5</v>
      </c>
      <c r="D492" s="1">
        <v>24.96</v>
      </c>
      <c r="F492" s="1">
        <f t="shared" si="29"/>
        <v>3.6309408026973244E-3</v>
      </c>
      <c r="G492" s="1">
        <f t="shared" si="29"/>
        <v>7.982357312366517E-3</v>
      </c>
      <c r="H492" s="1">
        <f t="shared" si="29"/>
        <v>8.0192461908579205E-4</v>
      </c>
      <c r="L492" s="1"/>
      <c r="M492" s="1"/>
      <c r="R492">
        <f t="shared" si="32"/>
        <v>3.7245668202448897E-3</v>
      </c>
      <c r="S492">
        <f t="shared" si="30"/>
        <v>8.4670397939875057E-10</v>
      </c>
      <c r="T492">
        <v>490</v>
      </c>
      <c r="U492">
        <f t="shared" si="31"/>
        <v>7</v>
      </c>
    </row>
    <row r="493" spans="1:21" x14ac:dyDescent="0.25">
      <c r="A493" s="4">
        <v>46010.705555555556</v>
      </c>
      <c r="B493" s="1">
        <v>155.35</v>
      </c>
      <c r="C493" s="1">
        <v>425.9</v>
      </c>
      <c r="D493" s="1">
        <v>25.06</v>
      </c>
      <c r="F493" s="1">
        <f t="shared" si="29"/>
        <v>3.6178047677499769E-3</v>
      </c>
      <c r="G493" s="1">
        <f t="shared" si="29"/>
        <v>1.284185493460166E-2</v>
      </c>
      <c r="H493" s="1">
        <f t="shared" si="29"/>
        <v>4.0064102564101312E-3</v>
      </c>
      <c r="L493" s="1"/>
      <c r="M493" s="1"/>
      <c r="R493">
        <f t="shared" si="32"/>
        <v>6.13982098762853E-3</v>
      </c>
      <c r="S493">
        <f t="shared" si="30"/>
        <v>9.2034672265927199E-9</v>
      </c>
      <c r="T493">
        <v>491</v>
      </c>
      <c r="U493">
        <f t="shared" si="31"/>
        <v>6</v>
      </c>
    </row>
    <row r="494" spans="1:21" x14ac:dyDescent="0.25">
      <c r="A494" s="4">
        <v>46013.705555555556</v>
      </c>
      <c r="B494" s="1">
        <v>153.32</v>
      </c>
      <c r="C494" s="1">
        <v>432.15</v>
      </c>
      <c r="D494" s="1">
        <v>25.88</v>
      </c>
      <c r="F494" s="1">
        <f t="shared" si="29"/>
        <v>-1.3067267460572962E-2</v>
      </c>
      <c r="G494" s="1">
        <f t="shared" si="29"/>
        <v>1.4674806292557019E-2</v>
      </c>
      <c r="H494" s="1">
        <f t="shared" si="29"/>
        <v>3.2721468475658488E-2</v>
      </c>
      <c r="L494" s="1"/>
      <c r="M494" s="1"/>
      <c r="R494">
        <f t="shared" si="32"/>
        <v>1.0298702192292765E-2</v>
      </c>
      <c r="S494">
        <f t="shared" si="30"/>
        <v>1.0357740902884355E-7</v>
      </c>
      <c r="T494">
        <v>492</v>
      </c>
      <c r="U494">
        <f t="shared" si="31"/>
        <v>5</v>
      </c>
    </row>
    <row r="495" spans="1:21" x14ac:dyDescent="0.25">
      <c r="A495" s="4">
        <v>46014.705555555556</v>
      </c>
      <c r="B495" s="1">
        <v>157.28</v>
      </c>
      <c r="C495" s="1">
        <v>429.5</v>
      </c>
      <c r="D495" s="1">
        <v>25.92</v>
      </c>
      <c r="F495" s="1">
        <f t="shared" si="29"/>
        <v>2.582833289851294E-2</v>
      </c>
      <c r="G495" s="1">
        <f t="shared" si="29"/>
        <v>-6.1321300474371787E-3</v>
      </c>
      <c r="H495" s="1">
        <f t="shared" si="29"/>
        <v>1.5455950540959051E-3</v>
      </c>
      <c r="L495" s="1"/>
      <c r="M495" s="1"/>
      <c r="R495">
        <f t="shared" si="32"/>
        <v>6.3725393715515005E-3</v>
      </c>
      <c r="S495">
        <f t="shared" si="30"/>
        <v>1.5862991422646092E-7</v>
      </c>
      <c r="T495">
        <v>493</v>
      </c>
      <c r="U495">
        <f t="shared" si="31"/>
        <v>4</v>
      </c>
    </row>
    <row r="496" spans="1:21" x14ac:dyDescent="0.25">
      <c r="A496" s="4">
        <v>46017.705555555556</v>
      </c>
      <c r="B496" s="1">
        <v>157.77000000000001</v>
      </c>
      <c r="C496" s="1">
        <v>431.7</v>
      </c>
      <c r="D496" s="1">
        <v>26.19</v>
      </c>
      <c r="F496" s="1">
        <f t="shared" si="29"/>
        <v>3.11546286876907E-3</v>
      </c>
      <c r="G496" s="1">
        <f t="shared" si="29"/>
        <v>5.1222351571593716E-3</v>
      </c>
      <c r="H496" s="1">
        <f t="shared" si="29"/>
        <v>1.0416666666666741E-2</v>
      </c>
      <c r="L496" s="1"/>
      <c r="M496" s="1"/>
      <c r="R496">
        <f t="shared" si="32"/>
        <v>5.5963094077785547E-3</v>
      </c>
      <c r="S496">
        <f t="shared" si="30"/>
        <v>4.8935435918110555E-7</v>
      </c>
      <c r="T496">
        <v>494</v>
      </c>
      <c r="U496">
        <f t="shared" si="31"/>
        <v>3</v>
      </c>
    </row>
    <row r="497" spans="1:21" x14ac:dyDescent="0.25">
      <c r="A497" s="4">
        <v>46020.705555555556</v>
      </c>
      <c r="B497" s="1">
        <v>157.41</v>
      </c>
      <c r="C497" s="1">
        <v>433.08</v>
      </c>
      <c r="D497" s="1">
        <v>25.18</v>
      </c>
      <c r="F497" s="1">
        <f t="shared" si="29"/>
        <v>-2.2818026240730704E-3</v>
      </c>
      <c r="G497" s="1">
        <f t="shared" si="29"/>
        <v>3.196664350243239E-3</v>
      </c>
      <c r="H497" s="1">
        <f t="shared" si="29"/>
        <v>-3.8564337533409709E-2</v>
      </c>
      <c r="L497" s="1"/>
      <c r="M497" s="1"/>
      <c r="R497">
        <f t="shared" si="32"/>
        <v>-1.1294842742171865E-2</v>
      </c>
      <c r="S497">
        <f t="shared" si="30"/>
        <v>7.9733420356495282E-6</v>
      </c>
      <c r="T497">
        <v>495</v>
      </c>
      <c r="U497">
        <f t="shared" si="31"/>
        <v>2</v>
      </c>
    </row>
    <row r="498" spans="1:21" x14ac:dyDescent="0.25">
      <c r="A498" s="4">
        <v>46021.705555555556</v>
      </c>
      <c r="B498" s="1">
        <v>158.01</v>
      </c>
      <c r="C498" s="1">
        <v>424.2</v>
      </c>
      <c r="D498" s="1">
        <v>24.77</v>
      </c>
      <c r="F498" s="1">
        <f t="shared" si="29"/>
        <v>3.8117019249095385E-3</v>
      </c>
      <c r="G498" s="1">
        <f t="shared" si="29"/>
        <v>-2.0504294818509239E-2</v>
      </c>
      <c r="H498" s="1">
        <f t="shared" si="29"/>
        <v>-1.6282764098490832E-2</v>
      </c>
      <c r="L498" s="1"/>
      <c r="M498" s="1"/>
      <c r="R498">
        <f t="shared" si="32"/>
        <v>-9.892607097627161E-3</v>
      </c>
      <c r="S498">
        <f t="shared" si="30"/>
        <v>2.4465918797005821E-5</v>
      </c>
      <c r="T498">
        <v>496</v>
      </c>
      <c r="U498">
        <f t="shared" si="31"/>
        <v>1</v>
      </c>
    </row>
  </sheetData>
  <mergeCells count="6">
    <mergeCell ref="K12:L12"/>
    <mergeCell ref="K13:L13"/>
    <mergeCell ref="K9:L9"/>
    <mergeCell ref="F1:H1"/>
    <mergeCell ref="K7:L7"/>
    <mergeCell ref="K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 Alisamento</vt:lpstr>
      <vt:lpstr>Com Alisamento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2026-06-09T16:30:54Z</dcterms:created>
  <dcterms:modified xsi:type="dcterms:W3CDTF">2026-06-30T00:02:30Z</dcterms:modified>
</cp:coreProperties>
</file>