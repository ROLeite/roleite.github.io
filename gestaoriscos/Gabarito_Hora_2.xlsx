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Getsão de Riscos\"/>
    </mc:Choice>
  </mc:AlternateContent>
  <xr:revisionPtr revIDLastSave="0" documentId="8_{02F643CD-5A58-4C74-A450-0FE20B207DBA}" xr6:coauthVersionLast="47" xr6:coauthVersionMax="47" xr10:uidLastSave="{00000000-0000-0000-0000-000000000000}"/>
  <bookViews>
    <workbookView xWindow="-120" yWindow="-120" windowWidth="20640" windowHeight="11760" xr2:uid="{813F2083-1751-42E6-9A29-01CA14966B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  <c r="C25" i="1"/>
  <c r="C24" i="1"/>
  <c r="C23" i="1"/>
  <c r="C22" i="1"/>
  <c r="C21" i="1"/>
  <c r="C20" i="1"/>
  <c r="C19" i="1"/>
  <c r="C18" i="1"/>
  <c r="E2" i="1"/>
  <c r="E3" i="1" s="1"/>
  <c r="E7" i="1" l="1"/>
  <c r="E6" i="1"/>
  <c r="D29" i="1" l="1"/>
  <c r="D20" i="1"/>
  <c r="D28" i="1"/>
  <c r="D27" i="1"/>
  <c r="D19" i="1"/>
  <c r="D26" i="1"/>
  <c r="D18" i="1"/>
  <c r="D25" i="1"/>
  <c r="D24" i="1"/>
  <c r="D23" i="1"/>
  <c r="D22" i="1"/>
  <c r="D21" i="1"/>
</calcChain>
</file>

<file path=xl/sharedStrings.xml><?xml version="1.0" encoding="utf-8"?>
<sst xmlns="http://schemas.openxmlformats.org/spreadsheetml/2006/main" count="33" uniqueCount="19">
  <si>
    <t>Mês</t>
  </si>
  <si>
    <t>Valor do caixa</t>
  </si>
  <si>
    <t>Janeiro</t>
  </si>
  <si>
    <t>Variância</t>
  </si>
  <si>
    <t>Fevereiro</t>
  </si>
  <si>
    <t>Z</t>
  </si>
  <si>
    <t>Março</t>
  </si>
  <si>
    <t>Abril</t>
  </si>
  <si>
    <t>h min</t>
  </si>
  <si>
    <t>Maio</t>
  </si>
  <si>
    <t>h*</t>
  </si>
  <si>
    <t>Junho</t>
  </si>
  <si>
    <t>h max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</si>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</sst>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Caixa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'[1]Hora 2 Exercício'!$A$18:$A$29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'[1]Hora 2 Exercício'!$B$18:$B$29</c:f>
              <c:numCache>
                <c:formatCode>_("R$"* #,##0.00_);_("R$"* \(#,##0.00\);_("R$"* "-"??_);_(@_)</c:formatCode>
                <c:ptCount val="12"/>
                <c:pt idx="0">
                  <c:v>759971.97</c:v>
                </c:pt>
                <c:pt idx="1">
                  <c:v>1692461.13</c:v>
                </c:pt>
                <c:pt idx="2">
                  <c:v>558112.02</c:v>
                </c:pt>
                <c:pt idx="3">
                  <c:v>268102.65999999997</c:v>
                </c:pt>
                <c:pt idx="4">
                  <c:v>1009655.4</c:v>
                </c:pt>
                <c:pt idx="5">
                  <c:v>506254.61</c:v>
                </c:pt>
                <c:pt idx="6">
                  <c:v>268711.92</c:v>
                </c:pt>
                <c:pt idx="7">
                  <c:v>729684.11</c:v>
                </c:pt>
                <c:pt idx="8">
                  <c:v>287498.67</c:v>
                </c:pt>
                <c:pt idx="9">
                  <c:v>375330.86</c:v>
                </c:pt>
                <c:pt idx="10">
                  <c:v>926791.33</c:v>
                </c:pt>
                <c:pt idx="11">
                  <c:v>846572.27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7-4A68-A76C-51554B776CA2}"/>
            </c:ext>
          </c:extLst>
        </c:ser>
        <c:ser>
          <c:idx val="1"/>
          <c:order val="1"/>
          <c:tx>
            <c:v>hmin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'[1]Hora 2 Exercício'!$A$18:$A$29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'[1]Hora 2 Exercício'!$C$18:$C$29</c:f>
              <c:numCache>
                <c:formatCode>_("R$"* #,##0.00_);_("R$"* \(#,##0.00\);_("R$"* "-"??_);_(@_)</c:formatCode>
                <c:ptCount val="12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  <c:pt idx="7">
                  <c:v>200000</c:v>
                </c:pt>
                <c:pt idx="8">
                  <c:v>200000</c:v>
                </c:pt>
                <c:pt idx="9">
                  <c:v>200000</c:v>
                </c:pt>
                <c:pt idx="10">
                  <c:v>200000</c:v>
                </c:pt>
                <c:pt idx="11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7-4A68-A76C-51554B776CA2}"/>
            </c:ext>
          </c:extLst>
        </c:ser>
        <c:ser>
          <c:idx val="2"/>
          <c:order val="2"/>
          <c:tx>
            <c:v>hmax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'[1]Hora 2 Exercício'!$A$18:$A$29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'[1]Hora 2 Exercício'!$D$18:$D$29</c:f>
              <c:numCache>
                <c:formatCode>_("R$"* #,##0.00_);_("R$"* \(#,##0.00\);_("R$"* "-"??_);_(@_)</c:formatCode>
                <c:ptCount val="12"/>
                <c:pt idx="0">
                  <c:v>911867.48294350866</c:v>
                </c:pt>
                <c:pt idx="1">
                  <c:v>911867.48294350866</c:v>
                </c:pt>
                <c:pt idx="2">
                  <c:v>911867.48294350866</c:v>
                </c:pt>
                <c:pt idx="3">
                  <c:v>911867.48294350866</c:v>
                </c:pt>
                <c:pt idx="4">
                  <c:v>911867.48294350866</c:v>
                </c:pt>
                <c:pt idx="5">
                  <c:v>911867.48294350866</c:v>
                </c:pt>
                <c:pt idx="6">
                  <c:v>911867.48294350866</c:v>
                </c:pt>
                <c:pt idx="7">
                  <c:v>911867.48294350866</c:v>
                </c:pt>
                <c:pt idx="8">
                  <c:v>911867.48294350866</c:v>
                </c:pt>
                <c:pt idx="9">
                  <c:v>911867.48294350866</c:v>
                </c:pt>
                <c:pt idx="10">
                  <c:v>911867.48294350866</c:v>
                </c:pt>
                <c:pt idx="11">
                  <c:v>911867.48294350866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7-4A68-A76C-51554B776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395312"/>
        <c:axId val="1616395792"/>
      </c:lineChart>
      <c:catAx>
        <c:axId val="161639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395792"/>
        <c:crosses val="autoZero"/>
        <c:auto val="1"/>
        <c:lblAlgn val="ctr"/>
        <c:lblOffset val="100"/>
        <c:noMultiLvlLbl val="0"/>
      </c:catAx>
      <c:valAx>
        <c:axId val="161639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39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11</xdr:row>
      <xdr:rowOff>171450</xdr:rowOff>
    </xdr:from>
    <xdr:to>
      <xdr:col>11</xdr:col>
      <xdr:colOff>352425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E662C-E113-44C8-B10C-967E87A20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\Dropbox\Gets&#227;o%20de%20Riscos\Memoria%20de%20Calculo.xlsx" TargetMode="External"/><Relationship Id="rId1" Type="http://schemas.openxmlformats.org/officeDocument/2006/relationships/externalLinkPath" Target="Memoria%20de%20Calcu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ra 1 Slides"/>
      <sheetName val="Hora 2 Slides"/>
      <sheetName val="Hora 2 Exercício"/>
      <sheetName val="Hora 3 Slides"/>
      <sheetName val="Hora 4 Exercício"/>
    </sheetNames>
    <sheetDataSet>
      <sheetData sheetId="0"/>
      <sheetData sheetId="1"/>
      <sheetData sheetId="2">
        <row r="18">
          <cell r="A18" t="str">
            <v>Janeiro</v>
          </cell>
          <cell r="B18">
            <v>759971.97</v>
          </cell>
          <cell r="C18">
            <v>200000</v>
          </cell>
          <cell r="D18">
            <v>911867.48294350866</v>
          </cell>
        </row>
        <row r="19">
          <cell r="A19" t="str">
            <v>Fevereiro</v>
          </cell>
          <cell r="B19">
            <v>1692461.13</v>
          </cell>
          <cell r="C19">
            <v>200000</v>
          </cell>
          <cell r="D19">
            <v>911867.48294350866</v>
          </cell>
        </row>
        <row r="20">
          <cell r="A20" t="str">
            <v>Março</v>
          </cell>
          <cell r="B20">
            <v>558112.02</v>
          </cell>
          <cell r="C20">
            <v>200000</v>
          </cell>
          <cell r="D20">
            <v>911867.48294350866</v>
          </cell>
        </row>
        <row r="21">
          <cell r="A21" t="str">
            <v>Abril</v>
          </cell>
          <cell r="B21">
            <v>268102.65999999997</v>
          </cell>
          <cell r="C21">
            <v>200000</v>
          </cell>
          <cell r="D21">
            <v>911867.48294350866</v>
          </cell>
        </row>
        <row r="22">
          <cell r="A22" t="str">
            <v>Maio</v>
          </cell>
          <cell r="B22">
            <v>1009655.4</v>
          </cell>
          <cell r="C22">
            <v>200000</v>
          </cell>
          <cell r="D22">
            <v>911867.48294350866</v>
          </cell>
        </row>
        <row r="23">
          <cell r="A23" t="str">
            <v>Junho</v>
          </cell>
          <cell r="B23">
            <v>506254.61</v>
          </cell>
          <cell r="C23">
            <v>200000</v>
          </cell>
          <cell r="D23">
            <v>911867.48294350866</v>
          </cell>
        </row>
        <row r="24">
          <cell r="A24" t="str">
            <v>Julho</v>
          </cell>
          <cell r="B24">
            <v>268711.92</v>
          </cell>
          <cell r="C24">
            <v>200000</v>
          </cell>
          <cell r="D24">
            <v>911867.48294350866</v>
          </cell>
        </row>
        <row r="25">
          <cell r="A25" t="str">
            <v>Agosto</v>
          </cell>
          <cell r="B25">
            <v>729684.11</v>
          </cell>
          <cell r="C25">
            <v>200000</v>
          </cell>
          <cell r="D25">
            <v>911867.48294350866</v>
          </cell>
        </row>
        <row r="26">
          <cell r="A26" t="str">
            <v>Setembro</v>
          </cell>
          <cell r="B26">
            <v>287498.67</v>
          </cell>
          <cell r="C26">
            <v>200000</v>
          </cell>
          <cell r="D26">
            <v>911867.48294350866</v>
          </cell>
        </row>
        <row r="27">
          <cell r="A27" t="str">
            <v>Outubro</v>
          </cell>
          <cell r="B27">
            <v>375330.86</v>
          </cell>
          <cell r="C27">
            <v>200000</v>
          </cell>
          <cell r="D27">
            <v>911867.48294350866</v>
          </cell>
        </row>
        <row r="28">
          <cell r="A28" t="str">
            <v>Novembro</v>
          </cell>
          <cell r="B28">
            <v>926791.33</v>
          </cell>
          <cell r="C28">
            <v>200000</v>
          </cell>
          <cell r="D28">
            <v>911867.48294350866</v>
          </cell>
        </row>
        <row r="29">
          <cell r="A29" t="str">
            <v>Dezembro</v>
          </cell>
          <cell r="B29">
            <v>846572.27</v>
          </cell>
          <cell r="C29">
            <v>200000</v>
          </cell>
          <cell r="D29">
            <v>911867.48294350866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0397-4D3C-41FF-A4C6-60C0A4F7D2B1}">
  <dimension ref="A1:E29"/>
  <sheetViews>
    <sheetView tabSelected="1" workbookViewId="0">
      <selection sqref="A1:K31"/>
    </sheetView>
  </sheetViews>
  <sheetFormatPr defaultRowHeight="15" x14ac:dyDescent="0.25"/>
  <cols>
    <col min="2" max="2" width="15.85546875" bestFit="1" customWidth="1"/>
    <col min="3" max="5" width="14.285156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2</v>
      </c>
      <c r="B2" s="3">
        <v>759971.97</v>
      </c>
      <c r="D2" t="s">
        <v>3</v>
      </c>
      <c r="E2">
        <f>_xlfn.VAR.S(B2:B13)</f>
        <v>169237282894.34616</v>
      </c>
    </row>
    <row r="3" spans="1:5" x14ac:dyDescent="0.25">
      <c r="A3" s="2" t="s">
        <v>4</v>
      </c>
      <c r="B3" s="3">
        <v>1692461.13</v>
      </c>
      <c r="D3" t="s">
        <v>5</v>
      </c>
      <c r="E3">
        <f>((3*20000*E2)/(4*0.19))^(1/3)</f>
        <v>237289.16098116955</v>
      </c>
    </row>
    <row r="4" spans="1:5" x14ac:dyDescent="0.25">
      <c r="A4" s="2" t="s">
        <v>6</v>
      </c>
      <c r="B4" s="3">
        <v>558112.02</v>
      </c>
    </row>
    <row r="5" spans="1:5" x14ac:dyDescent="0.25">
      <c r="A5" s="2" t="s">
        <v>7</v>
      </c>
      <c r="B5" s="3">
        <v>268102.65999999997</v>
      </c>
      <c r="D5" t="s">
        <v>8</v>
      </c>
      <c r="E5" s="4">
        <v>200000</v>
      </c>
    </row>
    <row r="6" spans="1:5" x14ac:dyDescent="0.25">
      <c r="A6" s="2" t="s">
        <v>9</v>
      </c>
      <c r="B6" s="3">
        <v>1009655.4</v>
      </c>
      <c r="D6" t="s">
        <v>10</v>
      </c>
      <c r="E6" s="5">
        <f>E5+E3</f>
        <v>437289.16098116955</v>
      </c>
    </row>
    <row r="7" spans="1:5" x14ac:dyDescent="0.25">
      <c r="A7" s="2" t="s">
        <v>11</v>
      </c>
      <c r="B7" s="3">
        <v>506254.61</v>
      </c>
      <c r="D7" t="s">
        <v>12</v>
      </c>
      <c r="E7" s="5">
        <f>3*E3+E5</f>
        <v>911867.48294350866</v>
      </c>
    </row>
    <row r="8" spans="1:5" x14ac:dyDescent="0.25">
      <c r="A8" s="2" t="s">
        <v>13</v>
      </c>
      <c r="B8" s="3">
        <v>268711.92</v>
      </c>
    </row>
    <row r="9" spans="1:5" x14ac:dyDescent="0.25">
      <c r="A9" s="2" t="s">
        <v>14</v>
      </c>
      <c r="B9" s="3">
        <v>729684.11</v>
      </c>
    </row>
    <row r="10" spans="1:5" x14ac:dyDescent="0.25">
      <c r="A10" s="2" t="s">
        <v>15</v>
      </c>
      <c r="B10" s="3">
        <v>287498.67</v>
      </c>
    </row>
    <row r="11" spans="1:5" x14ac:dyDescent="0.25">
      <c r="A11" s="2" t="s">
        <v>16</v>
      </c>
      <c r="B11" s="3">
        <v>375330.86</v>
      </c>
    </row>
    <row r="12" spans="1:5" x14ac:dyDescent="0.25">
      <c r="A12" s="2" t="s">
        <v>17</v>
      </c>
      <c r="B12" s="3">
        <v>926791.33</v>
      </c>
    </row>
    <row r="13" spans="1:5" x14ac:dyDescent="0.25">
      <c r="A13" s="2" t="s">
        <v>18</v>
      </c>
      <c r="B13" s="3">
        <v>846572.27</v>
      </c>
    </row>
    <row r="17" spans="1:4" x14ac:dyDescent="0.25">
      <c r="A17" s="1" t="s">
        <v>0</v>
      </c>
      <c r="B17" s="1" t="s">
        <v>1</v>
      </c>
    </row>
    <row r="18" spans="1:4" x14ac:dyDescent="0.25">
      <c r="A18" s="2" t="s">
        <v>2</v>
      </c>
      <c r="B18" s="3">
        <v>759971.97</v>
      </c>
      <c r="C18" s="5">
        <f>$E$5</f>
        <v>200000</v>
      </c>
      <c r="D18" s="5">
        <f>$E$7</f>
        <v>911867.48294350866</v>
      </c>
    </row>
    <row r="19" spans="1:4" x14ac:dyDescent="0.25">
      <c r="A19" s="2" t="s">
        <v>4</v>
      </c>
      <c r="B19" s="3">
        <v>1692461.13</v>
      </c>
      <c r="C19" s="5">
        <f t="shared" ref="C19:C29" si="0">$E$5</f>
        <v>200000</v>
      </c>
      <c r="D19" s="5">
        <f t="shared" ref="D19:D29" si="1">$E$7</f>
        <v>911867.48294350866</v>
      </c>
    </row>
    <row r="20" spans="1:4" x14ac:dyDescent="0.25">
      <c r="A20" s="2" t="s">
        <v>6</v>
      </c>
      <c r="B20" s="3">
        <v>558112.02</v>
      </c>
      <c r="C20" s="5">
        <f t="shared" si="0"/>
        <v>200000</v>
      </c>
      <c r="D20" s="5">
        <f t="shared" si="1"/>
        <v>911867.48294350866</v>
      </c>
    </row>
    <row r="21" spans="1:4" x14ac:dyDescent="0.25">
      <c r="A21" s="2" t="s">
        <v>7</v>
      </c>
      <c r="B21" s="3">
        <v>268102.65999999997</v>
      </c>
      <c r="C21" s="5">
        <f t="shared" si="0"/>
        <v>200000</v>
      </c>
      <c r="D21" s="5">
        <f t="shared" si="1"/>
        <v>911867.48294350866</v>
      </c>
    </row>
    <row r="22" spans="1:4" x14ac:dyDescent="0.25">
      <c r="A22" s="2" t="s">
        <v>9</v>
      </c>
      <c r="B22" s="3">
        <v>1009655.4</v>
      </c>
      <c r="C22" s="5">
        <f t="shared" si="0"/>
        <v>200000</v>
      </c>
      <c r="D22" s="5">
        <f t="shared" si="1"/>
        <v>911867.48294350866</v>
      </c>
    </row>
    <row r="23" spans="1:4" x14ac:dyDescent="0.25">
      <c r="A23" s="2" t="s">
        <v>11</v>
      </c>
      <c r="B23" s="3">
        <v>506254.61</v>
      </c>
      <c r="C23" s="5">
        <f t="shared" si="0"/>
        <v>200000</v>
      </c>
      <c r="D23" s="5">
        <f t="shared" si="1"/>
        <v>911867.48294350866</v>
      </c>
    </row>
    <row r="24" spans="1:4" x14ac:dyDescent="0.25">
      <c r="A24" s="2" t="s">
        <v>13</v>
      </c>
      <c r="B24" s="3">
        <v>268711.92</v>
      </c>
      <c r="C24" s="5">
        <f t="shared" si="0"/>
        <v>200000</v>
      </c>
      <c r="D24" s="5">
        <f t="shared" si="1"/>
        <v>911867.48294350866</v>
      </c>
    </row>
    <row r="25" spans="1:4" x14ac:dyDescent="0.25">
      <c r="A25" s="2" t="s">
        <v>14</v>
      </c>
      <c r="B25" s="3">
        <v>729684.11</v>
      </c>
      <c r="C25" s="5">
        <f t="shared" si="0"/>
        <v>200000</v>
      </c>
      <c r="D25" s="5">
        <f t="shared" si="1"/>
        <v>911867.48294350866</v>
      </c>
    </row>
    <row r="26" spans="1:4" x14ac:dyDescent="0.25">
      <c r="A26" s="2" t="s">
        <v>15</v>
      </c>
      <c r="B26" s="3">
        <v>287498.67</v>
      </c>
      <c r="C26" s="5">
        <f t="shared" si="0"/>
        <v>200000</v>
      </c>
      <c r="D26" s="5">
        <f t="shared" si="1"/>
        <v>911867.48294350866</v>
      </c>
    </row>
    <row r="27" spans="1:4" x14ac:dyDescent="0.25">
      <c r="A27" s="2" t="s">
        <v>16</v>
      </c>
      <c r="B27" s="3">
        <v>375330.86</v>
      </c>
      <c r="C27" s="5">
        <f t="shared" si="0"/>
        <v>200000</v>
      </c>
      <c r="D27" s="5">
        <f t="shared" si="1"/>
        <v>911867.48294350866</v>
      </c>
    </row>
    <row r="28" spans="1:4" x14ac:dyDescent="0.25">
      <c r="A28" s="2" t="s">
        <v>17</v>
      </c>
      <c r="B28" s="3">
        <v>926791.33</v>
      </c>
      <c r="C28" s="5">
        <f t="shared" si="0"/>
        <v>200000</v>
      </c>
      <c r="D28" s="5">
        <f t="shared" si="1"/>
        <v>911867.48294350866</v>
      </c>
    </row>
    <row r="29" spans="1:4" x14ac:dyDescent="0.25">
      <c r="A29" s="2" t="s">
        <v>18</v>
      </c>
      <c r="B29" s="3">
        <v>846572.27</v>
      </c>
      <c r="C29" s="5">
        <f t="shared" si="0"/>
        <v>200000</v>
      </c>
      <c r="D29" s="5">
        <f t="shared" si="1"/>
        <v>911867.48294350866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2026-06-15T23:46:35Z</dcterms:created>
  <dcterms:modified xsi:type="dcterms:W3CDTF">2026-06-15T23:47:09Z</dcterms:modified>
</cp:coreProperties>
</file>