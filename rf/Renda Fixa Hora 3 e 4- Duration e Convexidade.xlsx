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COPPEAD Renda Fixa\"/>
    </mc:Choice>
  </mc:AlternateContent>
  <xr:revisionPtr revIDLastSave="0" documentId="13_ncr:1_{43197627-D8C0-459C-A1D3-3801A89E3E6E}" xr6:coauthVersionLast="47" xr6:coauthVersionMax="47" xr10:uidLastSave="{00000000-0000-0000-0000-000000000000}"/>
  <bookViews>
    <workbookView xWindow="-120" yWindow="-120" windowWidth="20640" windowHeight="11760" firstSheet="4" activeTab="7" xr2:uid="{E4F10707-D426-4971-BDAC-1DCEDBFEC93E}"/>
  </bookViews>
  <sheets>
    <sheet name="Ex 1 = Cupom" sheetId="3" r:id="rId1"/>
    <sheet name="Ex 1 = Vencimento" sheetId="4" r:id="rId2"/>
    <sheet name="Exemplo 2" sheetId="1" r:id="rId3"/>
    <sheet name="Exemplo 2 + 3" sheetId="2" r:id="rId4"/>
    <sheet name="Exercício" sheetId="6" r:id="rId5"/>
    <sheet name="Convexidade" sheetId="7" r:id="rId6"/>
    <sheet name="Estimando a curva" sheetId="8" r:id="rId7"/>
    <sheet name="Exercicio NTN-F" sheetId="11" r:id="rId8"/>
    <sheet name="Exercício 2" sheetId="10" r:id="rId9"/>
  </sheets>
  <definedNames>
    <definedName name="solver_adj" localSheetId="7" hidden="1">'Exercicio NTN-F'!$K$5</definedName>
    <definedName name="solver_cvg" localSheetId="7" hidden="1">"0,0001"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"0,075"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'Exercicio NTN-F'!$F$18</definedName>
    <definedName name="solver_pre" localSheetId="7" hidden="1">"0,000001"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811.65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1" l="1"/>
  <c r="B7" i="11" s="1"/>
  <c r="D18" i="10"/>
  <c r="D19" i="10"/>
  <c r="D17" i="10"/>
  <c r="G11" i="10"/>
  <c r="F13" i="10"/>
  <c r="C16" i="11"/>
  <c r="E16" i="11" s="1"/>
  <c r="C7" i="11"/>
  <c r="E7" i="11" s="1"/>
  <c r="C8" i="11"/>
  <c r="E8" i="11" s="1"/>
  <c r="C9" i="11"/>
  <c r="E9" i="11" s="1"/>
  <c r="C10" i="11"/>
  <c r="E10" i="11" s="1"/>
  <c r="C11" i="11"/>
  <c r="E11" i="11" s="1"/>
  <c r="C12" i="11"/>
  <c r="E12" i="11" s="1"/>
  <c r="C13" i="11"/>
  <c r="E13" i="11" s="1"/>
  <c r="C14" i="11"/>
  <c r="E14" i="11" s="1"/>
  <c r="C15" i="11"/>
  <c r="E15" i="11" s="1"/>
  <c r="C6" i="11"/>
  <c r="E6" i="11" s="1"/>
  <c r="E5" i="11"/>
  <c r="F5" i="11" s="1"/>
  <c r="B7" i="8"/>
  <c r="C7" i="8"/>
  <c r="G11" i="7"/>
  <c r="E8" i="7"/>
  <c r="G8" i="7"/>
  <c r="G2" i="7"/>
  <c r="F2" i="7"/>
  <c r="F26" i="2"/>
  <c r="F25" i="2"/>
  <c r="H6" i="6"/>
  <c r="F22" i="2"/>
  <c r="F23" i="2"/>
  <c r="H7" i="6"/>
  <c r="F19" i="10"/>
  <c r="G14" i="10"/>
  <c r="F18" i="10"/>
  <c r="F11" i="10"/>
  <c r="A8" i="8"/>
  <c r="B8" i="8" s="1"/>
  <c r="E11" i="6"/>
  <c r="H8" i="6"/>
  <c r="H8" i="2"/>
  <c r="H3" i="2"/>
  <c r="H4" i="2"/>
  <c r="H5" i="2"/>
  <c r="H6" i="2"/>
  <c r="H2" i="2"/>
  <c r="H10" i="2"/>
  <c r="F11" i="2"/>
  <c r="I7" i="1"/>
  <c r="I3" i="1"/>
  <c r="J3" i="1" s="1"/>
  <c r="E15" i="2"/>
  <c r="E16" i="2"/>
  <c r="F16" i="2" s="1"/>
  <c r="E17" i="2"/>
  <c r="E18" i="2"/>
  <c r="F18" i="2" s="1"/>
  <c r="E14" i="2"/>
  <c r="F14" i="2" s="1"/>
  <c r="G3" i="7"/>
  <c r="F15" i="2"/>
  <c r="F17" i="2"/>
  <c r="F2" i="2"/>
  <c r="F10" i="2"/>
  <c r="D8" i="10"/>
  <c r="E8" i="10" s="1"/>
  <c r="D7" i="10"/>
  <c r="E7" i="10"/>
  <c r="F7" i="10" s="1"/>
  <c r="D6" i="10"/>
  <c r="E6" i="10" s="1"/>
  <c r="D9" i="10"/>
  <c r="E9" i="10" s="1"/>
  <c r="D5" i="10"/>
  <c r="E5" i="10" s="1"/>
  <c r="D4" i="10"/>
  <c r="E4" i="10" s="1"/>
  <c r="D3" i="10"/>
  <c r="E3" i="10" s="1"/>
  <c r="D2" i="10"/>
  <c r="E2" i="10" s="1"/>
  <c r="G2" i="10" s="1"/>
  <c r="E20" i="7"/>
  <c r="E19" i="7"/>
  <c r="E18" i="7"/>
  <c r="E16" i="7"/>
  <c r="E17" i="7"/>
  <c r="D20" i="7"/>
  <c r="D19" i="7"/>
  <c r="D18" i="7"/>
  <c r="D17" i="7"/>
  <c r="D16" i="7"/>
  <c r="G4" i="7"/>
  <c r="G5" i="7"/>
  <c r="G6" i="7"/>
  <c r="D6" i="7"/>
  <c r="E6" i="7" s="1"/>
  <c r="F6" i="7" s="1"/>
  <c r="D5" i="7"/>
  <c r="E5" i="7" s="1"/>
  <c r="F5" i="7" s="1"/>
  <c r="F4" i="7"/>
  <c r="E4" i="7"/>
  <c r="D4" i="7"/>
  <c r="D3" i="7"/>
  <c r="E3" i="7" s="1"/>
  <c r="F3" i="7" s="1"/>
  <c r="D2" i="7"/>
  <c r="E2" i="7" s="1"/>
  <c r="F7" i="11" l="1"/>
  <c r="H7" i="11" s="1"/>
  <c r="F6" i="11"/>
  <c r="G6" i="11" s="1"/>
  <c r="B8" i="11"/>
  <c r="B9" i="11" s="1"/>
  <c r="F9" i="11" s="1"/>
  <c r="H9" i="11" s="1"/>
  <c r="G7" i="11"/>
  <c r="A9" i="8"/>
  <c r="B9" i="8" s="1"/>
  <c r="H5" i="11"/>
  <c r="G5" i="11"/>
  <c r="K3" i="1"/>
  <c r="F8" i="10"/>
  <c r="G8" i="10"/>
  <c r="G7" i="10"/>
  <c r="F6" i="10"/>
  <c r="G6" i="10"/>
  <c r="G3" i="10"/>
  <c r="E11" i="10"/>
  <c r="F3" i="10"/>
  <c r="G4" i="10"/>
  <c r="F4" i="10"/>
  <c r="G5" i="10"/>
  <c r="F5" i="10"/>
  <c r="G9" i="10"/>
  <c r="F9" i="10"/>
  <c r="F2" i="10"/>
  <c r="E22" i="7"/>
  <c r="F20" i="2"/>
  <c r="F8" i="7"/>
  <c r="F10" i="7" s="1"/>
  <c r="F12" i="7" s="1"/>
  <c r="H6" i="11" l="1"/>
  <c r="B10" i="11"/>
  <c r="F8" i="11"/>
  <c r="G9" i="11"/>
  <c r="F10" i="11"/>
  <c r="B11" i="11"/>
  <c r="E23" i="7"/>
  <c r="A10" i="8"/>
  <c r="B10" i="8" s="1"/>
  <c r="F15" i="10"/>
  <c r="H8" i="11" l="1"/>
  <c r="G8" i="11"/>
  <c r="F11" i="11"/>
  <c r="B12" i="11"/>
  <c r="H10" i="11"/>
  <c r="G10" i="11"/>
  <c r="C8" i="8"/>
  <c r="C9" i="8"/>
  <c r="E24" i="7"/>
  <c r="F24" i="7" s="1"/>
  <c r="F23" i="7"/>
  <c r="G18" i="10"/>
  <c r="G19" i="10"/>
  <c r="A11" i="8"/>
  <c r="B11" i="8" s="1"/>
  <c r="C10" i="8"/>
  <c r="E9" i="6"/>
  <c r="F9" i="6" s="1"/>
  <c r="D9" i="6"/>
  <c r="E8" i="6"/>
  <c r="F8" i="6" s="1"/>
  <c r="D8" i="6"/>
  <c r="E7" i="6"/>
  <c r="F7" i="6" s="1"/>
  <c r="D7" i="6"/>
  <c r="D6" i="6"/>
  <c r="E6" i="6" s="1"/>
  <c r="F6" i="6" s="1"/>
  <c r="D5" i="6"/>
  <c r="E5" i="6" s="1"/>
  <c r="F12" i="11" l="1"/>
  <c r="B13" i="11"/>
  <c r="H11" i="11"/>
  <c r="G11" i="11"/>
  <c r="D7" i="8"/>
  <c r="D10" i="8"/>
  <c r="D9" i="8"/>
  <c r="D8" i="8"/>
  <c r="C11" i="8"/>
  <c r="A12" i="8"/>
  <c r="B12" i="8" s="1"/>
  <c r="F5" i="6"/>
  <c r="F11" i="6" s="1"/>
  <c r="F13" i="6" s="1"/>
  <c r="F14" i="6" s="1"/>
  <c r="F13" i="11" l="1"/>
  <c r="B14" i="11"/>
  <c r="H12" i="11"/>
  <c r="G12" i="11"/>
  <c r="D11" i="8"/>
  <c r="A13" i="8"/>
  <c r="B13" i="8" s="1"/>
  <c r="C12" i="8"/>
  <c r="B5" i="4"/>
  <c r="C9" i="4"/>
  <c r="D8" i="4"/>
  <c r="C8" i="4"/>
  <c r="D9" i="4"/>
  <c r="D6" i="4"/>
  <c r="D7" i="4"/>
  <c r="D10" i="4"/>
  <c r="D11" i="4"/>
  <c r="D12" i="4"/>
  <c r="D13" i="4"/>
  <c r="D14" i="4"/>
  <c r="D15" i="4"/>
  <c r="D5" i="4"/>
  <c r="C5" i="4"/>
  <c r="C6" i="4"/>
  <c r="C7" i="4"/>
  <c r="C10" i="4"/>
  <c r="C11" i="4"/>
  <c r="C12" i="4"/>
  <c r="C13" i="4"/>
  <c r="C14" i="4"/>
  <c r="C15" i="4"/>
  <c r="B6" i="4"/>
  <c r="B7" i="4"/>
  <c r="B8" i="4"/>
  <c r="B9" i="4"/>
  <c r="B10" i="4"/>
  <c r="B11" i="4"/>
  <c r="B12" i="4"/>
  <c r="B13" i="4"/>
  <c r="B14" i="4"/>
  <c r="B15" i="4"/>
  <c r="A9" i="4"/>
  <c r="A10" i="4" s="1"/>
  <c r="B5" i="3"/>
  <c r="C5" i="3"/>
  <c r="D5" i="3"/>
  <c r="B6" i="3"/>
  <c r="B7" i="3"/>
  <c r="B8" i="3"/>
  <c r="B9" i="3"/>
  <c r="B10" i="3"/>
  <c r="B11" i="3"/>
  <c r="B12" i="3"/>
  <c r="B13" i="3"/>
  <c r="B14" i="3"/>
  <c r="B15" i="3"/>
  <c r="C6" i="3"/>
  <c r="C7" i="3"/>
  <c r="C8" i="3"/>
  <c r="C9" i="3"/>
  <c r="C10" i="3"/>
  <c r="C11" i="3"/>
  <c r="C12" i="3"/>
  <c r="C13" i="3"/>
  <c r="C14" i="3"/>
  <c r="C15" i="3"/>
  <c r="D6" i="3"/>
  <c r="D7" i="3"/>
  <c r="D8" i="3"/>
  <c r="D9" i="3"/>
  <c r="D10" i="3"/>
  <c r="D11" i="3"/>
  <c r="D12" i="3"/>
  <c r="D13" i="3"/>
  <c r="D14" i="3"/>
  <c r="D15" i="3"/>
  <c r="A9" i="3"/>
  <c r="A10" i="3" s="1"/>
  <c r="A11" i="3" s="1"/>
  <c r="A12" i="3" s="1"/>
  <c r="A13" i="3" s="1"/>
  <c r="A14" i="3" s="1"/>
  <c r="A15" i="3" s="1"/>
  <c r="F14" i="11" l="1"/>
  <c r="B15" i="11"/>
  <c r="B16" i="11" s="1"/>
  <c r="F16" i="11" s="1"/>
  <c r="H13" i="11"/>
  <c r="G13" i="11"/>
  <c r="D12" i="8"/>
  <c r="A14" i="8"/>
  <c r="B14" i="8" s="1"/>
  <c r="C13" i="8"/>
  <c r="A11" i="4"/>
  <c r="G16" i="11" l="1"/>
  <c r="H16" i="11"/>
  <c r="F15" i="11"/>
  <c r="F18" i="11" s="1"/>
  <c r="H14" i="11"/>
  <c r="G14" i="11"/>
  <c r="D13" i="8"/>
  <c r="A15" i="8"/>
  <c r="B15" i="8" s="1"/>
  <c r="C14" i="8"/>
  <c r="A12" i="4"/>
  <c r="G15" i="11" l="1"/>
  <c r="H15" i="11"/>
  <c r="D14" i="8"/>
  <c r="C15" i="8"/>
  <c r="A16" i="8"/>
  <c r="B16" i="8" s="1"/>
  <c r="A13" i="4"/>
  <c r="D18" i="2"/>
  <c r="D17" i="2"/>
  <c r="D16" i="2"/>
  <c r="D15" i="2"/>
  <c r="D14" i="2"/>
  <c r="D6" i="2"/>
  <c r="E6" i="2" s="1"/>
  <c r="F6" i="2" s="1"/>
  <c r="D5" i="2"/>
  <c r="E5" i="2" s="1"/>
  <c r="F5" i="2" s="1"/>
  <c r="D4" i="2"/>
  <c r="E4" i="2" s="1"/>
  <c r="F4" i="2" s="1"/>
  <c r="D3" i="2"/>
  <c r="E3" i="2" s="1"/>
  <c r="F3" i="2" s="1"/>
  <c r="D2" i="2"/>
  <c r="E2" i="2" s="1"/>
  <c r="J7" i="1"/>
  <c r="K7" i="1" s="1"/>
  <c r="I4" i="1"/>
  <c r="J4" i="1" s="1"/>
  <c r="I5" i="1"/>
  <c r="J5" i="1" s="1"/>
  <c r="K5" i="1" s="1"/>
  <c r="I6" i="1"/>
  <c r="J6" i="1" s="1"/>
  <c r="K6" i="1" s="1"/>
  <c r="G18" i="11" l="1"/>
  <c r="H18" i="11"/>
  <c r="H22" i="11" s="1"/>
  <c r="D15" i="8"/>
  <c r="C16" i="8"/>
  <c r="A17" i="8"/>
  <c r="B17" i="8" s="1"/>
  <c r="J9" i="1"/>
  <c r="K4" i="1"/>
  <c r="K9" i="1" s="1"/>
  <c r="A14" i="4"/>
  <c r="E20" i="2"/>
  <c r="E8" i="2"/>
  <c r="F8" i="2"/>
  <c r="G20" i="11" l="1"/>
  <c r="G21" i="11" s="1"/>
  <c r="D16" i="8"/>
  <c r="C17" i="8"/>
  <c r="A18" i="8"/>
  <c r="B18" i="8" s="1"/>
  <c r="K11" i="1"/>
  <c r="A15" i="4"/>
  <c r="D17" i="8" l="1"/>
  <c r="A19" i="8"/>
  <c r="B19" i="8" s="1"/>
  <c r="C18" i="8"/>
  <c r="D18" i="8" l="1"/>
  <c r="C19" i="8"/>
  <c r="D19" i="8" s="1"/>
  <c r="A20" i="8"/>
  <c r="B20" i="8" s="1"/>
  <c r="C20" i="8" l="1"/>
  <c r="A21" i="8"/>
  <c r="B21" i="8" s="1"/>
  <c r="D20" i="8" l="1"/>
  <c r="C21" i="8"/>
  <c r="A22" i="8"/>
  <c r="B22" i="8" s="1"/>
  <c r="D21" i="8" l="1"/>
  <c r="A23" i="8"/>
  <c r="B23" i="8" s="1"/>
  <c r="C22" i="8"/>
  <c r="D22" i="8" l="1"/>
  <c r="C23" i="8"/>
  <c r="A24" i="8"/>
  <c r="B24" i="8" s="1"/>
  <c r="D23" i="8" l="1"/>
  <c r="A25" i="8"/>
  <c r="B25" i="8" s="1"/>
  <c r="C24" i="8"/>
  <c r="D24" i="8" s="1"/>
  <c r="C25" i="8" l="1"/>
  <c r="A26" i="8"/>
  <c r="B26" i="8" s="1"/>
  <c r="D25" i="8" l="1"/>
  <c r="A27" i="8"/>
  <c r="B27" i="8" s="1"/>
  <c r="C26" i="8"/>
  <c r="D26" i="8" l="1"/>
  <c r="C27" i="8"/>
  <c r="D27" i="8" s="1"/>
  <c r="A28" i="8"/>
  <c r="B28" i="8" s="1"/>
  <c r="A29" i="8" l="1"/>
  <c r="B29" i="8" s="1"/>
  <c r="C28" i="8"/>
  <c r="D28" i="8" s="1"/>
  <c r="A30" i="8" l="1"/>
  <c r="B30" i="8" s="1"/>
  <c r="C29" i="8"/>
  <c r="D29" i="8" s="1"/>
  <c r="A31" i="8" l="1"/>
  <c r="B31" i="8" s="1"/>
  <c r="C30" i="8"/>
  <c r="D30" i="8" s="1"/>
  <c r="A32" i="8" l="1"/>
  <c r="B32" i="8" s="1"/>
  <c r="C31" i="8"/>
  <c r="D31" i="8" s="1"/>
  <c r="C32" i="8" l="1"/>
  <c r="A33" i="8"/>
  <c r="B33" i="8" s="1"/>
  <c r="D32" i="8" l="1"/>
  <c r="C33" i="8"/>
  <c r="A34" i="8"/>
  <c r="B34" i="8" s="1"/>
  <c r="D33" i="8" l="1"/>
  <c r="C34" i="8"/>
  <c r="D34" i="8" s="1"/>
  <c r="A35" i="8"/>
  <c r="B35" i="8" s="1"/>
  <c r="C35" i="8" l="1"/>
  <c r="A36" i="8"/>
  <c r="B36" i="8" s="1"/>
  <c r="D35" i="8" l="1"/>
  <c r="C36" i="8"/>
  <c r="A37" i="8"/>
  <c r="B37" i="8" s="1"/>
  <c r="D36" i="8" l="1"/>
  <c r="C37" i="8"/>
  <c r="A38" i="8"/>
  <c r="B38" i="8" s="1"/>
  <c r="D37" i="8" l="1"/>
  <c r="C38" i="8"/>
  <c r="A39" i="8"/>
  <c r="B39" i="8" s="1"/>
  <c r="D38" i="8" l="1"/>
  <c r="A40" i="8"/>
  <c r="B40" i="8" s="1"/>
  <c r="C39" i="8"/>
  <c r="D39" i="8" s="1"/>
  <c r="A41" i="8" l="1"/>
  <c r="B41" i="8" s="1"/>
  <c r="C40" i="8"/>
  <c r="D40" i="8" s="1"/>
  <c r="A42" i="8" l="1"/>
  <c r="B42" i="8" s="1"/>
  <c r="C41" i="8"/>
  <c r="D41" i="8" l="1"/>
  <c r="C42" i="8"/>
  <c r="A43" i="8"/>
  <c r="B43" i="8" s="1"/>
  <c r="D42" i="8" l="1"/>
  <c r="C43" i="8"/>
  <c r="A44" i="8"/>
  <c r="B44" i="8" s="1"/>
  <c r="D43" i="8" l="1"/>
  <c r="A45" i="8"/>
  <c r="B45" i="8" s="1"/>
  <c r="C44" i="8"/>
  <c r="D44" i="8" l="1"/>
  <c r="C45" i="8"/>
  <c r="A46" i="8"/>
  <c r="B46" i="8" s="1"/>
  <c r="D45" i="8" l="1"/>
  <c r="C46" i="8"/>
  <c r="A47" i="8"/>
  <c r="B47" i="8" s="1"/>
  <c r="D46" i="8" l="1"/>
  <c r="A48" i="8"/>
  <c r="B48" i="8" s="1"/>
  <c r="C47" i="8"/>
  <c r="D47" i="8" s="1"/>
  <c r="C48" i="8" l="1"/>
  <c r="A49" i="8"/>
  <c r="B49" i="8" s="1"/>
  <c r="D48" i="8" l="1"/>
  <c r="A50" i="8"/>
  <c r="B50" i="8" s="1"/>
  <c r="C49" i="8"/>
  <c r="D49" i="8" s="1"/>
  <c r="A51" i="8" l="1"/>
  <c r="B51" i="8" s="1"/>
  <c r="C50" i="8"/>
  <c r="D50" i="8" l="1"/>
  <c r="C51" i="8"/>
  <c r="A52" i="8"/>
  <c r="B52" i="8" s="1"/>
  <c r="D51" i="8" l="1"/>
  <c r="C52" i="8"/>
  <c r="A53" i="8"/>
  <c r="B53" i="8" s="1"/>
  <c r="D52" i="8" l="1"/>
  <c r="C53" i="8"/>
  <c r="A54" i="8"/>
  <c r="B54" i="8" s="1"/>
  <c r="D53" i="8" l="1"/>
  <c r="A55" i="8"/>
  <c r="B55" i="8" s="1"/>
  <c r="C54" i="8"/>
  <c r="D54" i="8" l="1"/>
  <c r="C55" i="8"/>
  <c r="A56" i="8"/>
  <c r="B56" i="8" s="1"/>
  <c r="D55" i="8" l="1"/>
  <c r="A57" i="8"/>
  <c r="B57" i="8" s="1"/>
  <c r="C56" i="8"/>
  <c r="D56" i="8" s="1"/>
  <c r="C57" i="8" l="1"/>
  <c r="D57" i="8" s="1"/>
  <c r="A58" i="8"/>
  <c r="B58" i="8" s="1"/>
  <c r="A59" i="8" l="1"/>
  <c r="B59" i="8" s="1"/>
  <c r="C58" i="8"/>
  <c r="D58" i="8" l="1"/>
  <c r="A60" i="8"/>
  <c r="B60" i="8" s="1"/>
  <c r="C59" i="8"/>
  <c r="D59" i="8" l="1"/>
  <c r="C60" i="8"/>
  <c r="A61" i="8"/>
  <c r="B61" i="8" s="1"/>
  <c r="D60" i="8" l="1"/>
  <c r="C61" i="8"/>
  <c r="A62" i="8"/>
  <c r="B62" i="8" s="1"/>
  <c r="D61" i="8" l="1"/>
  <c r="C62" i="8"/>
  <c r="A63" i="8"/>
  <c r="B63" i="8" s="1"/>
  <c r="D62" i="8" l="1"/>
  <c r="A64" i="8"/>
  <c r="B64" i="8" s="1"/>
  <c r="C63" i="8"/>
  <c r="D63" i="8" l="1"/>
  <c r="A65" i="8"/>
  <c r="B65" i="8" s="1"/>
  <c r="C64" i="8"/>
  <c r="D64" i="8" s="1"/>
  <c r="C65" i="8" l="1"/>
  <c r="A66" i="8"/>
  <c r="B66" i="8" s="1"/>
  <c r="D65" i="8" l="1"/>
  <c r="C66" i="8"/>
  <c r="A67" i="8"/>
  <c r="B67" i="8" s="1"/>
  <c r="D66" i="8" l="1"/>
  <c r="C67" i="8"/>
  <c r="D67" i="8" l="1"/>
</calcChain>
</file>

<file path=xl/sharedStrings.xml><?xml version="1.0" encoding="utf-8"?>
<sst xmlns="http://schemas.openxmlformats.org/spreadsheetml/2006/main" count="111" uniqueCount="43">
  <si>
    <t>Anos</t>
  </si>
  <si>
    <t>Cupom @ 10%</t>
  </si>
  <si>
    <t>Amortização</t>
  </si>
  <si>
    <t>Fluxo de Caixa</t>
  </si>
  <si>
    <t>PV @ 8% a.a.</t>
  </si>
  <si>
    <t>PV x t</t>
  </si>
  <si>
    <t>Duration</t>
  </si>
  <si>
    <t>PV @ 8.40% a.a.</t>
  </si>
  <si>
    <t>Duration M</t>
  </si>
  <si>
    <t>Taxa Cupom</t>
  </si>
  <si>
    <t>YTM (a.a.)</t>
  </si>
  <si>
    <t>Preço A</t>
  </si>
  <si>
    <t>Preço B</t>
  </si>
  <si>
    <t>Preço C</t>
  </si>
  <si>
    <t>A</t>
  </si>
  <si>
    <t>B</t>
  </si>
  <si>
    <t>C</t>
  </si>
  <si>
    <t>Vencimento</t>
  </si>
  <si>
    <t>Cupom 10% a.a. ; Face = 1.000</t>
  </si>
  <si>
    <t>Cupom 0% a.a. ; Face = 1.000</t>
  </si>
  <si>
    <t>1</t>
  </si>
  <si>
    <t>5</t>
  </si>
  <si>
    <t>10</t>
  </si>
  <si>
    <t>FCD =&gt;</t>
  </si>
  <si>
    <t>&lt;= Duration</t>
  </si>
  <si>
    <t>PV x t x (t+1)</t>
  </si>
  <si>
    <t>Convexidade</t>
  </si>
  <si>
    <t>PV @ 8.4% a.a.</t>
  </si>
  <si>
    <t>FCD</t>
  </si>
  <si>
    <t>Duration + Convex</t>
  </si>
  <si>
    <t>&lt;=Erro</t>
  </si>
  <si>
    <t>YTM</t>
  </si>
  <si>
    <t>Preço</t>
  </si>
  <si>
    <t>D+C</t>
  </si>
  <si>
    <t>D</t>
  </si>
  <si>
    <t>Bond a 10%</t>
  </si>
  <si>
    <t>PV @ 11% a.a.</t>
  </si>
  <si>
    <t>Duration Mod</t>
  </si>
  <si>
    <t>Preço via Duration</t>
  </si>
  <si>
    <t>% via Duration</t>
  </si>
  <si>
    <t>Diferença</t>
  </si>
  <si>
    <t>PV @ 14.09% a.a.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</si>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</sst>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0"/>
    <numFmt numFmtId="165" formatCode="0.000"/>
    <numFmt numFmtId="166" formatCode="_-&quot;R$&quot;\ * #,##0.0000_-;\-&quot;R$&quot;\ * #,##0.0000_-;_-&quot;R$&quot;\ * &quot;-&quot;??_-;_-@_-"/>
    <numFmt numFmtId="172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2" applyNumberFormat="1" applyFont="1"/>
    <xf numFmtId="166" fontId="0" fillId="0" borderId="0" xfId="0" applyNumberFormat="1"/>
    <xf numFmtId="44" fontId="0" fillId="2" borderId="0" xfId="1" applyFont="1" applyFill="1"/>
    <xf numFmtId="0" fontId="0" fillId="2" borderId="0" xfId="0" applyFill="1"/>
    <xf numFmtId="44" fontId="0" fillId="2" borderId="0" xfId="0" applyNumberFormat="1" applyFill="1"/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0" applyNumberFormat="1" applyFont="1"/>
    <xf numFmtId="17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 ano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 1 = Vencimento'!$A$5:$A$15</c:f>
              <c:numCache>
                <c:formatCode>0%</c:formatCode>
                <c:ptCount val="11"/>
                <c:pt idx="0">
                  <c:v>0.05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</c:v>
                </c:pt>
                <c:pt idx="4">
                  <c:v>0.12000000000000001</c:v>
                </c:pt>
                <c:pt idx="5">
                  <c:v>0.14000000000000001</c:v>
                </c:pt>
                <c:pt idx="6">
                  <c:v>0.16</c:v>
                </c:pt>
                <c:pt idx="7">
                  <c:v>0.18</c:v>
                </c:pt>
                <c:pt idx="8">
                  <c:v>0.19999999999999998</c:v>
                </c:pt>
                <c:pt idx="9">
                  <c:v>0.21999999999999997</c:v>
                </c:pt>
                <c:pt idx="10">
                  <c:v>0.23999999999999996</c:v>
                </c:pt>
              </c:numCache>
            </c:numRef>
          </c:cat>
          <c:val>
            <c:numRef>
              <c:f>'Ex 1 = Vencimento'!$B$5:$B$15</c:f>
              <c:numCache>
                <c:formatCode>_("R$"* #,##0.00_);_("R$"* \(#,##0.00\);_("R$"* "-"??_);_(@_)</c:formatCode>
                <c:ptCount val="11"/>
                <c:pt idx="0">
                  <c:v>952.38095238095229</c:v>
                </c:pt>
                <c:pt idx="1">
                  <c:v>934.57943925233644</c:v>
                </c:pt>
                <c:pt idx="2">
                  <c:v>917.43119266055044</c:v>
                </c:pt>
                <c:pt idx="3">
                  <c:v>909.09090909090901</c:v>
                </c:pt>
                <c:pt idx="4">
                  <c:v>892.85714285714278</c:v>
                </c:pt>
                <c:pt idx="5">
                  <c:v>877.19298245614027</c:v>
                </c:pt>
                <c:pt idx="6">
                  <c:v>862.06896551724139</c:v>
                </c:pt>
                <c:pt idx="7">
                  <c:v>847.45762711864415</c:v>
                </c:pt>
                <c:pt idx="8">
                  <c:v>833.33333333333337</c:v>
                </c:pt>
                <c:pt idx="9">
                  <c:v>819.67213114754099</c:v>
                </c:pt>
                <c:pt idx="10">
                  <c:v>806.45161290322585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1-41F6-912D-889E7F5A3974}"/>
            </c:ext>
          </c:extLst>
        </c:ser>
        <c:ser>
          <c:idx val="1"/>
          <c:order val="1"/>
          <c:tx>
            <c:v>5 anos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 1 = Vencimento'!$A$5:$A$15</c:f>
              <c:numCache>
                <c:formatCode>0%</c:formatCode>
                <c:ptCount val="11"/>
                <c:pt idx="0">
                  <c:v>0.05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</c:v>
                </c:pt>
                <c:pt idx="4">
                  <c:v>0.12000000000000001</c:v>
                </c:pt>
                <c:pt idx="5">
                  <c:v>0.14000000000000001</c:v>
                </c:pt>
                <c:pt idx="6">
                  <c:v>0.16</c:v>
                </c:pt>
                <c:pt idx="7">
                  <c:v>0.18</c:v>
                </c:pt>
                <c:pt idx="8">
                  <c:v>0.19999999999999998</c:v>
                </c:pt>
                <c:pt idx="9">
                  <c:v>0.21999999999999997</c:v>
                </c:pt>
                <c:pt idx="10">
                  <c:v>0.23999999999999996</c:v>
                </c:pt>
              </c:numCache>
            </c:numRef>
          </c:cat>
          <c:val>
            <c:numRef>
              <c:f>'Ex 1 = Vencimento'!$C$5:$C$15</c:f>
              <c:numCache>
                <c:formatCode>_("R$"* #,##0.00_);_("R$"* \(#,##0.00\);_("R$"* "-"??_);_(@_)</c:formatCode>
                <c:ptCount val="11"/>
                <c:pt idx="0">
                  <c:v>783.526166468459</c:v>
                </c:pt>
                <c:pt idx="1">
                  <c:v>712.98617948366837</c:v>
                </c:pt>
                <c:pt idx="2">
                  <c:v>649.93138629834527</c:v>
                </c:pt>
                <c:pt idx="3">
                  <c:v>620.92132305915493</c:v>
                </c:pt>
                <c:pt idx="4">
                  <c:v>567.4268557185992</c:v>
                </c:pt>
                <c:pt idx="5">
                  <c:v>519.36866435981528</c:v>
                </c:pt>
                <c:pt idx="6">
                  <c:v>476.11301541420238</c:v>
                </c:pt>
                <c:pt idx="7">
                  <c:v>437.10921623045869</c:v>
                </c:pt>
                <c:pt idx="8">
                  <c:v>401.87757201646093</c:v>
                </c:pt>
                <c:pt idx="9">
                  <c:v>369.99925245943035</c:v>
                </c:pt>
                <c:pt idx="10">
                  <c:v>341.10774014919264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1-41F6-912D-889E7F5A3974}"/>
            </c:ext>
          </c:extLst>
        </c:ser>
        <c:ser>
          <c:idx val="2"/>
          <c:order val="2"/>
          <c:tx>
            <c:v>10 anos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 1 = Vencimento'!$A$5:$A$15</c:f>
              <c:numCache>
                <c:formatCode>0%</c:formatCode>
                <c:ptCount val="11"/>
                <c:pt idx="0">
                  <c:v>0.05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</c:v>
                </c:pt>
                <c:pt idx="4">
                  <c:v>0.12000000000000001</c:v>
                </c:pt>
                <c:pt idx="5">
                  <c:v>0.14000000000000001</c:v>
                </c:pt>
                <c:pt idx="6">
                  <c:v>0.16</c:v>
                </c:pt>
                <c:pt idx="7">
                  <c:v>0.18</c:v>
                </c:pt>
                <c:pt idx="8">
                  <c:v>0.19999999999999998</c:v>
                </c:pt>
                <c:pt idx="9">
                  <c:v>0.21999999999999997</c:v>
                </c:pt>
                <c:pt idx="10">
                  <c:v>0.23999999999999996</c:v>
                </c:pt>
              </c:numCache>
            </c:numRef>
          </c:cat>
          <c:val>
            <c:numRef>
              <c:f>'Ex 1 = Vencimento'!$D$5:$D$15</c:f>
              <c:numCache>
                <c:formatCode>_("R$"* #,##0.00_);_("R$"* \(#,##0.00\);_("R$"* "-"??_);_(@_)</c:formatCode>
                <c:ptCount val="11"/>
                <c:pt idx="0">
                  <c:v>613.91325354075934</c:v>
                </c:pt>
                <c:pt idx="1">
                  <c:v>508.34929213471781</c:v>
                </c:pt>
                <c:pt idx="2">
                  <c:v>422.41080689568889</c:v>
                </c:pt>
                <c:pt idx="3">
                  <c:v>385.54328942953146</c:v>
                </c:pt>
                <c:pt idx="4">
                  <c:v>321.97323659069599</c:v>
                </c:pt>
                <c:pt idx="5">
                  <c:v>269.74380951889839</c:v>
                </c:pt>
                <c:pt idx="6">
                  <c:v>226.68360344680451</c:v>
                </c:pt>
                <c:pt idx="7">
                  <c:v>191.06446691360586</c:v>
                </c:pt>
                <c:pt idx="8">
                  <c:v>161.50558288984575</c:v>
                </c:pt>
                <c:pt idx="9">
                  <c:v>136.89944682053732</c:v>
                </c:pt>
                <c:pt idx="10">
                  <c:v>116.35449038968913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01-41F6-912D-889E7F5A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8000"/>
        <c:axId val="1202938480"/>
      </c:lineChart>
      <c:catAx>
        <c:axId val="120293800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38480"/>
        <c:crosses val="autoZero"/>
        <c:auto val="1"/>
        <c:lblAlgn val="ctr"/>
        <c:lblOffset val="100"/>
        <c:noMultiLvlLbl val="0"/>
      </c:catAx>
      <c:valAx>
        <c:axId val="1202938480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D+C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'Estimando a curva'!$A$7:$A$67</c:f>
              <c:numCache>
                <c:formatCode>0.00%</c:formatCode>
                <c:ptCount val="61"/>
                <c:pt idx="0">
                  <c:v>0.1109</c:v>
                </c:pt>
                <c:pt idx="1">
                  <c:v>0.1119</c:v>
                </c:pt>
                <c:pt idx="2">
                  <c:v>0.1129</c:v>
                </c:pt>
                <c:pt idx="3">
                  <c:v>0.1139</c:v>
                </c:pt>
                <c:pt idx="4">
                  <c:v>0.1149</c:v>
                </c:pt>
                <c:pt idx="5">
                  <c:v>0.1159</c:v>
                </c:pt>
                <c:pt idx="6">
                  <c:v>0.1169</c:v>
                </c:pt>
                <c:pt idx="7">
                  <c:v>0.1179</c:v>
                </c:pt>
                <c:pt idx="8">
                  <c:v>0.11890000000000001</c:v>
                </c:pt>
                <c:pt idx="9">
                  <c:v>0.11990000000000001</c:v>
                </c:pt>
                <c:pt idx="10">
                  <c:v>0.12090000000000001</c:v>
                </c:pt>
                <c:pt idx="11">
                  <c:v>0.12190000000000001</c:v>
                </c:pt>
                <c:pt idx="12">
                  <c:v>0.12290000000000001</c:v>
                </c:pt>
                <c:pt idx="13">
                  <c:v>0.12390000000000001</c:v>
                </c:pt>
                <c:pt idx="14">
                  <c:v>0.12490000000000001</c:v>
                </c:pt>
                <c:pt idx="15">
                  <c:v>0.12590000000000001</c:v>
                </c:pt>
                <c:pt idx="16">
                  <c:v>0.12690000000000001</c:v>
                </c:pt>
                <c:pt idx="17">
                  <c:v>0.12790000000000001</c:v>
                </c:pt>
                <c:pt idx="18">
                  <c:v>0.12890000000000001</c:v>
                </c:pt>
                <c:pt idx="19">
                  <c:v>0.12990000000000002</c:v>
                </c:pt>
                <c:pt idx="20">
                  <c:v>0.13090000000000002</c:v>
                </c:pt>
                <c:pt idx="21">
                  <c:v>0.13190000000000002</c:v>
                </c:pt>
                <c:pt idx="22">
                  <c:v>0.13290000000000002</c:v>
                </c:pt>
                <c:pt idx="23">
                  <c:v>0.13390000000000002</c:v>
                </c:pt>
                <c:pt idx="24">
                  <c:v>0.13490000000000002</c:v>
                </c:pt>
                <c:pt idx="25">
                  <c:v>0.13590000000000002</c:v>
                </c:pt>
                <c:pt idx="26">
                  <c:v>0.13690000000000002</c:v>
                </c:pt>
                <c:pt idx="27">
                  <c:v>0.13790000000000002</c:v>
                </c:pt>
                <c:pt idx="28">
                  <c:v>0.13890000000000002</c:v>
                </c:pt>
                <c:pt idx="29">
                  <c:v>0.13990000000000002</c:v>
                </c:pt>
                <c:pt idx="30">
                  <c:v>0.14090000000000003</c:v>
                </c:pt>
                <c:pt idx="31">
                  <c:v>0.14190000000000003</c:v>
                </c:pt>
                <c:pt idx="32">
                  <c:v>0.14290000000000003</c:v>
                </c:pt>
                <c:pt idx="33">
                  <c:v>0.14390000000000003</c:v>
                </c:pt>
                <c:pt idx="34">
                  <c:v>0.14490000000000003</c:v>
                </c:pt>
                <c:pt idx="35">
                  <c:v>0.14590000000000003</c:v>
                </c:pt>
                <c:pt idx="36">
                  <c:v>0.14690000000000003</c:v>
                </c:pt>
                <c:pt idx="37">
                  <c:v>0.14790000000000003</c:v>
                </c:pt>
                <c:pt idx="38">
                  <c:v>0.14890000000000003</c:v>
                </c:pt>
                <c:pt idx="39">
                  <c:v>0.14990000000000003</c:v>
                </c:pt>
                <c:pt idx="40">
                  <c:v>0.15090000000000003</c:v>
                </c:pt>
                <c:pt idx="41">
                  <c:v>0.15190000000000003</c:v>
                </c:pt>
                <c:pt idx="42">
                  <c:v>0.15290000000000004</c:v>
                </c:pt>
                <c:pt idx="43">
                  <c:v>0.15390000000000004</c:v>
                </c:pt>
                <c:pt idx="44">
                  <c:v>0.15490000000000004</c:v>
                </c:pt>
                <c:pt idx="45">
                  <c:v>0.15590000000000004</c:v>
                </c:pt>
                <c:pt idx="46">
                  <c:v>0.15690000000000004</c:v>
                </c:pt>
                <c:pt idx="47">
                  <c:v>0.15790000000000004</c:v>
                </c:pt>
                <c:pt idx="48">
                  <c:v>0.15890000000000004</c:v>
                </c:pt>
                <c:pt idx="49">
                  <c:v>0.15990000000000004</c:v>
                </c:pt>
                <c:pt idx="50">
                  <c:v>0.16090000000000004</c:v>
                </c:pt>
                <c:pt idx="51">
                  <c:v>0.16190000000000004</c:v>
                </c:pt>
                <c:pt idx="52">
                  <c:v>0.16290000000000004</c:v>
                </c:pt>
                <c:pt idx="53">
                  <c:v>0.16390000000000005</c:v>
                </c:pt>
                <c:pt idx="54">
                  <c:v>0.16490000000000005</c:v>
                </c:pt>
                <c:pt idx="55">
                  <c:v>0.16590000000000005</c:v>
                </c:pt>
                <c:pt idx="56">
                  <c:v>0.16690000000000005</c:v>
                </c:pt>
                <c:pt idx="57">
                  <c:v>0.16790000000000005</c:v>
                </c:pt>
                <c:pt idx="58">
                  <c:v>0.16890000000000005</c:v>
                </c:pt>
                <c:pt idx="59">
                  <c:v>0.16990000000000005</c:v>
                </c:pt>
                <c:pt idx="60">
                  <c:v>0.17090000000000005</c:v>
                </c:pt>
              </c:numCache>
            </c:numRef>
          </c:cat>
          <c:val>
            <c:numRef>
              <c:f>'Estimando a curva'!$B$7:$B$67</c:f>
              <c:numCache>
                <c:formatCode>_("R$"* #,##0.00_);_("R$"* \(#,##0.00\);_("R$"* "-"??_);_(@_)</c:formatCode>
                <c:ptCount val="61"/>
                <c:pt idx="0">
                  <c:v>962.882255272865</c:v>
                </c:pt>
                <c:pt idx="1">
                  <c:v>957.17260129775718</c:v>
                </c:pt>
                <c:pt idx="2">
                  <c:v>951.50905620536287</c:v>
                </c:pt>
                <c:pt idx="3">
                  <c:v>945.89161999568205</c:v>
                </c:pt>
                <c:pt idx="4">
                  <c:v>940.32029266871473</c:v>
                </c:pt>
                <c:pt idx="5">
                  <c:v>934.7950742244609</c:v>
                </c:pt>
                <c:pt idx="6">
                  <c:v>929.31596466292058</c:v>
                </c:pt>
                <c:pt idx="7">
                  <c:v>923.88296398409364</c:v>
                </c:pt>
                <c:pt idx="8">
                  <c:v>918.4960721879803</c:v>
                </c:pt>
                <c:pt idx="9">
                  <c:v>913.15528927458047</c:v>
                </c:pt>
                <c:pt idx="10">
                  <c:v>907.86061524389413</c:v>
                </c:pt>
                <c:pt idx="11">
                  <c:v>902.61205009592118</c:v>
                </c:pt>
                <c:pt idx="12">
                  <c:v>897.40959383066183</c:v>
                </c:pt>
                <c:pt idx="13">
                  <c:v>892.25324644811587</c:v>
                </c:pt>
                <c:pt idx="14">
                  <c:v>887.14300794828341</c:v>
                </c:pt>
                <c:pt idx="15">
                  <c:v>882.07887833116456</c:v>
                </c:pt>
                <c:pt idx="16">
                  <c:v>877.06085759675909</c:v>
                </c:pt>
                <c:pt idx="17">
                  <c:v>872.08894574506724</c:v>
                </c:pt>
                <c:pt idx="18">
                  <c:v>867.16314277608876</c:v>
                </c:pt>
                <c:pt idx="19">
                  <c:v>862.28344868982379</c:v>
                </c:pt>
                <c:pt idx="20">
                  <c:v>857.44986348627242</c:v>
                </c:pt>
                <c:pt idx="21">
                  <c:v>852.66238716543432</c:v>
                </c:pt>
                <c:pt idx="22">
                  <c:v>847.92101972730984</c:v>
                </c:pt>
                <c:pt idx="23">
                  <c:v>843.22576117189897</c:v>
                </c:pt>
                <c:pt idx="24">
                  <c:v>838.57661149920148</c:v>
                </c:pt>
                <c:pt idx="25">
                  <c:v>833.97357070921737</c:v>
                </c:pt>
                <c:pt idx="26">
                  <c:v>829.41663880194699</c:v>
                </c:pt>
                <c:pt idx="27">
                  <c:v>824.90581577738999</c:v>
                </c:pt>
                <c:pt idx="28">
                  <c:v>820.44110163554637</c:v>
                </c:pt>
                <c:pt idx="29">
                  <c:v>816.02249637641637</c:v>
                </c:pt>
                <c:pt idx="30">
                  <c:v>811.64999999999986</c:v>
                </c:pt>
                <c:pt idx="31">
                  <c:v>807.32361250629685</c:v>
                </c:pt>
                <c:pt idx="32">
                  <c:v>803.04333389530723</c:v>
                </c:pt>
                <c:pt idx="33">
                  <c:v>798.80916416703121</c:v>
                </c:pt>
                <c:pt idx="34">
                  <c:v>794.62110332146869</c:v>
                </c:pt>
                <c:pt idx="35">
                  <c:v>790.47915135861956</c:v>
                </c:pt>
                <c:pt idx="36">
                  <c:v>786.38330827848392</c:v>
                </c:pt>
                <c:pt idx="37">
                  <c:v>782.3335740810619</c:v>
                </c:pt>
                <c:pt idx="38">
                  <c:v>778.32994876635337</c:v>
                </c:pt>
                <c:pt idx="39">
                  <c:v>774.37243233435811</c:v>
                </c:pt>
                <c:pt idx="40">
                  <c:v>770.46102478507657</c:v>
                </c:pt>
                <c:pt idx="41">
                  <c:v>766.59572611850842</c:v>
                </c:pt>
                <c:pt idx="42">
                  <c:v>762.77653633465388</c:v>
                </c:pt>
                <c:pt idx="43">
                  <c:v>759.00345543351261</c:v>
                </c:pt>
                <c:pt idx="44">
                  <c:v>755.27648341508507</c:v>
                </c:pt>
                <c:pt idx="45">
                  <c:v>751.59562027937091</c:v>
                </c:pt>
                <c:pt idx="46">
                  <c:v>747.96086602637013</c:v>
                </c:pt>
                <c:pt idx="47">
                  <c:v>744.37222065608307</c:v>
                </c:pt>
                <c:pt idx="48">
                  <c:v>740.8296841685094</c:v>
                </c:pt>
                <c:pt idx="49">
                  <c:v>737.33325656364923</c:v>
                </c:pt>
                <c:pt idx="50">
                  <c:v>733.88293784150244</c:v>
                </c:pt>
                <c:pt idx="51">
                  <c:v>730.47872800206926</c:v>
                </c:pt>
                <c:pt idx="52">
                  <c:v>727.12062704534958</c:v>
                </c:pt>
                <c:pt idx="53">
                  <c:v>723.80863497134339</c:v>
                </c:pt>
                <c:pt idx="54">
                  <c:v>720.54275178005059</c:v>
                </c:pt>
                <c:pt idx="55">
                  <c:v>717.3229774714714</c:v>
                </c:pt>
                <c:pt idx="56">
                  <c:v>714.14931204560571</c:v>
                </c:pt>
                <c:pt idx="57">
                  <c:v>711.0217555024534</c:v>
                </c:pt>
                <c:pt idx="58">
                  <c:v>707.9403078420147</c:v>
                </c:pt>
                <c:pt idx="59">
                  <c:v>704.90496906428939</c:v>
                </c:pt>
                <c:pt idx="60">
                  <c:v>701.91573916927769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1C-4256-8880-021D41050CED}"/>
            </c:ext>
          </c:extLst>
        </c:ser>
        <c:ser>
          <c:idx val="1"/>
          <c:order val="1"/>
          <c:tx>
            <c:v>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'Estimando a curva'!$A$7:$A$67</c:f>
              <c:numCache>
                <c:formatCode>0.00%</c:formatCode>
                <c:ptCount val="61"/>
                <c:pt idx="0">
                  <c:v>0.1109</c:v>
                </c:pt>
                <c:pt idx="1">
                  <c:v>0.1119</c:v>
                </c:pt>
                <c:pt idx="2">
                  <c:v>0.1129</c:v>
                </c:pt>
                <c:pt idx="3">
                  <c:v>0.1139</c:v>
                </c:pt>
                <c:pt idx="4">
                  <c:v>0.1149</c:v>
                </c:pt>
                <c:pt idx="5">
                  <c:v>0.1159</c:v>
                </c:pt>
                <c:pt idx="6">
                  <c:v>0.1169</c:v>
                </c:pt>
                <c:pt idx="7">
                  <c:v>0.1179</c:v>
                </c:pt>
                <c:pt idx="8">
                  <c:v>0.11890000000000001</c:v>
                </c:pt>
                <c:pt idx="9">
                  <c:v>0.11990000000000001</c:v>
                </c:pt>
                <c:pt idx="10">
                  <c:v>0.12090000000000001</c:v>
                </c:pt>
                <c:pt idx="11">
                  <c:v>0.12190000000000001</c:v>
                </c:pt>
                <c:pt idx="12">
                  <c:v>0.12290000000000001</c:v>
                </c:pt>
                <c:pt idx="13">
                  <c:v>0.12390000000000001</c:v>
                </c:pt>
                <c:pt idx="14">
                  <c:v>0.12490000000000001</c:v>
                </c:pt>
                <c:pt idx="15">
                  <c:v>0.12590000000000001</c:v>
                </c:pt>
                <c:pt idx="16">
                  <c:v>0.12690000000000001</c:v>
                </c:pt>
                <c:pt idx="17">
                  <c:v>0.12790000000000001</c:v>
                </c:pt>
                <c:pt idx="18">
                  <c:v>0.12890000000000001</c:v>
                </c:pt>
                <c:pt idx="19">
                  <c:v>0.12990000000000002</c:v>
                </c:pt>
                <c:pt idx="20">
                  <c:v>0.13090000000000002</c:v>
                </c:pt>
                <c:pt idx="21">
                  <c:v>0.13190000000000002</c:v>
                </c:pt>
                <c:pt idx="22">
                  <c:v>0.13290000000000002</c:v>
                </c:pt>
                <c:pt idx="23">
                  <c:v>0.13390000000000002</c:v>
                </c:pt>
                <c:pt idx="24">
                  <c:v>0.13490000000000002</c:v>
                </c:pt>
                <c:pt idx="25">
                  <c:v>0.13590000000000002</c:v>
                </c:pt>
                <c:pt idx="26">
                  <c:v>0.13690000000000002</c:v>
                </c:pt>
                <c:pt idx="27">
                  <c:v>0.13790000000000002</c:v>
                </c:pt>
                <c:pt idx="28">
                  <c:v>0.13890000000000002</c:v>
                </c:pt>
                <c:pt idx="29">
                  <c:v>0.13990000000000002</c:v>
                </c:pt>
                <c:pt idx="30">
                  <c:v>0.14090000000000003</c:v>
                </c:pt>
                <c:pt idx="31">
                  <c:v>0.14190000000000003</c:v>
                </c:pt>
                <c:pt idx="32">
                  <c:v>0.14290000000000003</c:v>
                </c:pt>
                <c:pt idx="33">
                  <c:v>0.14390000000000003</c:v>
                </c:pt>
                <c:pt idx="34">
                  <c:v>0.14490000000000003</c:v>
                </c:pt>
                <c:pt idx="35">
                  <c:v>0.14590000000000003</c:v>
                </c:pt>
                <c:pt idx="36">
                  <c:v>0.14690000000000003</c:v>
                </c:pt>
                <c:pt idx="37">
                  <c:v>0.14790000000000003</c:v>
                </c:pt>
                <c:pt idx="38">
                  <c:v>0.14890000000000003</c:v>
                </c:pt>
                <c:pt idx="39">
                  <c:v>0.14990000000000003</c:v>
                </c:pt>
                <c:pt idx="40">
                  <c:v>0.15090000000000003</c:v>
                </c:pt>
                <c:pt idx="41">
                  <c:v>0.15190000000000003</c:v>
                </c:pt>
                <c:pt idx="42">
                  <c:v>0.15290000000000004</c:v>
                </c:pt>
                <c:pt idx="43">
                  <c:v>0.15390000000000004</c:v>
                </c:pt>
                <c:pt idx="44">
                  <c:v>0.15490000000000004</c:v>
                </c:pt>
                <c:pt idx="45">
                  <c:v>0.15590000000000004</c:v>
                </c:pt>
                <c:pt idx="46">
                  <c:v>0.15690000000000004</c:v>
                </c:pt>
                <c:pt idx="47">
                  <c:v>0.15790000000000004</c:v>
                </c:pt>
                <c:pt idx="48">
                  <c:v>0.15890000000000004</c:v>
                </c:pt>
                <c:pt idx="49">
                  <c:v>0.15990000000000004</c:v>
                </c:pt>
                <c:pt idx="50">
                  <c:v>0.16090000000000004</c:v>
                </c:pt>
                <c:pt idx="51">
                  <c:v>0.16190000000000004</c:v>
                </c:pt>
                <c:pt idx="52">
                  <c:v>0.16290000000000004</c:v>
                </c:pt>
                <c:pt idx="53">
                  <c:v>0.16390000000000005</c:v>
                </c:pt>
                <c:pt idx="54">
                  <c:v>0.16490000000000005</c:v>
                </c:pt>
                <c:pt idx="55">
                  <c:v>0.16590000000000005</c:v>
                </c:pt>
                <c:pt idx="56">
                  <c:v>0.16690000000000005</c:v>
                </c:pt>
                <c:pt idx="57">
                  <c:v>0.16790000000000005</c:v>
                </c:pt>
                <c:pt idx="58">
                  <c:v>0.16890000000000005</c:v>
                </c:pt>
                <c:pt idx="59">
                  <c:v>0.16990000000000005</c:v>
                </c:pt>
                <c:pt idx="60">
                  <c:v>0.17090000000000005</c:v>
                </c:pt>
              </c:numCache>
            </c:numRef>
          </c:cat>
          <c:val>
            <c:numRef>
              <c:f>'Estimando a curva'!$C$7:$C$67</c:f>
              <c:numCache>
                <c:formatCode>_("R$"* #,##0.00_);_("R$"* \(#,##0.00\);_("R$"* "-"??_);_(@_)</c:formatCode>
                <c:ptCount val="61"/>
                <c:pt idx="0">
                  <c:v>942.13325805179352</c:v>
                </c:pt>
                <c:pt idx="1">
                  <c:v>937.78381611673376</c:v>
                </c:pt>
                <c:pt idx="2">
                  <c:v>933.434374181674</c:v>
                </c:pt>
                <c:pt idx="3">
                  <c:v>929.08493224661424</c:v>
                </c:pt>
                <c:pt idx="4">
                  <c:v>924.73549031155437</c:v>
                </c:pt>
                <c:pt idx="5">
                  <c:v>920.38604837649461</c:v>
                </c:pt>
                <c:pt idx="6">
                  <c:v>916.03660644143486</c:v>
                </c:pt>
                <c:pt idx="7">
                  <c:v>911.68716450637498</c:v>
                </c:pt>
                <c:pt idx="8">
                  <c:v>907.33772257131523</c:v>
                </c:pt>
                <c:pt idx="9">
                  <c:v>902.98828063625547</c:v>
                </c:pt>
                <c:pt idx="10">
                  <c:v>898.63883870119571</c:v>
                </c:pt>
                <c:pt idx="11">
                  <c:v>894.28939676613584</c:v>
                </c:pt>
                <c:pt idx="12">
                  <c:v>889.93995483107608</c:v>
                </c:pt>
                <c:pt idx="13">
                  <c:v>885.59051289601632</c:v>
                </c:pt>
                <c:pt idx="14">
                  <c:v>881.24107096095645</c:v>
                </c:pt>
                <c:pt idx="15">
                  <c:v>876.89162902589669</c:v>
                </c:pt>
                <c:pt idx="16">
                  <c:v>872.54218709083693</c:v>
                </c:pt>
                <c:pt idx="17">
                  <c:v>868.19274515577717</c:v>
                </c:pt>
                <c:pt idx="18">
                  <c:v>863.8433032207173</c:v>
                </c:pt>
                <c:pt idx="19">
                  <c:v>859.49386128565754</c:v>
                </c:pt>
                <c:pt idx="20">
                  <c:v>855.14441935059779</c:v>
                </c:pt>
                <c:pt idx="21">
                  <c:v>850.79497741553791</c:v>
                </c:pt>
                <c:pt idx="22">
                  <c:v>846.44553548047816</c:v>
                </c:pt>
                <c:pt idx="23">
                  <c:v>842.0960935454184</c:v>
                </c:pt>
                <c:pt idx="24">
                  <c:v>837.74665161035864</c:v>
                </c:pt>
                <c:pt idx="25">
                  <c:v>833.39720967529877</c:v>
                </c:pt>
                <c:pt idx="26">
                  <c:v>829.04776774023901</c:v>
                </c:pt>
                <c:pt idx="27">
                  <c:v>824.69832580517925</c:v>
                </c:pt>
                <c:pt idx="28">
                  <c:v>820.34888387011938</c:v>
                </c:pt>
                <c:pt idx="29">
                  <c:v>815.99944193505962</c:v>
                </c:pt>
                <c:pt idx="30">
                  <c:v>811.64999999999986</c:v>
                </c:pt>
                <c:pt idx="31">
                  <c:v>807.30055806494011</c:v>
                </c:pt>
                <c:pt idx="32">
                  <c:v>802.95111612988023</c:v>
                </c:pt>
                <c:pt idx="33">
                  <c:v>798.60167419482048</c:v>
                </c:pt>
                <c:pt idx="34">
                  <c:v>794.25223225976072</c:v>
                </c:pt>
                <c:pt idx="35">
                  <c:v>789.90279032470096</c:v>
                </c:pt>
                <c:pt idx="36">
                  <c:v>785.55334838964109</c:v>
                </c:pt>
                <c:pt idx="37">
                  <c:v>781.20390645458133</c:v>
                </c:pt>
                <c:pt idx="38">
                  <c:v>776.85446451952157</c:v>
                </c:pt>
                <c:pt idx="39">
                  <c:v>772.5050225844617</c:v>
                </c:pt>
                <c:pt idx="40">
                  <c:v>768.15558064940194</c:v>
                </c:pt>
                <c:pt idx="41">
                  <c:v>763.80613871434218</c:v>
                </c:pt>
                <c:pt idx="42">
                  <c:v>759.45669677928242</c:v>
                </c:pt>
                <c:pt idx="43">
                  <c:v>755.10725484422255</c:v>
                </c:pt>
                <c:pt idx="44">
                  <c:v>750.75781290916279</c:v>
                </c:pt>
                <c:pt idx="45">
                  <c:v>746.40837097410304</c:v>
                </c:pt>
                <c:pt idx="46">
                  <c:v>742.05892903904316</c:v>
                </c:pt>
                <c:pt idx="47">
                  <c:v>737.70948710398341</c:v>
                </c:pt>
                <c:pt idx="48">
                  <c:v>733.36004516892365</c:v>
                </c:pt>
                <c:pt idx="49">
                  <c:v>729.01060323386389</c:v>
                </c:pt>
                <c:pt idx="50">
                  <c:v>724.66116129880402</c:v>
                </c:pt>
                <c:pt idx="51">
                  <c:v>720.31171936374426</c:v>
                </c:pt>
                <c:pt idx="52">
                  <c:v>715.9622774286845</c:v>
                </c:pt>
                <c:pt idx="53">
                  <c:v>711.61283549362474</c:v>
                </c:pt>
                <c:pt idx="54">
                  <c:v>707.26339355856487</c:v>
                </c:pt>
                <c:pt idx="55">
                  <c:v>702.91395162350511</c:v>
                </c:pt>
                <c:pt idx="56">
                  <c:v>698.56450968844536</c:v>
                </c:pt>
                <c:pt idx="57">
                  <c:v>694.21506775338548</c:v>
                </c:pt>
                <c:pt idx="58">
                  <c:v>689.86562581832573</c:v>
                </c:pt>
                <c:pt idx="59">
                  <c:v>685.51618388326597</c:v>
                </c:pt>
                <c:pt idx="60">
                  <c:v>681.16674194820621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1C-4256-8880-021D41050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7359"/>
        <c:axId val="44038319"/>
      </c:lineChart>
      <c:catAx>
        <c:axId val="4403735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38319"/>
        <c:crosses val="autoZero"/>
        <c:auto val="1"/>
        <c:lblAlgn val="ctr"/>
        <c:lblOffset val="100"/>
        <c:noMultiLvlLbl val="0"/>
      </c:catAx>
      <c:valAx>
        <c:axId val="44038319"/>
        <c:scaling>
          <c:orientation val="minMax"/>
          <c:min val="6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461962</xdr:colOff>
      <xdr:row>2</xdr:row>
      <xdr:rowOff>104775</xdr:rowOff>
    </xdr:from>
    <xdr:to>
      <xdr:col>12</xdr:col>
      <xdr:colOff>157162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165B0-DD3D-110E-7E47-746F3EF5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533730</xdr:colOff>
      <xdr:row>6</xdr:row>
      <xdr:rowOff>114475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33DD3-529A-46EA-EF53-1B7F32459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62530" cy="1257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400049</xdr:colOff>
      <xdr:row>4</xdr:row>
      <xdr:rowOff>114957</xdr:rowOff>
    </xdr:from>
    <xdr:to>
      <xdr:col>12</xdr:col>
      <xdr:colOff>200353</xdr:colOff>
      <xdr:row>19</xdr:row>
      <xdr:rowOff>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C9D0A-A725-3992-13A7-8989ED5A8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16566</xdr:rowOff>
    </xdr:from>
    <xdr:to>
      <xdr:col>11</xdr:col>
      <xdr:colOff>8283</xdr:colOff>
      <xdr:row>2</xdr:row>
      <xdr:rowOff>91132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494A1-1B0D-CE74-EE09-C4A95F72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566"/>
          <a:ext cx="8415130" cy="455566"/>
        </a:xfrm>
        <a:prstGeom prst="rect">
          <a:avLst/>
        </a:prstGeom>
      </xdr:spPr>
    </xdr:pic>
    <xdr:clientData/>
  </xdr:twoCellAnchor>
  <xdr:twoCellAnchor>
    <xdr:from>
      <xdr:col>8</xdr:col>
      <xdr:colOff>115956</xdr:colOff>
      <xdr:row>0</xdr:row>
      <xdr:rowOff>157370</xdr:rowOff>
    </xdr:from>
    <xdr:to>
      <xdr:col>9</xdr:col>
      <xdr:colOff>91108</xdr:colOff>
      <xdr:row>2</xdr:row>
      <xdr:rowOff>24848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B5A06F-46C9-D83B-A138-1D9976696FF8}"/>
            </a:ext>
          </a:extLst>
        </xdr:cNvPr>
        <xdr:cNvSpPr/>
      </xdr:nvSpPr>
      <xdr:spPr>
        <a:xfrm>
          <a:off x="6684065" y="157370"/>
          <a:ext cx="588065" cy="24847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574813</xdr:colOff>
      <xdr:row>0</xdr:row>
      <xdr:rowOff>144118</xdr:rowOff>
    </xdr:from>
    <xdr:to>
      <xdr:col>10</xdr:col>
      <xdr:colOff>549965</xdr:colOff>
      <xdr:row>2</xdr:row>
      <xdr:rowOff>11596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58EDF8-CB47-4EFA-B02E-6C2B746BD9E9}"/>
            </a:ext>
          </a:extLst>
        </xdr:cNvPr>
        <xdr:cNvSpPr/>
      </xdr:nvSpPr>
      <xdr:spPr>
        <a:xfrm>
          <a:off x="7755835" y="144118"/>
          <a:ext cx="588065" cy="24847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202096</xdr:colOff>
      <xdr:row>0</xdr:row>
      <xdr:rowOff>152401</xdr:rowOff>
    </xdr:from>
    <xdr:to>
      <xdr:col>3</xdr:col>
      <xdr:colOff>637761</xdr:colOff>
      <xdr:row>1</xdr:row>
      <xdr:rowOff>182217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4CC960-5E6D-42D6-B85C-15C7A71E09F9}"/>
            </a:ext>
          </a:extLst>
        </xdr:cNvPr>
        <xdr:cNvSpPr/>
      </xdr:nvSpPr>
      <xdr:spPr>
        <a:xfrm>
          <a:off x="202096" y="152401"/>
          <a:ext cx="2315817" cy="22031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503584</xdr:colOff>
      <xdr:row>0</xdr:row>
      <xdr:rowOff>163996</xdr:rowOff>
    </xdr:from>
    <xdr:to>
      <xdr:col>5</xdr:col>
      <xdr:colOff>1043610</xdr:colOff>
      <xdr:row>1</xdr:row>
      <xdr:rowOff>173935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F0C5472-BE0C-481E-BF13-6D186E21413D}"/>
            </a:ext>
          </a:extLst>
        </xdr:cNvPr>
        <xdr:cNvSpPr/>
      </xdr:nvSpPr>
      <xdr:spPr>
        <a:xfrm>
          <a:off x="4139649" y="163996"/>
          <a:ext cx="540026" cy="20043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33F3-BFF1-48B0-BA39-556DE3FFEDDB}">
  <dimension ref="A1:D18"/>
  <sheetViews>
    <sheetView workbookViewId="0">
      <selection sqref="A1:D15"/>
    </sheetView>
  </sheetViews>
  <sheetFormatPr defaultRowHeight="15" x14ac:dyDescent="0.25"/>
  <cols>
    <col min="1" max="1" width="11.85546875" style="1" bestFit="1" customWidth="1"/>
    <col min="2" max="2" width="11.28515625" style="1" customWidth="1"/>
    <col min="3" max="3" width="12.85546875" style="1" customWidth="1"/>
    <col min="4" max="4" width="13.28515625" style="1" customWidth="1"/>
  </cols>
  <sheetData>
    <row r="1" spans="1:4" x14ac:dyDescent="0.25">
      <c r="B1" s="19" t="s">
        <v>18</v>
      </c>
      <c r="C1" s="19"/>
      <c r="D1" s="19"/>
    </row>
    <row r="2" spans="1:4" x14ac:dyDescent="0.25">
      <c r="B2" s="1" t="s">
        <v>14</v>
      </c>
      <c r="C2" s="1" t="s">
        <v>15</v>
      </c>
      <c r="D2" s="1" t="s">
        <v>16</v>
      </c>
    </row>
    <row r="3" spans="1:4" x14ac:dyDescent="0.25">
      <c r="A3" s="1" t="s">
        <v>9</v>
      </c>
      <c r="B3" s="10">
        <v>0</v>
      </c>
      <c r="C3" s="10">
        <v>0.05</v>
      </c>
      <c r="D3" s="10">
        <v>0.1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5">
      <c r="A5" s="10">
        <v>0.05</v>
      </c>
      <c r="B5" s="2">
        <f>(1000/((1+A5)^10))+((1000*$B$3)*((1-(1/((1+A5)^10)))/A5))</f>
        <v>613.91325354075934</v>
      </c>
      <c r="C5" s="2">
        <f>(1000/((1+A5)^10))+((1000*$C$3)*((1-(1/((1+A5)^10)))/A5))</f>
        <v>1000</v>
      </c>
      <c r="D5" s="2">
        <f>(1000/((1+A5)^10))+((1000*$D$3)*((1-(1/((1+A5)^10)))/A5))</f>
        <v>1386.0867464592407</v>
      </c>
    </row>
    <row r="6" spans="1:4" x14ac:dyDescent="0.25">
      <c r="A6" s="10">
        <v>7.0000000000000007E-2</v>
      </c>
      <c r="B6" s="2">
        <f t="shared" ref="B6:B15" si="0">(1000/((1+A6)^10))+((1000*$B$3)*((1-(1/((1+A6)^10)))/A6))</f>
        <v>508.34929213471781</v>
      </c>
      <c r="C6" s="2">
        <f t="shared" ref="C6:C15" si="1">(1000/((1+A6)^10))+((1000*$C$3)*((1-(1/((1+A6)^10)))/A6))</f>
        <v>859.5283691813479</v>
      </c>
      <c r="D6" s="2">
        <f t="shared" ref="D6:D15" si="2">(1000/((1+A6)^10))+((1000*$D$3)*((1-(1/((1+A6)^10)))/A6))</f>
        <v>1210.7074462279779</v>
      </c>
    </row>
    <row r="7" spans="1:4" x14ac:dyDescent="0.25">
      <c r="A7" s="10">
        <v>0.09</v>
      </c>
      <c r="B7" s="2">
        <f t="shared" si="0"/>
        <v>422.41080689568889</v>
      </c>
      <c r="C7" s="2">
        <f t="shared" si="1"/>
        <v>743.29369195363961</v>
      </c>
      <c r="D7" s="2">
        <f t="shared" si="2"/>
        <v>1064.1765770115903</v>
      </c>
    </row>
    <row r="8" spans="1:4" x14ac:dyDescent="0.25">
      <c r="A8" s="10">
        <v>0.1</v>
      </c>
      <c r="B8" s="2">
        <f t="shared" si="0"/>
        <v>385.54328942953146</v>
      </c>
      <c r="C8" s="2">
        <f t="shared" si="1"/>
        <v>692.77164471476567</v>
      </c>
      <c r="D8" s="2">
        <f t="shared" si="2"/>
        <v>1000</v>
      </c>
    </row>
    <row r="9" spans="1:4" x14ac:dyDescent="0.25">
      <c r="A9" s="10">
        <f>A8+2%</f>
        <v>0.12000000000000001</v>
      </c>
      <c r="B9" s="2">
        <f t="shared" si="0"/>
        <v>321.97323659069599</v>
      </c>
      <c r="C9" s="2">
        <f t="shared" si="1"/>
        <v>604.48438801123928</v>
      </c>
      <c r="D9" s="2">
        <f t="shared" si="2"/>
        <v>886.99553943178262</v>
      </c>
    </row>
    <row r="10" spans="1:4" x14ac:dyDescent="0.25">
      <c r="A10" s="10">
        <f t="shared" ref="A10:A15" si="3">A9+2%</f>
        <v>0.14000000000000001</v>
      </c>
      <c r="B10" s="2">
        <f t="shared" si="0"/>
        <v>269.74380951889839</v>
      </c>
      <c r="C10" s="2">
        <f t="shared" si="1"/>
        <v>530.54959183357755</v>
      </c>
      <c r="D10" s="2">
        <f t="shared" si="2"/>
        <v>791.3553741482566</v>
      </c>
    </row>
    <row r="11" spans="1:4" x14ac:dyDescent="0.25">
      <c r="A11" s="10">
        <f t="shared" si="3"/>
        <v>0.16</v>
      </c>
      <c r="B11" s="2">
        <f t="shared" si="0"/>
        <v>226.68360344680451</v>
      </c>
      <c r="C11" s="2">
        <f t="shared" si="1"/>
        <v>468.34497736967808</v>
      </c>
      <c r="D11" s="2">
        <f t="shared" si="2"/>
        <v>710.0063512925517</v>
      </c>
    </row>
    <row r="12" spans="1:4" x14ac:dyDescent="0.25">
      <c r="A12" s="10">
        <f t="shared" si="3"/>
        <v>0.18</v>
      </c>
      <c r="B12" s="2">
        <f t="shared" si="0"/>
        <v>191.06446691360586</v>
      </c>
      <c r="C12" s="2">
        <f t="shared" si="1"/>
        <v>415.76878165982646</v>
      </c>
      <c r="D12" s="2">
        <f t="shared" si="2"/>
        <v>640.47309640604703</v>
      </c>
    </row>
    <row r="13" spans="1:4" x14ac:dyDescent="0.25">
      <c r="A13" s="10">
        <f t="shared" si="3"/>
        <v>0.19999999999999998</v>
      </c>
      <c r="B13" s="2">
        <f t="shared" si="0"/>
        <v>161.50558288984575</v>
      </c>
      <c r="C13" s="2">
        <f t="shared" si="1"/>
        <v>371.12918716738432</v>
      </c>
      <c r="D13" s="2">
        <f t="shared" si="2"/>
        <v>580.75279144492288</v>
      </c>
    </row>
    <row r="14" spans="1:4" x14ac:dyDescent="0.25">
      <c r="A14" s="10">
        <f t="shared" si="3"/>
        <v>0.21999999999999997</v>
      </c>
      <c r="B14" s="2">
        <f t="shared" si="0"/>
        <v>136.89944682053732</v>
      </c>
      <c r="C14" s="2">
        <f t="shared" si="1"/>
        <v>333.05866345223342</v>
      </c>
      <c r="D14" s="2">
        <f t="shared" si="2"/>
        <v>529.21788008392946</v>
      </c>
    </row>
    <row r="15" spans="1:4" x14ac:dyDescent="0.25">
      <c r="A15" s="10">
        <f t="shared" si="3"/>
        <v>0.23999999999999996</v>
      </c>
      <c r="B15" s="2">
        <f t="shared" si="0"/>
        <v>116.35449038968913</v>
      </c>
      <c r="C15" s="2">
        <f t="shared" si="1"/>
        <v>300.44730489183723</v>
      </c>
      <c r="D15" s="2">
        <f t="shared" si="2"/>
        <v>484.54011939398538</v>
      </c>
    </row>
    <row r="16" spans="1:4" x14ac:dyDescent="0.25">
      <c r="A16" s="11"/>
    </row>
    <row r="17" spans="1:1" x14ac:dyDescent="0.25">
      <c r="A17" s="11"/>
    </row>
    <row r="18" spans="1:1" x14ac:dyDescent="0.25">
      <c r="A18" s="11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742B-61FB-4A66-96DB-397238B30ED7}">
  <dimension ref="A1:D15"/>
  <sheetViews>
    <sheetView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4" width="12.140625" bestFit="1" customWidth="1"/>
  </cols>
  <sheetData>
    <row r="1" spans="1:4" x14ac:dyDescent="0.25">
      <c r="A1" s="1"/>
      <c r="B1" s="19" t="s">
        <v>19</v>
      </c>
      <c r="C1" s="19"/>
      <c r="D1" s="19"/>
    </row>
    <row r="2" spans="1:4" x14ac:dyDescent="0.25">
      <c r="A2" s="1"/>
      <c r="B2" s="1" t="s">
        <v>14</v>
      </c>
      <c r="C2" s="1" t="s">
        <v>15</v>
      </c>
      <c r="D2" s="1" t="s">
        <v>16</v>
      </c>
    </row>
    <row r="3" spans="1:4" x14ac:dyDescent="0.25">
      <c r="A3" s="1" t="s">
        <v>17</v>
      </c>
      <c r="B3" s="12" t="s">
        <v>20</v>
      </c>
      <c r="C3" s="12" t="s">
        <v>21</v>
      </c>
      <c r="D3" s="12" t="s">
        <v>22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25">
      <c r="A5" s="10">
        <v>0.05</v>
      </c>
      <c r="B5" s="2">
        <f>(1000/((1+A5)^$B$3))</f>
        <v>952.38095238095229</v>
      </c>
      <c r="C5" s="2">
        <f>(1000/((1+A5)^$C$3))</f>
        <v>783.526166468459</v>
      </c>
      <c r="D5" s="2">
        <f>(1000/((1+A5)^$D$3))</f>
        <v>613.91325354075934</v>
      </c>
    </row>
    <row r="6" spans="1:4" x14ac:dyDescent="0.25">
      <c r="A6" s="10">
        <v>7.0000000000000007E-2</v>
      </c>
      <c r="B6" s="2">
        <f t="shared" ref="B6:B15" si="0">(1000/((1+A6)^$B$3))</f>
        <v>934.57943925233644</v>
      </c>
      <c r="C6" s="2">
        <f t="shared" ref="C6:C15" si="1">(1000/((1+A6)^$C$3))</f>
        <v>712.98617948366837</v>
      </c>
      <c r="D6" s="2">
        <f t="shared" ref="D6:D15" si="2">(1000/((1+A6)^$D$3))</f>
        <v>508.34929213471781</v>
      </c>
    </row>
    <row r="7" spans="1:4" x14ac:dyDescent="0.25">
      <c r="A7" s="10">
        <v>0.09</v>
      </c>
      <c r="B7" s="2">
        <f t="shared" si="0"/>
        <v>917.43119266055044</v>
      </c>
      <c r="C7" s="2">
        <f t="shared" si="1"/>
        <v>649.93138629834527</v>
      </c>
      <c r="D7" s="2">
        <f t="shared" si="2"/>
        <v>422.41080689568889</v>
      </c>
    </row>
    <row r="8" spans="1:4" x14ac:dyDescent="0.25">
      <c r="A8" s="10">
        <v>0.1</v>
      </c>
      <c r="B8" s="2">
        <f t="shared" si="0"/>
        <v>909.09090909090901</v>
      </c>
      <c r="C8" s="2">
        <f>(1000/((1+A8)^$C$3))</f>
        <v>620.92132305915493</v>
      </c>
      <c r="D8" s="2">
        <f>(1000/((1+A8)^$D$3))</f>
        <v>385.54328942953146</v>
      </c>
    </row>
    <row r="9" spans="1:4" x14ac:dyDescent="0.25">
      <c r="A9" s="10">
        <f>A8+2%</f>
        <v>0.12000000000000001</v>
      </c>
      <c r="B9" s="2">
        <f t="shared" si="0"/>
        <v>892.85714285714278</v>
      </c>
      <c r="C9" s="2">
        <f>(1000/((1+A9)^$C$3))</f>
        <v>567.4268557185992</v>
      </c>
      <c r="D9" s="2">
        <f>(1000/((1+A9)^$D$3))</f>
        <v>321.97323659069599</v>
      </c>
    </row>
    <row r="10" spans="1:4" x14ac:dyDescent="0.25">
      <c r="A10" s="10">
        <f t="shared" ref="A10:A15" si="3">A9+2%</f>
        <v>0.14000000000000001</v>
      </c>
      <c r="B10" s="2">
        <f t="shared" si="0"/>
        <v>877.19298245614027</v>
      </c>
      <c r="C10" s="2">
        <f t="shared" si="1"/>
        <v>519.36866435981528</v>
      </c>
      <c r="D10" s="2">
        <f t="shared" si="2"/>
        <v>269.74380951889839</v>
      </c>
    </row>
    <row r="11" spans="1:4" x14ac:dyDescent="0.25">
      <c r="A11" s="10">
        <f t="shared" si="3"/>
        <v>0.16</v>
      </c>
      <c r="B11" s="2">
        <f t="shared" si="0"/>
        <v>862.06896551724139</v>
      </c>
      <c r="C11" s="2">
        <f t="shared" si="1"/>
        <v>476.11301541420238</v>
      </c>
      <c r="D11" s="2">
        <f t="shared" si="2"/>
        <v>226.68360344680451</v>
      </c>
    </row>
    <row r="12" spans="1:4" x14ac:dyDescent="0.25">
      <c r="A12" s="10">
        <f t="shared" si="3"/>
        <v>0.18</v>
      </c>
      <c r="B12" s="2">
        <f t="shared" si="0"/>
        <v>847.45762711864415</v>
      </c>
      <c r="C12" s="2">
        <f t="shared" si="1"/>
        <v>437.10921623045869</v>
      </c>
      <c r="D12" s="2">
        <f t="shared" si="2"/>
        <v>191.06446691360586</v>
      </c>
    </row>
    <row r="13" spans="1:4" x14ac:dyDescent="0.25">
      <c r="A13" s="10">
        <f t="shared" si="3"/>
        <v>0.19999999999999998</v>
      </c>
      <c r="B13" s="2">
        <f t="shared" si="0"/>
        <v>833.33333333333337</v>
      </c>
      <c r="C13" s="2">
        <f t="shared" si="1"/>
        <v>401.87757201646093</v>
      </c>
      <c r="D13" s="2">
        <f t="shared" si="2"/>
        <v>161.50558288984575</v>
      </c>
    </row>
    <row r="14" spans="1:4" x14ac:dyDescent="0.25">
      <c r="A14" s="10">
        <f t="shared" si="3"/>
        <v>0.21999999999999997</v>
      </c>
      <c r="B14" s="2">
        <f t="shared" si="0"/>
        <v>819.67213114754099</v>
      </c>
      <c r="C14" s="2">
        <f t="shared" si="1"/>
        <v>369.99925245943035</v>
      </c>
      <c r="D14" s="2">
        <f t="shared" si="2"/>
        <v>136.89944682053732</v>
      </c>
    </row>
    <row r="15" spans="1:4" x14ac:dyDescent="0.25">
      <c r="A15" s="10">
        <f t="shared" si="3"/>
        <v>0.23999999999999996</v>
      </c>
      <c r="B15" s="2">
        <f t="shared" si="0"/>
        <v>806.45161290322585</v>
      </c>
      <c r="C15" s="2">
        <f t="shared" si="1"/>
        <v>341.10774014919264</v>
      </c>
      <c r="D15" s="2">
        <f t="shared" si="2"/>
        <v>116.35449038968913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655C-D0B0-4F88-AC05-309F0DBA9C0E}">
  <dimension ref="F2:K11"/>
  <sheetViews>
    <sheetView workbookViewId="0">
      <selection activeCell="G16" sqref="G16:L16"/>
    </sheetView>
  </sheetViews>
  <sheetFormatPr defaultRowHeight="15" x14ac:dyDescent="0.25"/>
  <cols>
    <col min="7" max="7" width="13.7109375" style="1" bestFit="1" customWidth="1"/>
    <col min="8" max="8" width="12.140625" bestFit="1" customWidth="1"/>
    <col min="9" max="9" width="13.7109375" bestFit="1" customWidth="1"/>
    <col min="10" max="10" width="12.28515625" bestFit="1" customWidth="1"/>
    <col min="11" max="11" width="12.140625" bestFit="1" customWidth="1"/>
  </cols>
  <sheetData>
    <row r="2" spans="6:11" x14ac:dyDescent="0.25">
      <c r="F2" s="1" t="s">
        <v>0</v>
      </c>
      <c r="G2" s="1" t="s">
        <v>1</v>
      </c>
      <c r="H2" t="s">
        <v>2</v>
      </c>
      <c r="I2" t="s">
        <v>3</v>
      </c>
      <c r="J2" t="s">
        <v>4</v>
      </c>
      <c r="K2" t="s">
        <v>5</v>
      </c>
    </row>
    <row r="3" spans="6:11" x14ac:dyDescent="0.25">
      <c r="F3" s="1">
        <v>1</v>
      </c>
      <c r="G3" s="2">
        <v>100</v>
      </c>
      <c r="H3" s="3">
        <v>0</v>
      </c>
      <c r="I3" s="4">
        <f>G3+H3</f>
        <v>100</v>
      </c>
      <c r="J3" s="4">
        <f>I3/(1.08)^F3</f>
        <v>92.592592592592581</v>
      </c>
      <c r="K3" s="4">
        <f>J3*F3</f>
        <v>92.592592592592581</v>
      </c>
    </row>
    <row r="4" spans="6:11" x14ac:dyDescent="0.25">
      <c r="F4" s="1">
        <v>2</v>
      </c>
      <c r="G4" s="2">
        <v>100</v>
      </c>
      <c r="H4" s="3">
        <v>0</v>
      </c>
      <c r="I4" s="4">
        <f>G4+H4</f>
        <v>100</v>
      </c>
      <c r="J4" s="4">
        <f>I4/(1.08)^F4</f>
        <v>85.733882030178322</v>
      </c>
      <c r="K4" s="4">
        <f>J4*F4</f>
        <v>171.46776406035664</v>
      </c>
    </row>
    <row r="5" spans="6:11" x14ac:dyDescent="0.25">
      <c r="F5" s="1">
        <v>3</v>
      </c>
      <c r="G5" s="2">
        <v>100</v>
      </c>
      <c r="H5" s="3">
        <v>0</v>
      </c>
      <c r="I5" s="4">
        <f>G5+H5</f>
        <v>100</v>
      </c>
      <c r="J5" s="4">
        <f>I5/(1.08)^F5</f>
        <v>79.383224102016953</v>
      </c>
      <c r="K5" s="4">
        <f>J5*F5</f>
        <v>238.14967230605086</v>
      </c>
    </row>
    <row r="6" spans="6:11" x14ac:dyDescent="0.25">
      <c r="F6" s="1">
        <v>4</v>
      </c>
      <c r="G6" s="2">
        <v>100</v>
      </c>
      <c r="H6" s="3">
        <v>0</v>
      </c>
      <c r="I6" s="4">
        <f>G6+H6</f>
        <v>100</v>
      </c>
      <c r="J6" s="4">
        <f>I6/(1.08)^F6</f>
        <v>73.50298527964533</v>
      </c>
      <c r="K6" s="4">
        <f>J6*F6</f>
        <v>294.01194111858132</v>
      </c>
    </row>
    <row r="7" spans="6:11" x14ac:dyDescent="0.25">
      <c r="F7" s="1">
        <v>5</v>
      </c>
      <c r="G7" s="2">
        <v>100</v>
      </c>
      <c r="H7" s="3">
        <v>1000</v>
      </c>
      <c r="I7" s="4">
        <f>G7+H7</f>
        <v>1100</v>
      </c>
      <c r="J7" s="4">
        <f>I7/(1.08)^F7</f>
        <v>748.64151673712831</v>
      </c>
      <c r="K7" s="4">
        <f>J7*F7</f>
        <v>3743.2075836856416</v>
      </c>
    </row>
    <row r="9" spans="6:11" x14ac:dyDescent="0.25">
      <c r="J9" s="4">
        <f>SUM(J3:J7)</f>
        <v>1079.8542007415615</v>
      </c>
      <c r="K9" s="4">
        <f>SUM(K3:K7)</f>
        <v>4539.4295537632224</v>
      </c>
    </row>
    <row r="11" spans="6:11" x14ac:dyDescent="0.25">
      <c r="J11" t="s">
        <v>6</v>
      </c>
      <c r="K11" s="7">
        <f>K9/J9</f>
        <v>4.2037430151643509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850A-0DEF-42E1-8ECE-5FFCFABD68E1}">
  <dimension ref="A1:L29"/>
  <sheetViews>
    <sheetView topLeftCell="A8" zoomScale="160" zoomScaleNormal="160" workbookViewId="0">
      <selection activeCell="F22" sqref="F22"/>
    </sheetView>
  </sheetViews>
  <sheetFormatPr defaultRowHeight="15" x14ac:dyDescent="0.25"/>
  <cols>
    <col min="1" max="1" width="5.42578125" bestFit="1" customWidth="1"/>
    <col min="2" max="2" width="13.5703125" bestFit="1" customWidth="1"/>
    <col min="3" max="3" width="12.140625" bestFit="1" customWidth="1"/>
    <col min="4" max="4" width="13.7109375" bestFit="1" customWidth="1"/>
    <col min="5" max="5" width="17.42578125" bestFit="1" customWidth="1"/>
    <col min="6" max="6" width="12.140625" bestFit="1" customWidth="1"/>
    <col min="8" max="8" width="14.28515625" bestFit="1" customWidth="1"/>
    <col min="9" max="9" width="9.5703125" bestFit="1" customWidth="1"/>
    <col min="12" max="12" width="10.7109375" bestFit="1" customWidth="1"/>
  </cols>
  <sheetData>
    <row r="1" spans="1:1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 s="1">
        <v>1</v>
      </c>
      <c r="B2" s="2">
        <v>100</v>
      </c>
      <c r="C2" s="3">
        <v>0</v>
      </c>
      <c r="D2" s="4">
        <f>B2+C2</f>
        <v>100</v>
      </c>
      <c r="E2" s="4">
        <f>D2/(1.08)^A2</f>
        <v>92.592592592592581</v>
      </c>
      <c r="F2" s="4">
        <f>E2*A2</f>
        <v>92.592592592592581</v>
      </c>
      <c r="H2" s="4">
        <f>D2/1.0805^A2</f>
        <v>92.549745488199903</v>
      </c>
    </row>
    <row r="3" spans="1:12" x14ac:dyDescent="0.25">
      <c r="A3" s="1">
        <v>2</v>
      </c>
      <c r="B3" s="2">
        <v>100</v>
      </c>
      <c r="C3" s="3">
        <v>0</v>
      </c>
      <c r="D3" s="4">
        <f>B3+C3</f>
        <v>100</v>
      </c>
      <c r="E3" s="4">
        <f>D3/(1.08)^A3</f>
        <v>85.733882030178322</v>
      </c>
      <c r="F3" s="4">
        <f>E3*A3</f>
        <v>171.46776406035664</v>
      </c>
      <c r="H3" s="4">
        <f>D3/1.0805^A3</f>
        <v>85.654553899305782</v>
      </c>
    </row>
    <row r="4" spans="1:12" x14ac:dyDescent="0.25">
      <c r="A4" s="1">
        <v>3</v>
      </c>
      <c r="B4" s="2">
        <v>100</v>
      </c>
      <c r="C4" s="3">
        <v>0</v>
      </c>
      <c r="D4" s="4">
        <f>B4+C4</f>
        <v>100</v>
      </c>
      <c r="E4" s="4">
        <f>D4/(1.08)^A4</f>
        <v>79.383224102016953</v>
      </c>
      <c r="F4" s="4">
        <f>E4*A4</f>
        <v>238.14967230605086</v>
      </c>
      <c r="H4" s="4">
        <f>D4/1.0805^A4</f>
        <v>79.273071632860521</v>
      </c>
    </row>
    <row r="5" spans="1:12" x14ac:dyDescent="0.25">
      <c r="A5" s="1">
        <v>4</v>
      </c>
      <c r="B5" s="2">
        <v>100</v>
      </c>
      <c r="C5" s="3">
        <v>0</v>
      </c>
      <c r="D5" s="4">
        <f>B5+C5</f>
        <v>100</v>
      </c>
      <c r="E5" s="4">
        <f>D5/(1.08)^A5</f>
        <v>73.50298527964533</v>
      </c>
      <c r="F5" s="4">
        <f>E5*A5</f>
        <v>294.01194111858132</v>
      </c>
      <c r="H5" s="4">
        <f>D5/1.0805^A5</f>
        <v>73.367026036890806</v>
      </c>
    </row>
    <row r="6" spans="1:12" x14ac:dyDescent="0.25">
      <c r="A6" s="1">
        <v>5</v>
      </c>
      <c r="B6" s="2">
        <v>100</v>
      </c>
      <c r="C6" s="3">
        <v>1000</v>
      </c>
      <c r="D6" s="4">
        <f>B6+C6</f>
        <v>1100</v>
      </c>
      <c r="E6" s="4">
        <f>D6/(1.08)^A6</f>
        <v>748.64151673712831</v>
      </c>
      <c r="F6" s="4">
        <f>E6*A6</f>
        <v>3743.2075836856416</v>
      </c>
      <c r="H6" s="4">
        <f>D6/1.0805^A6</f>
        <v>746.91095456344181</v>
      </c>
    </row>
    <row r="7" spans="1:12" x14ac:dyDescent="0.25">
      <c r="B7" s="1"/>
      <c r="J7" s="8"/>
      <c r="K7" s="6"/>
      <c r="L7" s="6"/>
    </row>
    <row r="8" spans="1:12" x14ac:dyDescent="0.25">
      <c r="B8" s="1"/>
      <c r="E8" s="4">
        <f>SUM(E2:E6)</f>
        <v>1079.8542007415615</v>
      </c>
      <c r="F8" s="4">
        <f>SUM(F2:F6)</f>
        <v>4539.4295537632224</v>
      </c>
      <c r="H8" s="4">
        <f>SUM(H2:H6)</f>
        <v>1077.7553516206988</v>
      </c>
      <c r="J8" s="9"/>
      <c r="K8" s="6"/>
      <c r="L8" s="6"/>
    </row>
    <row r="9" spans="1:12" x14ac:dyDescent="0.25">
      <c r="B9" s="1"/>
      <c r="J9" s="9"/>
      <c r="K9" s="6"/>
      <c r="L9" s="6"/>
    </row>
    <row r="10" spans="1:12" x14ac:dyDescent="0.25">
      <c r="B10" s="1"/>
      <c r="E10" t="s">
        <v>6</v>
      </c>
      <c r="F10" s="5">
        <f>F8/E8</f>
        <v>4.2037430151643509</v>
      </c>
      <c r="H10" s="4">
        <f>(F11*0.05%*E8)+E8</f>
        <v>1077.7526129851897</v>
      </c>
    </row>
    <row r="11" spans="1:12" x14ac:dyDescent="0.25">
      <c r="E11" t="s">
        <v>8</v>
      </c>
      <c r="F11" s="5">
        <f>-F10/1.08</f>
        <v>-3.8923546436706951</v>
      </c>
      <c r="H11" s="13"/>
    </row>
    <row r="12" spans="1:12" x14ac:dyDescent="0.25">
      <c r="H12" s="4"/>
    </row>
    <row r="13" spans="1:12" x14ac:dyDescent="0.25">
      <c r="A13" s="1" t="s">
        <v>0</v>
      </c>
      <c r="B13" s="1" t="s">
        <v>1</v>
      </c>
      <c r="C13" t="s">
        <v>2</v>
      </c>
      <c r="D13" t="s">
        <v>3</v>
      </c>
      <c r="E13" t="s">
        <v>36</v>
      </c>
      <c r="F13" t="s">
        <v>5</v>
      </c>
      <c r="H13" s="14"/>
    </row>
    <row r="14" spans="1:12" x14ac:dyDescent="0.25">
      <c r="A14" s="1">
        <v>1</v>
      </c>
      <c r="B14" s="2">
        <v>100</v>
      </c>
      <c r="C14" s="3">
        <v>0</v>
      </c>
      <c r="D14" s="4">
        <f>B14+C14</f>
        <v>100</v>
      </c>
      <c r="E14" s="4">
        <f>D14/(1.11)^A14</f>
        <v>90.090090090090087</v>
      </c>
      <c r="F14" s="4">
        <f>E14*A14</f>
        <v>90.090090090090087</v>
      </c>
      <c r="I14" s="4"/>
    </row>
    <row r="15" spans="1:12" x14ac:dyDescent="0.25">
      <c r="A15" s="1">
        <v>2</v>
      </c>
      <c r="B15" s="2">
        <v>100</v>
      </c>
      <c r="C15" s="3">
        <v>0</v>
      </c>
      <c r="D15" s="4">
        <f>B15+C15</f>
        <v>100</v>
      </c>
      <c r="E15" s="4">
        <f>D15/(1.11)^A15</f>
        <v>81.16224332440548</v>
      </c>
      <c r="F15" s="4">
        <f>E15*A15</f>
        <v>162.32448664881096</v>
      </c>
      <c r="I15" s="4"/>
    </row>
    <row r="16" spans="1:12" x14ac:dyDescent="0.25">
      <c r="A16" s="1">
        <v>3</v>
      </c>
      <c r="B16" s="2">
        <v>100</v>
      </c>
      <c r="C16" s="3">
        <v>0</v>
      </c>
      <c r="D16" s="4">
        <f>B16+C16</f>
        <v>100</v>
      </c>
      <c r="E16" s="4">
        <f>D16/(1.11)^A16</f>
        <v>73.119138130095024</v>
      </c>
      <c r="F16" s="4">
        <f>E16*A16</f>
        <v>219.35741439028507</v>
      </c>
    </row>
    <row r="17" spans="1:9" x14ac:dyDescent="0.25">
      <c r="A17" s="1">
        <v>4</v>
      </c>
      <c r="B17" s="2">
        <v>100</v>
      </c>
      <c r="C17" s="3">
        <v>0</v>
      </c>
      <c r="D17" s="4">
        <f>B17+C17</f>
        <v>100</v>
      </c>
      <c r="E17" s="4">
        <f>D17/(1.11)^A17</f>
        <v>65.873097414500009</v>
      </c>
      <c r="F17" s="4">
        <f>E17*A17</f>
        <v>263.49238965800004</v>
      </c>
      <c r="H17" s="4"/>
    </row>
    <row r="18" spans="1:9" x14ac:dyDescent="0.25">
      <c r="A18" s="1">
        <v>5</v>
      </c>
      <c r="B18" s="2">
        <v>100</v>
      </c>
      <c r="C18" s="3">
        <v>1000</v>
      </c>
      <c r="D18" s="4">
        <f>B18+C18</f>
        <v>1100</v>
      </c>
      <c r="E18" s="4">
        <f>D18/(1.11)^A18</f>
        <v>652.79646086441448</v>
      </c>
      <c r="F18" s="4">
        <f>E18*A18</f>
        <v>3263.9823043220722</v>
      </c>
    </row>
    <row r="19" spans="1:9" x14ac:dyDescent="0.25">
      <c r="B19" s="1"/>
    </row>
    <row r="20" spans="1:9" x14ac:dyDescent="0.25">
      <c r="B20" s="1"/>
      <c r="E20" s="20">
        <f>SUM(E14:E18)</f>
        <v>963.04102982350514</v>
      </c>
      <c r="F20" s="4">
        <f>SUM(F14:F18)</f>
        <v>3999.2466851092586</v>
      </c>
    </row>
    <row r="21" spans="1:9" x14ac:dyDescent="0.25">
      <c r="B21" s="1"/>
      <c r="H21" s="4"/>
    </row>
    <row r="22" spans="1:9" x14ac:dyDescent="0.25">
      <c r="E22" t="s">
        <v>6</v>
      </c>
      <c r="F22" s="5">
        <f>F20/E20</f>
        <v>4.1527272060694997</v>
      </c>
    </row>
    <row r="23" spans="1:9" x14ac:dyDescent="0.25">
      <c r="E23" t="s">
        <v>8</v>
      </c>
      <c r="F23" s="5">
        <f>-F22/1.08</f>
        <v>-3.8451177833976846</v>
      </c>
    </row>
    <row r="25" spans="1:9" x14ac:dyDescent="0.25">
      <c r="E25" t="s">
        <v>39</v>
      </c>
      <c r="F25" s="13">
        <f>2%*F11</f>
        <v>-7.7847092873413903E-2</v>
      </c>
    </row>
    <row r="26" spans="1:9" x14ac:dyDescent="0.25">
      <c r="E26" t="s">
        <v>38</v>
      </c>
      <c r="F26" s="20">
        <f>(1+F25)*E8</f>
        <v>995.79069048668703</v>
      </c>
    </row>
    <row r="28" spans="1:9" x14ac:dyDescent="0.25">
      <c r="I28" s="4"/>
    </row>
    <row r="29" spans="1:9" x14ac:dyDescent="0.25">
      <c r="I2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FEF6-D9CF-4744-B041-C03B7AB6ADC9}">
  <dimension ref="A1:I14"/>
  <sheetViews>
    <sheetView zoomScale="145" zoomScaleNormal="145" workbookViewId="0">
      <selection activeCell="H6" sqref="H6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7109375" bestFit="1" customWidth="1"/>
    <col min="5" max="5" width="15" bestFit="1" customWidth="1"/>
    <col min="6" max="6" width="12.140625" bestFit="1" customWidth="1"/>
    <col min="8" max="8" width="12.140625" bestFit="1" customWidth="1"/>
    <col min="9" max="9" width="11.140625" bestFit="1" customWidth="1"/>
  </cols>
  <sheetData>
    <row r="1" spans="1:9" x14ac:dyDescent="0.25">
      <c r="B1" s="1"/>
      <c r="D1">
        <v>1079.8542007415615</v>
      </c>
      <c r="E1" t="s">
        <v>6</v>
      </c>
      <c r="F1" s="6">
        <v>4.2037430151643509</v>
      </c>
    </row>
    <row r="2" spans="1:9" x14ac:dyDescent="0.25">
      <c r="E2" t="s">
        <v>8</v>
      </c>
      <c r="F2" s="6">
        <v>3.8923546436706951</v>
      </c>
    </row>
    <row r="4" spans="1:9" x14ac:dyDescent="0.25">
      <c r="A4" s="1" t="s">
        <v>0</v>
      </c>
      <c r="B4" s="1" t="s">
        <v>1</v>
      </c>
      <c r="C4" t="s">
        <v>2</v>
      </c>
      <c r="D4" t="s">
        <v>3</v>
      </c>
      <c r="E4" t="s">
        <v>7</v>
      </c>
      <c r="F4" t="s">
        <v>5</v>
      </c>
    </row>
    <row r="5" spans="1:9" x14ac:dyDescent="0.25">
      <c r="A5" s="1">
        <v>1</v>
      </c>
      <c r="B5" s="2">
        <v>100</v>
      </c>
      <c r="C5" s="3">
        <v>0</v>
      </c>
      <c r="D5" s="4">
        <f>B5+C5</f>
        <v>100</v>
      </c>
      <c r="E5" s="4">
        <f>D5/(1.084)^A5</f>
        <v>92.250922509225092</v>
      </c>
      <c r="F5" s="4">
        <f>E5*A5</f>
        <v>92.250922509225092</v>
      </c>
    </row>
    <row r="6" spans="1:9" x14ac:dyDescent="0.25">
      <c r="A6" s="1">
        <v>2</v>
      </c>
      <c r="B6" s="2">
        <v>100</v>
      </c>
      <c r="C6" s="3">
        <v>0</v>
      </c>
      <c r="D6" s="4">
        <f>B6+C6</f>
        <v>100</v>
      </c>
      <c r="E6" s="4">
        <f>D6/(1.084)^A6</f>
        <v>85.102327038030523</v>
      </c>
      <c r="F6" s="4">
        <f>E6*A6</f>
        <v>170.20465407606105</v>
      </c>
      <c r="H6" s="13">
        <f>F2*0.4%</f>
        <v>1.556941857468278E-2</v>
      </c>
    </row>
    <row r="7" spans="1:9" x14ac:dyDescent="0.25">
      <c r="A7" s="1">
        <v>3</v>
      </c>
      <c r="B7" s="2">
        <v>100</v>
      </c>
      <c r="C7" s="3">
        <v>0</v>
      </c>
      <c r="D7" s="4">
        <f>B7+C7</f>
        <v>100</v>
      </c>
      <c r="E7" s="4">
        <f>D7/(1.084)^A7</f>
        <v>78.507681769400833</v>
      </c>
      <c r="F7" s="4">
        <f>E7*A7</f>
        <v>235.52304530820248</v>
      </c>
      <c r="H7">
        <f>D1*H6</f>
        <v>16.812702050974895</v>
      </c>
    </row>
    <row r="8" spans="1:9" x14ac:dyDescent="0.25">
      <c r="A8" s="1">
        <v>4</v>
      </c>
      <c r="B8" s="2">
        <v>100</v>
      </c>
      <c r="C8" s="3">
        <v>0</v>
      </c>
      <c r="D8" s="4">
        <f>B8+C8</f>
        <v>100</v>
      </c>
      <c r="E8" s="4">
        <f>D8/(1.084)^A8</f>
        <v>72.424060672879008</v>
      </c>
      <c r="F8" s="4">
        <f>E8*A8</f>
        <v>289.69624269151603</v>
      </c>
      <c r="H8" s="15">
        <f>D1-H7</f>
        <v>1063.0414986905866</v>
      </c>
      <c r="I8" s="16" t="s">
        <v>24</v>
      </c>
    </row>
    <row r="9" spans="1:9" x14ac:dyDescent="0.25">
      <c r="A9" s="1">
        <v>5</v>
      </c>
      <c r="B9" s="2">
        <v>100</v>
      </c>
      <c r="C9" s="3">
        <v>1000</v>
      </c>
      <c r="D9" s="4">
        <f>B9+C9</f>
        <v>1100</v>
      </c>
      <c r="E9" s="4">
        <f>D9/(1.084)^A9</f>
        <v>734.93050498308958</v>
      </c>
      <c r="F9" s="4">
        <f>E9*A9</f>
        <v>3674.6525249154479</v>
      </c>
    </row>
    <row r="10" spans="1:9" x14ac:dyDescent="0.25">
      <c r="B10" s="1"/>
      <c r="H10" s="4"/>
    </row>
    <row r="11" spans="1:9" x14ac:dyDescent="0.25">
      <c r="B11" s="1"/>
      <c r="D11" s="16" t="s">
        <v>23</v>
      </c>
      <c r="E11" s="17">
        <f>SUM(E5:E9)</f>
        <v>1063.215496972625</v>
      </c>
      <c r="F11" s="4">
        <f>SUM(F5:F9)</f>
        <v>4462.3273895004522</v>
      </c>
    </row>
    <row r="12" spans="1:9" x14ac:dyDescent="0.25">
      <c r="B12" s="1"/>
    </row>
    <row r="13" spans="1:9" x14ac:dyDescent="0.25">
      <c r="B13" s="1"/>
      <c r="E13" t="s">
        <v>6</v>
      </c>
      <c r="F13" s="6">
        <f>F11/E11</f>
        <v>4.197011238273312</v>
      </c>
    </row>
    <row r="14" spans="1:9" x14ac:dyDescent="0.25">
      <c r="E14" t="s">
        <v>8</v>
      </c>
      <c r="F14" s="6">
        <f>F13/1.084</f>
        <v>3.8717815851229811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257-4F05-42F9-8BC0-4D2FE2033D65}">
  <dimension ref="A1:G26"/>
  <sheetViews>
    <sheetView zoomScale="145" zoomScaleNormal="145" workbookViewId="0">
      <selection activeCell="G12" sqref="A1:G12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6.85546875" bestFit="1" customWidth="1"/>
    <col min="5" max="5" width="14" bestFit="1" customWidth="1"/>
    <col min="6" max="6" width="12.140625" bestFit="1" customWidth="1"/>
    <col min="7" max="7" width="13.28515625" bestFit="1" customWidth="1"/>
  </cols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7" x14ac:dyDescent="0.25">
      <c r="A2" s="1">
        <v>1</v>
      </c>
      <c r="B2" s="2">
        <v>100</v>
      </c>
      <c r="C2" s="3">
        <v>0</v>
      </c>
      <c r="D2" s="4">
        <f>B2+C2</f>
        <v>100</v>
      </c>
      <c r="E2" s="4">
        <f>D2/(1.08)^A2</f>
        <v>92.592592592592581</v>
      </c>
      <c r="F2" s="4">
        <f>E2*A2</f>
        <v>92.592592592592581</v>
      </c>
      <c r="G2" s="4">
        <f>E2*A2*(A2+1)</f>
        <v>185.18518518518516</v>
      </c>
    </row>
    <row r="3" spans="1:7" x14ac:dyDescent="0.25">
      <c r="A3" s="1">
        <v>2</v>
      </c>
      <c r="B3" s="2">
        <v>100</v>
      </c>
      <c r="C3" s="3">
        <v>0</v>
      </c>
      <c r="D3" s="4">
        <f>B3+C3</f>
        <v>100</v>
      </c>
      <c r="E3" s="4">
        <f>D3/(1.08)^A3</f>
        <v>85.733882030178322</v>
      </c>
      <c r="F3" s="4">
        <f>E3*A3</f>
        <v>171.46776406035664</v>
      </c>
      <c r="G3" s="4">
        <f>E3*A3*(A3+1)</f>
        <v>514.4032921810699</v>
      </c>
    </row>
    <row r="4" spans="1:7" x14ac:dyDescent="0.25">
      <c r="A4" s="1">
        <v>3</v>
      </c>
      <c r="B4" s="2">
        <v>100</v>
      </c>
      <c r="C4" s="3">
        <v>0</v>
      </c>
      <c r="D4" s="4">
        <f>B4+C4</f>
        <v>100</v>
      </c>
      <c r="E4" s="4">
        <f>D4/(1.08)^A4</f>
        <v>79.383224102016953</v>
      </c>
      <c r="F4" s="4">
        <f>E4*A4</f>
        <v>238.14967230605086</v>
      </c>
      <c r="G4" s="4">
        <f>E4*A4*(A4+1)</f>
        <v>952.59868922420344</v>
      </c>
    </row>
    <row r="5" spans="1:7" x14ac:dyDescent="0.25">
      <c r="A5" s="1">
        <v>4</v>
      </c>
      <c r="B5" s="2">
        <v>100</v>
      </c>
      <c r="C5" s="3">
        <v>0</v>
      </c>
      <c r="D5" s="4">
        <f>B5+C5</f>
        <v>100</v>
      </c>
      <c r="E5" s="4">
        <f>D5/(1.08)^A5</f>
        <v>73.50298527964533</v>
      </c>
      <c r="F5" s="4">
        <f>E5*A5</f>
        <v>294.01194111858132</v>
      </c>
      <c r="G5" s="4">
        <f>E5*A5*(A5+1)</f>
        <v>1470.0597055929065</v>
      </c>
    </row>
    <row r="6" spans="1:7" x14ac:dyDescent="0.25">
      <c r="A6" s="1">
        <v>5</v>
      </c>
      <c r="B6" s="2">
        <v>100</v>
      </c>
      <c r="C6" s="3">
        <v>1000</v>
      </c>
      <c r="D6" s="4">
        <f>B6+C6</f>
        <v>1100</v>
      </c>
      <c r="E6" s="4">
        <f>D6/(1.08)^A6</f>
        <v>748.64151673712831</v>
      </c>
      <c r="F6" s="4">
        <f>E6*A6</f>
        <v>3743.2075836856416</v>
      </c>
      <c r="G6" s="4">
        <f>E6*A6*(A6+1)</f>
        <v>22459.245502113848</v>
      </c>
    </row>
    <row r="7" spans="1:7" x14ac:dyDescent="0.25">
      <c r="B7" s="1"/>
    </row>
    <row r="8" spans="1:7" x14ac:dyDescent="0.25">
      <c r="B8" s="1"/>
      <c r="E8" s="4">
        <f>SUM(E2:E6)</f>
        <v>1079.8542007415615</v>
      </c>
      <c r="F8" s="4">
        <f>SUM(F2:F6)</f>
        <v>4539.4295537632224</v>
      </c>
      <c r="G8" s="4">
        <f>SUM(G2:G6)</f>
        <v>25581.492374297213</v>
      </c>
    </row>
    <row r="9" spans="1:7" x14ac:dyDescent="0.25">
      <c r="B9" s="1"/>
    </row>
    <row r="10" spans="1:7" x14ac:dyDescent="0.25">
      <c r="B10" s="1"/>
      <c r="E10" t="s">
        <v>6</v>
      </c>
      <c r="F10" s="7">
        <f>F8/E8</f>
        <v>4.2037430151643509</v>
      </c>
    </row>
    <row r="11" spans="1:7" x14ac:dyDescent="0.25">
      <c r="E11" t="s">
        <v>26</v>
      </c>
      <c r="G11" s="7">
        <f>G8/E8</f>
        <v>23.689765115262592</v>
      </c>
    </row>
    <row r="12" spans="1:7" x14ac:dyDescent="0.25">
      <c r="E12" t="s">
        <v>8</v>
      </c>
      <c r="F12" s="7">
        <f>-F10/1.08</f>
        <v>-3.8923546436706951</v>
      </c>
    </row>
    <row r="15" spans="1:7" x14ac:dyDescent="0.25">
      <c r="A15" s="1" t="s">
        <v>0</v>
      </c>
      <c r="B15" s="1" t="s">
        <v>1</v>
      </c>
      <c r="C15" t="s">
        <v>2</v>
      </c>
      <c r="D15" t="s">
        <v>3</v>
      </c>
      <c r="E15" t="s">
        <v>27</v>
      </c>
    </row>
    <row r="16" spans="1:7" x14ac:dyDescent="0.25">
      <c r="A16" s="1">
        <v>1</v>
      </c>
      <c r="B16" s="2">
        <v>100</v>
      </c>
      <c r="C16" s="3">
        <v>0</v>
      </c>
      <c r="D16" s="4">
        <f>B16+C16</f>
        <v>100</v>
      </c>
      <c r="E16" s="4">
        <f>D16/(1.084)^A16</f>
        <v>92.250922509225092</v>
      </c>
      <c r="F16" s="4"/>
      <c r="G16" s="4"/>
    </row>
    <row r="17" spans="1:7" x14ac:dyDescent="0.25">
      <c r="A17" s="1">
        <v>2</v>
      </c>
      <c r="B17" s="2">
        <v>100</v>
      </c>
      <c r="C17" s="3">
        <v>0</v>
      </c>
      <c r="D17" s="4">
        <f>B17+C17</f>
        <v>100</v>
      </c>
      <c r="E17" s="4">
        <f>D17/(1.084)^A17</f>
        <v>85.102327038030523</v>
      </c>
      <c r="F17" s="4"/>
      <c r="G17" s="4"/>
    </row>
    <row r="18" spans="1:7" x14ac:dyDescent="0.25">
      <c r="A18" s="1">
        <v>3</v>
      </c>
      <c r="B18" s="2">
        <v>100</v>
      </c>
      <c r="C18" s="3">
        <v>0</v>
      </c>
      <c r="D18" s="4">
        <f>B18+C18</f>
        <v>100</v>
      </c>
      <c r="E18" s="4">
        <f>D18/(1.084)^A18</f>
        <v>78.507681769400833</v>
      </c>
      <c r="F18" s="4"/>
      <c r="G18" s="4"/>
    </row>
    <row r="19" spans="1:7" x14ac:dyDescent="0.25">
      <c r="A19" s="1">
        <v>4</v>
      </c>
      <c r="B19" s="2">
        <v>100</v>
      </c>
      <c r="C19" s="3">
        <v>0</v>
      </c>
      <c r="D19" s="4">
        <f>B19+C19</f>
        <v>100</v>
      </c>
      <c r="E19" s="4">
        <f>D19/(1.084)^A19</f>
        <v>72.424060672879008</v>
      </c>
      <c r="F19" s="4"/>
      <c r="G19" s="4"/>
    </row>
    <row r="20" spans="1:7" x14ac:dyDescent="0.25">
      <c r="A20" s="1">
        <v>5</v>
      </c>
      <c r="B20" s="2">
        <v>100</v>
      </c>
      <c r="C20" s="3">
        <v>1000</v>
      </c>
      <c r="D20" s="4">
        <f>B20+C20</f>
        <v>1100</v>
      </c>
      <c r="E20" s="4">
        <f>D20/(1.084)^A20</f>
        <v>734.93050498308958</v>
      </c>
      <c r="F20" s="4"/>
      <c r="G20" s="4"/>
    </row>
    <row r="21" spans="1:7" x14ac:dyDescent="0.25">
      <c r="B21" s="1"/>
    </row>
    <row r="22" spans="1:7" x14ac:dyDescent="0.25">
      <c r="B22" s="1"/>
      <c r="D22" t="s">
        <v>28</v>
      </c>
      <c r="E22" s="4">
        <f>SUM(E16:E20)</f>
        <v>1063.215496972625</v>
      </c>
      <c r="F22" s="4"/>
      <c r="G22" s="4"/>
    </row>
    <row r="23" spans="1:7" x14ac:dyDescent="0.25">
      <c r="B23" s="1"/>
      <c r="D23" t="s">
        <v>6</v>
      </c>
      <c r="E23" s="4">
        <f>E8+F12*E8*0.4%</f>
        <v>1063.0414986905866</v>
      </c>
      <c r="F23" s="4">
        <f>E23-E22</f>
        <v>-0.17399828203838297</v>
      </c>
      <c r="G23" t="s">
        <v>30</v>
      </c>
    </row>
    <row r="24" spans="1:7" x14ac:dyDescent="0.25">
      <c r="B24" s="1"/>
      <c r="D24" t="s">
        <v>29</v>
      </c>
      <c r="E24" s="4">
        <f>E23+(G11/2)*(0.004^2)*E8</f>
        <v>1063.2461506295811</v>
      </c>
      <c r="F24" s="4">
        <f>E24-E22</f>
        <v>3.0653656956019404E-2</v>
      </c>
      <c r="G24" t="s">
        <v>30</v>
      </c>
    </row>
    <row r="25" spans="1:7" x14ac:dyDescent="0.25">
      <c r="G25" s="7"/>
    </row>
    <row r="26" spans="1:7" x14ac:dyDescent="0.25">
      <c r="F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86C7-54F8-49ED-A686-36E13DBC5857}">
  <dimension ref="A1:F107"/>
  <sheetViews>
    <sheetView zoomScale="145" zoomScaleNormal="145" workbookViewId="0">
      <selection activeCell="D3" sqref="D3"/>
    </sheetView>
  </sheetViews>
  <sheetFormatPr defaultRowHeight="15" x14ac:dyDescent="0.25"/>
  <cols>
    <col min="1" max="2" width="12.140625" bestFit="1" customWidth="1"/>
    <col min="3" max="3" width="12.140625" style="1" bestFit="1" customWidth="1"/>
    <col min="4" max="4" width="10.7109375" bestFit="1" customWidth="1"/>
    <col min="6" max="6" width="9.5703125" bestFit="1" customWidth="1"/>
  </cols>
  <sheetData>
    <row r="1" spans="1:5" x14ac:dyDescent="0.25">
      <c r="A1" t="s">
        <v>31</v>
      </c>
      <c r="B1" s="9">
        <v>0.1409</v>
      </c>
    </row>
    <row r="2" spans="1:5" x14ac:dyDescent="0.25">
      <c r="A2" t="s">
        <v>8</v>
      </c>
      <c r="B2" s="21">
        <v>5.3587653977204299</v>
      </c>
    </row>
    <row r="3" spans="1:5" x14ac:dyDescent="0.25">
      <c r="A3" t="s">
        <v>26</v>
      </c>
      <c r="B3" s="21">
        <v>56.808824879556525</v>
      </c>
    </row>
    <row r="4" spans="1:5" x14ac:dyDescent="0.25">
      <c r="A4" t="s">
        <v>32</v>
      </c>
      <c r="B4" s="4">
        <v>811.65</v>
      </c>
      <c r="D4" s="4"/>
      <c r="E4" s="13"/>
    </row>
    <row r="6" spans="1:5" x14ac:dyDescent="0.25">
      <c r="B6" s="1" t="s">
        <v>33</v>
      </c>
      <c r="C6" s="1" t="s">
        <v>34</v>
      </c>
      <c r="D6" t="s">
        <v>40</v>
      </c>
    </row>
    <row r="7" spans="1:5" x14ac:dyDescent="0.25">
      <c r="A7" s="9">
        <v>0.1109</v>
      </c>
      <c r="B7" s="3">
        <f>$B$4-$B$4*$B$2*(A7-$B$1)+(1/2)*$B$3*$B$4*(A7-$B$1)^2</f>
        <v>962.882255272865</v>
      </c>
      <c r="C7" s="2">
        <f>$B$4-$B$4*$B$2*(A7-$B$1)</f>
        <v>942.13325805179352</v>
      </c>
      <c r="D7" s="4">
        <f>C7-B7</f>
        <v>-20.748997221071477</v>
      </c>
    </row>
    <row r="8" spans="1:5" x14ac:dyDescent="0.25">
      <c r="A8" s="9">
        <f>A7+0.1%</f>
        <v>0.1119</v>
      </c>
      <c r="B8" s="3">
        <f t="shared" ref="B8:B67" si="0">$B$4-$B$4*$B$2*(A8-$B$1)+(1/2)*$B$3*$B$4*(A8-$B$1)^2</f>
        <v>957.17260129775718</v>
      </c>
      <c r="C8" s="2">
        <f t="shared" ref="C8:C67" si="1">$B$4-$B$4*$B$2*(A8-$B$1)</f>
        <v>937.78381611673376</v>
      </c>
      <c r="D8" s="4">
        <f t="shared" ref="D8:D67" si="2">C8-B8</f>
        <v>-19.388785181023422</v>
      </c>
    </row>
    <row r="9" spans="1:5" x14ac:dyDescent="0.25">
      <c r="A9" s="9">
        <f t="shared" ref="A9:A67" si="3">A8+0.1%</f>
        <v>0.1129</v>
      </c>
      <c r="B9" s="3">
        <f t="shared" si="0"/>
        <v>951.50905620536287</v>
      </c>
      <c r="C9" s="2">
        <f t="shared" si="1"/>
        <v>933.434374181674</v>
      </c>
      <c r="D9" s="4">
        <f t="shared" si="2"/>
        <v>-18.074682023688865</v>
      </c>
    </row>
    <row r="10" spans="1:5" x14ac:dyDescent="0.25">
      <c r="A10" s="9">
        <f t="shared" si="3"/>
        <v>0.1139</v>
      </c>
      <c r="B10" s="3">
        <f t="shared" si="0"/>
        <v>945.89161999568205</v>
      </c>
      <c r="C10" s="2">
        <f t="shared" si="1"/>
        <v>929.08493224661424</v>
      </c>
      <c r="D10" s="4">
        <f t="shared" si="2"/>
        <v>-16.806687749067805</v>
      </c>
    </row>
    <row r="11" spans="1:5" x14ac:dyDescent="0.25">
      <c r="A11" s="9">
        <f t="shared" si="3"/>
        <v>0.1149</v>
      </c>
      <c r="B11" s="3">
        <f t="shared" si="0"/>
        <v>940.32029266871473</v>
      </c>
      <c r="C11" s="2">
        <f t="shared" si="1"/>
        <v>924.73549031155437</v>
      </c>
      <c r="D11" s="4">
        <f t="shared" si="2"/>
        <v>-15.584802357160356</v>
      </c>
    </row>
    <row r="12" spans="1:5" x14ac:dyDescent="0.25">
      <c r="A12" s="9">
        <f t="shared" si="3"/>
        <v>0.1159</v>
      </c>
      <c r="B12" s="3">
        <f t="shared" si="0"/>
        <v>934.7950742244609</v>
      </c>
      <c r="C12" s="2">
        <f t="shared" si="1"/>
        <v>920.38604837649461</v>
      </c>
      <c r="D12" s="4">
        <f t="shared" si="2"/>
        <v>-14.409025847966291</v>
      </c>
    </row>
    <row r="13" spans="1:5" x14ac:dyDescent="0.25">
      <c r="A13" s="9">
        <f t="shared" si="3"/>
        <v>0.1169</v>
      </c>
      <c r="B13" s="3">
        <f t="shared" si="0"/>
        <v>929.31596466292058</v>
      </c>
      <c r="C13" s="2">
        <f t="shared" si="1"/>
        <v>916.03660644143486</v>
      </c>
      <c r="D13" s="4">
        <f t="shared" si="2"/>
        <v>-13.279358221485722</v>
      </c>
    </row>
    <row r="14" spans="1:5" x14ac:dyDescent="0.25">
      <c r="A14" s="9">
        <f t="shared" si="3"/>
        <v>0.1179</v>
      </c>
      <c r="B14" s="3">
        <f t="shared" si="0"/>
        <v>923.88296398409364</v>
      </c>
      <c r="C14" s="2">
        <f t="shared" si="1"/>
        <v>911.68716450637498</v>
      </c>
      <c r="D14" s="4">
        <f t="shared" si="2"/>
        <v>-12.195799477718651</v>
      </c>
    </row>
    <row r="15" spans="1:5" x14ac:dyDescent="0.25">
      <c r="A15" s="9">
        <f t="shared" si="3"/>
        <v>0.11890000000000001</v>
      </c>
      <c r="B15" s="3">
        <f t="shared" si="0"/>
        <v>918.4960721879803</v>
      </c>
      <c r="C15" s="2">
        <f t="shared" si="1"/>
        <v>907.33772257131523</v>
      </c>
      <c r="D15" s="4">
        <f t="shared" si="2"/>
        <v>-11.158349616665078</v>
      </c>
    </row>
    <row r="16" spans="1:5" x14ac:dyDescent="0.25">
      <c r="A16" s="9">
        <f t="shared" si="3"/>
        <v>0.11990000000000001</v>
      </c>
      <c r="B16" s="3">
        <f t="shared" si="0"/>
        <v>913.15528927458047</v>
      </c>
      <c r="C16" s="2">
        <f t="shared" si="1"/>
        <v>902.98828063625547</v>
      </c>
      <c r="D16" s="4">
        <f t="shared" si="2"/>
        <v>-10.167008638325001</v>
      </c>
    </row>
    <row r="17" spans="1:6" x14ac:dyDescent="0.25">
      <c r="A17" s="9">
        <f t="shared" si="3"/>
        <v>0.12090000000000001</v>
      </c>
      <c r="B17" s="3">
        <f t="shared" si="0"/>
        <v>907.86061524389413</v>
      </c>
      <c r="C17" s="2">
        <f t="shared" si="1"/>
        <v>898.63883870119571</v>
      </c>
      <c r="D17" s="4">
        <f t="shared" si="2"/>
        <v>-9.2217765426984215</v>
      </c>
    </row>
    <row r="18" spans="1:6" x14ac:dyDescent="0.25">
      <c r="A18" s="9">
        <f t="shared" si="3"/>
        <v>0.12190000000000001</v>
      </c>
      <c r="B18" s="3">
        <f t="shared" si="0"/>
        <v>902.61205009592118</v>
      </c>
      <c r="C18" s="2">
        <f t="shared" si="1"/>
        <v>894.28939676613584</v>
      </c>
      <c r="D18" s="4">
        <f t="shared" si="2"/>
        <v>-8.3226533297853393</v>
      </c>
    </row>
    <row r="19" spans="1:6" x14ac:dyDescent="0.25">
      <c r="A19" s="9">
        <f t="shared" si="3"/>
        <v>0.12290000000000001</v>
      </c>
      <c r="B19" s="3">
        <f t="shared" si="0"/>
        <v>897.40959383066183</v>
      </c>
      <c r="C19" s="2">
        <f t="shared" si="1"/>
        <v>889.93995483107608</v>
      </c>
      <c r="D19" s="4">
        <f t="shared" si="2"/>
        <v>-7.4696389995857544</v>
      </c>
    </row>
    <row r="20" spans="1:6" x14ac:dyDescent="0.25">
      <c r="A20" s="9">
        <f t="shared" si="3"/>
        <v>0.12390000000000001</v>
      </c>
      <c r="B20" s="3">
        <f t="shared" si="0"/>
        <v>892.25324644811587</v>
      </c>
      <c r="C20" s="2">
        <f t="shared" si="1"/>
        <v>885.59051289601632</v>
      </c>
      <c r="D20" s="4">
        <f t="shared" si="2"/>
        <v>-6.662733552099553</v>
      </c>
    </row>
    <row r="21" spans="1:6" x14ac:dyDescent="0.25">
      <c r="A21" s="9">
        <f t="shared" si="3"/>
        <v>0.12490000000000001</v>
      </c>
      <c r="B21" s="3">
        <f t="shared" si="0"/>
        <v>887.14300794828341</v>
      </c>
      <c r="C21" s="2">
        <f t="shared" si="1"/>
        <v>881.24107096095645</v>
      </c>
      <c r="D21" s="4">
        <f t="shared" si="2"/>
        <v>-5.9019369873269625</v>
      </c>
      <c r="F21" s="4"/>
    </row>
    <row r="22" spans="1:6" x14ac:dyDescent="0.25">
      <c r="A22" s="9">
        <f t="shared" si="3"/>
        <v>0.12590000000000001</v>
      </c>
      <c r="B22" s="3">
        <f t="shared" si="0"/>
        <v>882.07887833116456</v>
      </c>
      <c r="C22" s="2">
        <f t="shared" si="1"/>
        <v>876.89162902589669</v>
      </c>
      <c r="D22" s="4">
        <f t="shared" si="2"/>
        <v>-5.1872493052678692</v>
      </c>
    </row>
    <row r="23" spans="1:6" x14ac:dyDescent="0.25">
      <c r="A23" s="9">
        <f t="shared" si="3"/>
        <v>0.12690000000000001</v>
      </c>
      <c r="B23" s="3">
        <f t="shared" si="0"/>
        <v>877.06085759675909</v>
      </c>
      <c r="C23" s="2">
        <f t="shared" si="1"/>
        <v>872.54218709083693</v>
      </c>
      <c r="D23" s="4">
        <f t="shared" si="2"/>
        <v>-4.5186705059221595</v>
      </c>
    </row>
    <row r="24" spans="1:6" x14ac:dyDescent="0.25">
      <c r="A24" s="9">
        <f t="shared" si="3"/>
        <v>0.12790000000000001</v>
      </c>
      <c r="B24" s="3">
        <f t="shared" si="0"/>
        <v>872.08894574506724</v>
      </c>
      <c r="C24" s="2">
        <f t="shared" si="1"/>
        <v>868.19274515577717</v>
      </c>
      <c r="D24" s="4">
        <f t="shared" si="2"/>
        <v>-3.8962005892900606</v>
      </c>
    </row>
    <row r="25" spans="1:6" x14ac:dyDescent="0.25">
      <c r="A25" s="9">
        <f t="shared" si="3"/>
        <v>0.12890000000000001</v>
      </c>
      <c r="B25" s="3">
        <f t="shared" si="0"/>
        <v>867.16314277608876</v>
      </c>
      <c r="C25" s="2">
        <f t="shared" si="1"/>
        <v>863.8433032207173</v>
      </c>
      <c r="D25" s="4">
        <f t="shared" si="2"/>
        <v>-3.319839555371459</v>
      </c>
    </row>
    <row r="26" spans="1:6" x14ac:dyDescent="0.25">
      <c r="A26" s="9">
        <f t="shared" si="3"/>
        <v>0.12990000000000002</v>
      </c>
      <c r="B26" s="3">
        <f t="shared" si="0"/>
        <v>862.28344868982379</v>
      </c>
      <c r="C26" s="2">
        <f t="shared" si="1"/>
        <v>859.49386128565754</v>
      </c>
      <c r="D26" s="4">
        <f t="shared" si="2"/>
        <v>-2.789587404166241</v>
      </c>
    </row>
    <row r="27" spans="1:6" x14ac:dyDescent="0.25">
      <c r="A27" s="9">
        <f t="shared" si="3"/>
        <v>0.13090000000000002</v>
      </c>
      <c r="B27" s="3">
        <f t="shared" si="0"/>
        <v>857.44986348627242</v>
      </c>
      <c r="C27" s="2">
        <f t="shared" si="1"/>
        <v>855.14441935059779</v>
      </c>
      <c r="D27" s="4">
        <f t="shared" si="2"/>
        <v>-2.3054441356746338</v>
      </c>
    </row>
    <row r="28" spans="1:6" x14ac:dyDescent="0.25">
      <c r="A28" s="9">
        <f t="shared" si="3"/>
        <v>0.13190000000000002</v>
      </c>
      <c r="B28" s="3">
        <f t="shared" si="0"/>
        <v>852.66238716543432</v>
      </c>
      <c r="C28" s="2">
        <f t="shared" si="1"/>
        <v>850.79497741553791</v>
      </c>
      <c r="D28" s="4">
        <f t="shared" si="2"/>
        <v>-1.8674097498964102</v>
      </c>
    </row>
    <row r="29" spans="1:6" x14ac:dyDescent="0.25">
      <c r="A29" s="9">
        <f t="shared" si="3"/>
        <v>0.13290000000000002</v>
      </c>
      <c r="B29" s="3">
        <f t="shared" si="0"/>
        <v>847.92101972730984</v>
      </c>
      <c r="C29" s="2">
        <f t="shared" si="1"/>
        <v>846.44553548047816</v>
      </c>
      <c r="D29" s="4">
        <f t="shared" si="2"/>
        <v>-1.4754842468316838</v>
      </c>
    </row>
    <row r="30" spans="1:6" x14ac:dyDescent="0.25">
      <c r="A30" s="9">
        <f t="shared" si="3"/>
        <v>0.13390000000000002</v>
      </c>
      <c r="B30" s="3">
        <f t="shared" si="0"/>
        <v>843.22576117189897</v>
      </c>
      <c r="C30" s="2">
        <f t="shared" si="1"/>
        <v>842.0960935454184</v>
      </c>
      <c r="D30" s="4">
        <f t="shared" si="2"/>
        <v>-1.1296676264805683</v>
      </c>
    </row>
    <row r="31" spans="1:6" x14ac:dyDescent="0.25">
      <c r="A31" s="9">
        <f t="shared" si="3"/>
        <v>0.13490000000000002</v>
      </c>
      <c r="B31" s="3">
        <f t="shared" si="0"/>
        <v>838.57661149920148</v>
      </c>
      <c r="C31" s="2">
        <f t="shared" si="1"/>
        <v>837.74665161035864</v>
      </c>
      <c r="D31" s="4">
        <f t="shared" si="2"/>
        <v>-0.82995988884283634</v>
      </c>
    </row>
    <row r="32" spans="1:6" x14ac:dyDescent="0.25">
      <c r="A32" s="9">
        <f t="shared" si="3"/>
        <v>0.13590000000000002</v>
      </c>
      <c r="B32" s="3">
        <f t="shared" si="0"/>
        <v>833.97357070921737</v>
      </c>
      <c r="C32" s="2">
        <f t="shared" si="1"/>
        <v>833.39720967529877</v>
      </c>
      <c r="D32" s="4">
        <f t="shared" si="2"/>
        <v>-0.57636103391860161</v>
      </c>
    </row>
    <row r="33" spans="1:4" x14ac:dyDescent="0.25">
      <c r="A33" s="9">
        <f t="shared" si="3"/>
        <v>0.13690000000000002</v>
      </c>
      <c r="B33" s="3">
        <f t="shared" si="0"/>
        <v>829.41663880194699</v>
      </c>
      <c r="C33" s="2">
        <f t="shared" si="1"/>
        <v>829.04776774023901</v>
      </c>
      <c r="D33" s="4">
        <f t="shared" si="2"/>
        <v>-0.36887106170797779</v>
      </c>
    </row>
    <row r="34" spans="1:4" x14ac:dyDescent="0.25">
      <c r="A34" s="9">
        <f t="shared" si="3"/>
        <v>0.13790000000000002</v>
      </c>
      <c r="B34" s="3">
        <f t="shared" si="0"/>
        <v>824.90581577738999</v>
      </c>
      <c r="C34" s="2">
        <f t="shared" si="1"/>
        <v>824.69832580517925</v>
      </c>
      <c r="D34" s="4">
        <f t="shared" si="2"/>
        <v>-0.20748997221073751</v>
      </c>
    </row>
    <row r="35" spans="1:4" x14ac:dyDescent="0.25">
      <c r="A35" s="9">
        <f t="shared" si="3"/>
        <v>0.13890000000000002</v>
      </c>
      <c r="B35" s="3">
        <f t="shared" si="0"/>
        <v>820.44110163554637</v>
      </c>
      <c r="C35" s="2">
        <f t="shared" si="1"/>
        <v>820.34888387011938</v>
      </c>
      <c r="D35" s="4">
        <f t="shared" si="2"/>
        <v>-9.2217765426994447E-2</v>
      </c>
    </row>
    <row r="36" spans="1:4" x14ac:dyDescent="0.25">
      <c r="A36" s="9">
        <f t="shared" si="3"/>
        <v>0.13990000000000002</v>
      </c>
      <c r="B36" s="3">
        <f t="shared" si="0"/>
        <v>816.02249637641637</v>
      </c>
      <c r="C36" s="2">
        <f t="shared" si="1"/>
        <v>815.99944193505962</v>
      </c>
      <c r="D36" s="4">
        <f t="shared" si="2"/>
        <v>-2.3054441356748612E-2</v>
      </c>
    </row>
    <row r="37" spans="1:4" x14ac:dyDescent="0.25">
      <c r="A37" s="9">
        <f t="shared" si="3"/>
        <v>0.14090000000000003</v>
      </c>
      <c r="B37" s="3">
        <f t="shared" si="0"/>
        <v>811.64999999999986</v>
      </c>
      <c r="C37" s="2">
        <f t="shared" si="1"/>
        <v>811.64999999999986</v>
      </c>
      <c r="D37" s="4">
        <f t="shared" si="2"/>
        <v>0</v>
      </c>
    </row>
    <row r="38" spans="1:4" x14ac:dyDescent="0.25">
      <c r="A38" s="9">
        <f t="shared" si="3"/>
        <v>0.14190000000000003</v>
      </c>
      <c r="B38" s="3">
        <f t="shared" si="0"/>
        <v>807.32361250629685</v>
      </c>
      <c r="C38" s="2">
        <f t="shared" si="1"/>
        <v>807.30055806494011</v>
      </c>
      <c r="D38" s="4">
        <f t="shared" si="2"/>
        <v>-2.3054441356748612E-2</v>
      </c>
    </row>
    <row r="39" spans="1:4" x14ac:dyDescent="0.25">
      <c r="A39" s="9">
        <f t="shared" si="3"/>
        <v>0.14290000000000003</v>
      </c>
      <c r="B39" s="3">
        <f t="shared" si="0"/>
        <v>803.04333389530723</v>
      </c>
      <c r="C39" s="2">
        <f t="shared" si="1"/>
        <v>802.95111612988023</v>
      </c>
      <c r="D39" s="4">
        <f t="shared" si="2"/>
        <v>-9.2217765426994447E-2</v>
      </c>
    </row>
    <row r="40" spans="1:4" x14ac:dyDescent="0.25">
      <c r="A40" s="9">
        <f t="shared" si="3"/>
        <v>0.14390000000000003</v>
      </c>
      <c r="B40" s="3">
        <f t="shared" si="0"/>
        <v>798.80916416703121</v>
      </c>
      <c r="C40" s="2">
        <f t="shared" si="1"/>
        <v>798.60167419482048</v>
      </c>
      <c r="D40" s="4">
        <f t="shared" si="2"/>
        <v>-0.20748997221073751</v>
      </c>
    </row>
    <row r="41" spans="1:4" x14ac:dyDescent="0.25">
      <c r="A41" s="9">
        <f t="shared" si="3"/>
        <v>0.14490000000000003</v>
      </c>
      <c r="B41" s="3">
        <f t="shared" si="0"/>
        <v>794.62110332146869</v>
      </c>
      <c r="C41" s="2">
        <f t="shared" si="1"/>
        <v>794.25223225976072</v>
      </c>
      <c r="D41" s="4">
        <f t="shared" si="2"/>
        <v>-0.36887106170797779</v>
      </c>
    </row>
    <row r="42" spans="1:4" x14ac:dyDescent="0.25">
      <c r="A42" s="9">
        <f t="shared" si="3"/>
        <v>0.14590000000000003</v>
      </c>
      <c r="B42" s="3">
        <f t="shared" si="0"/>
        <v>790.47915135861956</v>
      </c>
      <c r="C42" s="2">
        <f t="shared" si="1"/>
        <v>789.90279032470096</v>
      </c>
      <c r="D42" s="4">
        <f t="shared" si="2"/>
        <v>-0.57636103391860161</v>
      </c>
    </row>
    <row r="43" spans="1:4" x14ac:dyDescent="0.25">
      <c r="A43" s="9">
        <f t="shared" si="3"/>
        <v>0.14690000000000003</v>
      </c>
      <c r="B43" s="3">
        <f t="shared" si="0"/>
        <v>786.38330827848392</v>
      </c>
      <c r="C43" s="2">
        <f t="shared" si="1"/>
        <v>785.55334838964109</v>
      </c>
      <c r="D43" s="4">
        <f t="shared" si="2"/>
        <v>-0.82995988884283634</v>
      </c>
    </row>
    <row r="44" spans="1:4" x14ac:dyDescent="0.25">
      <c r="A44" s="9">
        <f t="shared" si="3"/>
        <v>0.14790000000000003</v>
      </c>
      <c r="B44" s="3">
        <f t="shared" si="0"/>
        <v>782.3335740810619</v>
      </c>
      <c r="C44" s="2">
        <f t="shared" si="1"/>
        <v>781.20390645458133</v>
      </c>
      <c r="D44" s="4">
        <f t="shared" si="2"/>
        <v>-1.1296676264805683</v>
      </c>
    </row>
    <row r="45" spans="1:4" x14ac:dyDescent="0.25">
      <c r="A45" s="9">
        <f t="shared" si="3"/>
        <v>0.14890000000000003</v>
      </c>
      <c r="B45" s="3">
        <f t="shared" si="0"/>
        <v>778.32994876635337</v>
      </c>
      <c r="C45" s="2">
        <f t="shared" si="1"/>
        <v>776.85446451952157</v>
      </c>
      <c r="D45" s="4">
        <f t="shared" si="2"/>
        <v>-1.4754842468317975</v>
      </c>
    </row>
    <row r="46" spans="1:4" x14ac:dyDescent="0.25">
      <c r="A46" s="9">
        <f t="shared" si="3"/>
        <v>0.14990000000000003</v>
      </c>
      <c r="B46" s="3">
        <f t="shared" si="0"/>
        <v>774.37243233435811</v>
      </c>
      <c r="C46" s="2">
        <f t="shared" si="1"/>
        <v>772.5050225844617</v>
      </c>
      <c r="D46" s="4">
        <f t="shared" si="2"/>
        <v>-1.8674097498964102</v>
      </c>
    </row>
    <row r="47" spans="1:4" x14ac:dyDescent="0.25">
      <c r="A47" s="9">
        <f t="shared" si="3"/>
        <v>0.15090000000000003</v>
      </c>
      <c r="B47" s="3">
        <f t="shared" si="0"/>
        <v>770.46102478507657</v>
      </c>
      <c r="C47" s="2">
        <f t="shared" si="1"/>
        <v>768.15558064940194</v>
      </c>
      <c r="D47" s="4">
        <f t="shared" si="2"/>
        <v>-2.3054441356746338</v>
      </c>
    </row>
    <row r="48" spans="1:4" x14ac:dyDescent="0.25">
      <c r="A48" s="9">
        <f t="shared" si="3"/>
        <v>0.15190000000000003</v>
      </c>
      <c r="B48" s="3">
        <f t="shared" si="0"/>
        <v>766.59572611850842</v>
      </c>
      <c r="C48" s="2">
        <f t="shared" si="1"/>
        <v>763.80613871434218</v>
      </c>
      <c r="D48" s="4">
        <f t="shared" si="2"/>
        <v>-2.789587404166241</v>
      </c>
    </row>
    <row r="49" spans="1:4" x14ac:dyDescent="0.25">
      <c r="A49" s="9">
        <f t="shared" si="3"/>
        <v>0.15290000000000004</v>
      </c>
      <c r="B49" s="3">
        <f t="shared" si="0"/>
        <v>762.77653633465388</v>
      </c>
      <c r="C49" s="2">
        <f t="shared" si="1"/>
        <v>759.45669677928242</v>
      </c>
      <c r="D49" s="4">
        <f t="shared" si="2"/>
        <v>-3.319839555371459</v>
      </c>
    </row>
    <row r="50" spans="1:4" x14ac:dyDescent="0.25">
      <c r="A50" s="9">
        <f t="shared" si="3"/>
        <v>0.15390000000000004</v>
      </c>
      <c r="B50" s="3">
        <f t="shared" si="0"/>
        <v>759.00345543351261</v>
      </c>
      <c r="C50" s="2">
        <f t="shared" si="1"/>
        <v>755.10725484422255</v>
      </c>
      <c r="D50" s="4">
        <f t="shared" si="2"/>
        <v>-3.8962005892900606</v>
      </c>
    </row>
    <row r="51" spans="1:4" x14ac:dyDescent="0.25">
      <c r="A51" s="9">
        <f t="shared" si="3"/>
        <v>0.15490000000000004</v>
      </c>
      <c r="B51" s="3">
        <f t="shared" si="0"/>
        <v>755.27648341508507</v>
      </c>
      <c r="C51" s="2">
        <f t="shared" si="1"/>
        <v>750.75781290916279</v>
      </c>
      <c r="D51" s="4">
        <f t="shared" si="2"/>
        <v>-4.5186705059222732</v>
      </c>
    </row>
    <row r="52" spans="1:4" x14ac:dyDescent="0.25">
      <c r="A52" s="9">
        <f t="shared" si="3"/>
        <v>0.15590000000000004</v>
      </c>
      <c r="B52" s="3">
        <f t="shared" si="0"/>
        <v>751.59562027937091</v>
      </c>
      <c r="C52" s="2">
        <f t="shared" si="1"/>
        <v>746.40837097410304</v>
      </c>
      <c r="D52" s="4">
        <f t="shared" si="2"/>
        <v>-5.1872493052678692</v>
      </c>
    </row>
    <row r="53" spans="1:4" x14ac:dyDescent="0.25">
      <c r="A53" s="9">
        <f t="shared" si="3"/>
        <v>0.15690000000000004</v>
      </c>
      <c r="B53" s="3">
        <f t="shared" si="0"/>
        <v>747.96086602637013</v>
      </c>
      <c r="C53" s="2">
        <f t="shared" si="1"/>
        <v>742.05892903904316</v>
      </c>
      <c r="D53" s="4">
        <f t="shared" si="2"/>
        <v>-5.9019369873269625</v>
      </c>
    </row>
    <row r="54" spans="1:4" x14ac:dyDescent="0.25">
      <c r="A54" s="9">
        <f t="shared" si="3"/>
        <v>0.15790000000000004</v>
      </c>
      <c r="B54" s="3">
        <f t="shared" si="0"/>
        <v>744.37222065608307</v>
      </c>
      <c r="C54" s="2">
        <f t="shared" si="1"/>
        <v>737.70948710398341</v>
      </c>
      <c r="D54" s="4">
        <f t="shared" si="2"/>
        <v>-6.6627335520996667</v>
      </c>
    </row>
    <row r="55" spans="1:4" x14ac:dyDescent="0.25">
      <c r="A55" s="9">
        <f t="shared" si="3"/>
        <v>0.15890000000000004</v>
      </c>
      <c r="B55" s="3">
        <f t="shared" si="0"/>
        <v>740.8296841685094</v>
      </c>
      <c r="C55" s="2">
        <f t="shared" si="1"/>
        <v>733.36004516892365</v>
      </c>
      <c r="D55" s="4">
        <f t="shared" si="2"/>
        <v>-7.4696389995857544</v>
      </c>
    </row>
    <row r="56" spans="1:4" x14ac:dyDescent="0.25">
      <c r="A56" s="9">
        <f t="shared" si="3"/>
        <v>0.15990000000000004</v>
      </c>
      <c r="B56" s="3">
        <f t="shared" si="0"/>
        <v>737.33325656364923</v>
      </c>
      <c r="C56" s="2">
        <f t="shared" si="1"/>
        <v>729.01060323386389</v>
      </c>
      <c r="D56" s="4">
        <f t="shared" si="2"/>
        <v>-8.3226533297853393</v>
      </c>
    </row>
    <row r="57" spans="1:4" x14ac:dyDescent="0.25">
      <c r="A57" s="9">
        <f t="shared" si="3"/>
        <v>0.16090000000000004</v>
      </c>
      <c r="B57" s="3">
        <f t="shared" si="0"/>
        <v>733.88293784150244</v>
      </c>
      <c r="C57" s="2">
        <f t="shared" si="1"/>
        <v>724.66116129880402</v>
      </c>
      <c r="D57" s="4">
        <f t="shared" si="2"/>
        <v>-9.2217765426984215</v>
      </c>
    </row>
    <row r="58" spans="1:4" x14ac:dyDescent="0.25">
      <c r="A58" s="9">
        <f t="shared" si="3"/>
        <v>0.16190000000000004</v>
      </c>
      <c r="B58" s="3">
        <f t="shared" si="0"/>
        <v>730.47872800206926</v>
      </c>
      <c r="C58" s="2">
        <f t="shared" si="1"/>
        <v>720.31171936374426</v>
      </c>
      <c r="D58" s="4">
        <f t="shared" si="2"/>
        <v>-10.167008638325001</v>
      </c>
    </row>
    <row r="59" spans="1:4" x14ac:dyDescent="0.25">
      <c r="A59" s="9">
        <f t="shared" si="3"/>
        <v>0.16290000000000004</v>
      </c>
      <c r="B59" s="3">
        <f t="shared" si="0"/>
        <v>727.12062704534958</v>
      </c>
      <c r="C59" s="2">
        <f t="shared" si="1"/>
        <v>715.9622774286845</v>
      </c>
      <c r="D59" s="4">
        <f t="shared" si="2"/>
        <v>-11.158349616665078</v>
      </c>
    </row>
    <row r="60" spans="1:4" x14ac:dyDescent="0.25">
      <c r="A60" s="9">
        <f t="shared" si="3"/>
        <v>0.16390000000000005</v>
      </c>
      <c r="B60" s="3">
        <f t="shared" si="0"/>
        <v>723.80863497134339</v>
      </c>
      <c r="C60" s="2">
        <f t="shared" si="1"/>
        <v>711.61283549362474</v>
      </c>
      <c r="D60" s="4">
        <f t="shared" si="2"/>
        <v>-12.195799477718651</v>
      </c>
    </row>
    <row r="61" spans="1:4" x14ac:dyDescent="0.25">
      <c r="A61" s="9">
        <f t="shared" si="3"/>
        <v>0.16490000000000005</v>
      </c>
      <c r="B61" s="3">
        <f t="shared" si="0"/>
        <v>720.54275178005059</v>
      </c>
      <c r="C61" s="2">
        <f t="shared" si="1"/>
        <v>707.26339355856487</v>
      </c>
      <c r="D61" s="4">
        <f t="shared" si="2"/>
        <v>-13.279358221485722</v>
      </c>
    </row>
    <row r="62" spans="1:4" x14ac:dyDescent="0.25">
      <c r="A62" s="9">
        <f t="shared" si="3"/>
        <v>0.16590000000000005</v>
      </c>
      <c r="B62" s="3">
        <f t="shared" si="0"/>
        <v>717.3229774714714</v>
      </c>
      <c r="C62" s="2">
        <f t="shared" si="1"/>
        <v>702.91395162350511</v>
      </c>
      <c r="D62" s="4">
        <f t="shared" si="2"/>
        <v>-14.409025847966291</v>
      </c>
    </row>
    <row r="63" spans="1:4" x14ac:dyDescent="0.25">
      <c r="A63" s="9">
        <f t="shared" si="3"/>
        <v>0.16690000000000005</v>
      </c>
      <c r="B63" s="3">
        <f t="shared" si="0"/>
        <v>714.14931204560571</v>
      </c>
      <c r="C63" s="2">
        <f t="shared" si="1"/>
        <v>698.56450968844536</v>
      </c>
      <c r="D63" s="4">
        <f t="shared" si="2"/>
        <v>-15.584802357160356</v>
      </c>
    </row>
    <row r="64" spans="1:4" x14ac:dyDescent="0.25">
      <c r="A64" s="9">
        <f t="shared" si="3"/>
        <v>0.16790000000000005</v>
      </c>
      <c r="B64" s="3">
        <f t="shared" si="0"/>
        <v>711.0217555024534</v>
      </c>
      <c r="C64" s="2">
        <f t="shared" si="1"/>
        <v>694.21506775338548</v>
      </c>
      <c r="D64" s="4">
        <f t="shared" si="2"/>
        <v>-16.806687749067919</v>
      </c>
    </row>
    <row r="65" spans="1:4" x14ac:dyDescent="0.25">
      <c r="A65" s="9">
        <f t="shared" si="3"/>
        <v>0.16890000000000005</v>
      </c>
      <c r="B65" s="3">
        <f t="shared" si="0"/>
        <v>707.9403078420147</v>
      </c>
      <c r="C65" s="2">
        <f t="shared" si="1"/>
        <v>689.86562581832573</v>
      </c>
      <c r="D65" s="4">
        <f t="shared" si="2"/>
        <v>-18.074682023688979</v>
      </c>
    </row>
    <row r="66" spans="1:4" x14ac:dyDescent="0.25">
      <c r="A66" s="9">
        <f t="shared" si="3"/>
        <v>0.16990000000000005</v>
      </c>
      <c r="B66" s="3">
        <f t="shared" si="0"/>
        <v>704.90496906428939</v>
      </c>
      <c r="C66" s="2">
        <f t="shared" si="1"/>
        <v>685.51618388326597</v>
      </c>
      <c r="D66" s="4">
        <f t="shared" si="2"/>
        <v>-19.388785181023422</v>
      </c>
    </row>
    <row r="67" spans="1:4" x14ac:dyDescent="0.25">
      <c r="A67" s="9">
        <f t="shared" si="3"/>
        <v>0.17090000000000005</v>
      </c>
      <c r="B67" s="3">
        <f t="shared" si="0"/>
        <v>701.91573916927769</v>
      </c>
      <c r="C67" s="2">
        <f t="shared" si="1"/>
        <v>681.16674194820621</v>
      </c>
      <c r="D67" s="4">
        <f t="shared" si="2"/>
        <v>-20.748997221071477</v>
      </c>
    </row>
    <row r="68" spans="1:4" x14ac:dyDescent="0.25">
      <c r="A68" s="9"/>
    </row>
    <row r="69" spans="1:4" x14ac:dyDescent="0.25">
      <c r="A69" s="9"/>
      <c r="C69" s="18"/>
      <c r="D69" s="4"/>
    </row>
    <row r="70" spans="1:4" x14ac:dyDescent="0.25">
      <c r="A70" s="9"/>
      <c r="C70" s="18"/>
      <c r="D70" s="4"/>
    </row>
    <row r="71" spans="1:4" x14ac:dyDescent="0.25">
      <c r="A71" s="9"/>
    </row>
    <row r="72" spans="1:4" x14ac:dyDescent="0.25">
      <c r="A72" s="9"/>
    </row>
    <row r="73" spans="1:4" x14ac:dyDescent="0.25">
      <c r="A73" s="9"/>
    </row>
    <row r="74" spans="1:4" x14ac:dyDescent="0.25">
      <c r="A74" s="9"/>
    </row>
    <row r="75" spans="1:4" x14ac:dyDescent="0.25">
      <c r="A75" s="9"/>
    </row>
    <row r="76" spans="1:4" x14ac:dyDescent="0.25">
      <c r="A76" s="9"/>
    </row>
    <row r="77" spans="1:4" x14ac:dyDescent="0.25">
      <c r="A77" s="9"/>
    </row>
    <row r="78" spans="1:4" x14ac:dyDescent="0.25">
      <c r="A78" s="9"/>
    </row>
    <row r="79" spans="1:4" x14ac:dyDescent="0.25">
      <c r="A79" s="9"/>
    </row>
    <row r="80" spans="1:4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B96C-E3CF-430D-9155-DDC6653241AA}">
  <dimension ref="A4:K22"/>
  <sheetViews>
    <sheetView tabSelected="1" zoomScale="115" zoomScaleNormal="115" workbookViewId="0">
      <selection activeCell="J8" sqref="J8"/>
    </sheetView>
  </sheetViews>
  <sheetFormatPr defaultRowHeight="15" x14ac:dyDescent="0.25"/>
  <cols>
    <col min="2" max="2" width="5.42578125" style="1" bestFit="1" customWidth="1"/>
    <col min="3" max="3" width="13.5703125" bestFit="1" customWidth="1"/>
    <col min="4" max="4" width="12.7109375" bestFit="1" customWidth="1"/>
    <col min="5" max="5" width="13.7109375" bestFit="1" customWidth="1"/>
    <col min="6" max="6" width="16" bestFit="1" customWidth="1"/>
    <col min="7" max="7" width="14" bestFit="1" customWidth="1"/>
    <col min="8" max="8" width="13.85546875" bestFit="1" customWidth="1"/>
  </cols>
  <sheetData>
    <row r="4" spans="1:11" x14ac:dyDescent="0.25">
      <c r="B4" s="1" t="s">
        <v>0</v>
      </c>
      <c r="C4" s="1" t="s">
        <v>1</v>
      </c>
      <c r="D4" t="s">
        <v>2</v>
      </c>
      <c r="E4" t="s">
        <v>3</v>
      </c>
      <c r="F4" t="s">
        <v>41</v>
      </c>
      <c r="G4" t="s">
        <v>5</v>
      </c>
      <c r="H4" t="s">
        <v>25</v>
      </c>
    </row>
    <row r="5" spans="1:11" x14ac:dyDescent="0.25">
      <c r="A5">
        <v>2026</v>
      </c>
      <c r="B5" s="1">
        <v>0</v>
      </c>
      <c r="C5" s="2">
        <v>0</v>
      </c>
      <c r="D5" s="3">
        <v>0</v>
      </c>
      <c r="E5" s="4">
        <f>C5</f>
        <v>0</v>
      </c>
      <c r="F5" s="4">
        <f>E5/(1.1409)^B5</f>
        <v>0</v>
      </c>
      <c r="G5" s="4">
        <f>F5*B5</f>
        <v>0</v>
      </c>
      <c r="H5" s="4">
        <f>F5*B5*(B5+1)</f>
        <v>0</v>
      </c>
      <c r="J5" t="s">
        <v>42</v>
      </c>
      <c r="K5">
        <v>0.43538683572196463</v>
      </c>
    </row>
    <row r="6" spans="1:11" x14ac:dyDescent="0.25">
      <c r="A6">
        <v>2027</v>
      </c>
      <c r="B6" s="1">
        <f>B5+K5</f>
        <v>0.43538683572196463</v>
      </c>
      <c r="C6" s="2">
        <f>48.81*2</f>
        <v>97.62</v>
      </c>
      <c r="D6" s="3">
        <v>0</v>
      </c>
      <c r="E6" s="4">
        <f>C6+D6</f>
        <v>97.62</v>
      </c>
      <c r="F6" s="4">
        <f>E6/(1.1409)^B6</f>
        <v>92.175172822792604</v>
      </c>
      <c r="G6" s="4">
        <f t="shared" ref="G6:G16" si="0">F6*B6</f>
        <v>40.131856827440899</v>
      </c>
      <c r="H6" s="4">
        <f t="shared" ref="H6:H16" si="1">F6*B6*(B6+1)</f>
        <v>57.60473898318731</v>
      </c>
    </row>
    <row r="7" spans="1:11" x14ac:dyDescent="0.25">
      <c r="A7">
        <v>2028</v>
      </c>
      <c r="B7" s="1">
        <f>B6+1</f>
        <v>1.4353868357219646</v>
      </c>
      <c r="C7" s="2">
        <f t="shared" ref="C7:C15" si="2">48.81*2</f>
        <v>97.62</v>
      </c>
      <c r="D7" s="3">
        <v>0</v>
      </c>
      <c r="E7" s="4">
        <f>C7+D7</f>
        <v>97.62</v>
      </c>
      <c r="F7" s="4">
        <f t="shared" ref="F7:F16" si="3">E7/(1.1409)^B7</f>
        <v>80.791631889554395</v>
      </c>
      <c r="G7" s="4">
        <f t="shared" si="0"/>
        <v>115.96724485076125</v>
      </c>
      <c r="H7" s="4">
        <f t="shared" si="1"/>
        <v>282.42510148448974</v>
      </c>
    </row>
    <row r="8" spans="1:11" x14ac:dyDescent="0.25">
      <c r="A8">
        <v>2029</v>
      </c>
      <c r="B8" s="1">
        <f t="shared" ref="B8:B16" si="4">B7+1</f>
        <v>2.4353868357219648</v>
      </c>
      <c r="C8" s="2">
        <f t="shared" si="2"/>
        <v>97.62</v>
      </c>
      <c r="D8" s="3">
        <v>0</v>
      </c>
      <c r="E8" s="4">
        <f t="shared" ref="E8:E14" si="5">C8+D8</f>
        <v>97.62</v>
      </c>
      <c r="F8" s="4">
        <f t="shared" si="3"/>
        <v>70.813946787233235</v>
      </c>
      <c r="G8" s="4">
        <f t="shared" si="0"/>
        <v>172.45935379114354</v>
      </c>
      <c r="H8" s="4">
        <f t="shared" si="1"/>
        <v>592.46459371121148</v>
      </c>
    </row>
    <row r="9" spans="1:11" x14ac:dyDescent="0.25">
      <c r="A9">
        <v>2030</v>
      </c>
      <c r="B9" s="1">
        <f t="shared" si="4"/>
        <v>3.4353868357219648</v>
      </c>
      <c r="C9" s="2">
        <f t="shared" si="2"/>
        <v>97.62</v>
      </c>
      <c r="D9" s="3">
        <v>0</v>
      </c>
      <c r="E9" s="4">
        <f t="shared" si="5"/>
        <v>97.62</v>
      </c>
      <c r="F9" s="4">
        <f t="shared" si="3"/>
        <v>62.068495737780026</v>
      </c>
      <c r="G9" s="4">
        <f t="shared" si="0"/>
        <v>213.22929317063438</v>
      </c>
      <c r="H9" s="4">
        <f t="shared" si="1"/>
        <v>945.75439991933115</v>
      </c>
    </row>
    <row r="10" spans="1:11" x14ac:dyDescent="0.25">
      <c r="A10">
        <v>2031</v>
      </c>
      <c r="B10" s="1">
        <f t="shared" si="4"/>
        <v>4.4353868357219648</v>
      </c>
      <c r="C10" s="2">
        <f t="shared" si="2"/>
        <v>97.62</v>
      </c>
      <c r="D10" s="3">
        <v>0</v>
      </c>
      <c r="E10" s="4">
        <f t="shared" si="5"/>
        <v>97.62</v>
      </c>
      <c r="F10" s="4">
        <f t="shared" si="3"/>
        <v>54.403099077728129</v>
      </c>
      <c r="G10" s="4">
        <f t="shared" si="0"/>
        <v>241.29878947183312</v>
      </c>
      <c r="H10" s="4">
        <f t="shared" si="1"/>
        <v>1311.5522637708475</v>
      </c>
    </row>
    <row r="11" spans="1:11" x14ac:dyDescent="0.25">
      <c r="A11">
        <v>2032</v>
      </c>
      <c r="B11" s="1">
        <f t="shared" si="4"/>
        <v>5.4353868357219648</v>
      </c>
      <c r="C11" s="2">
        <f t="shared" si="2"/>
        <v>97.62</v>
      </c>
      <c r="D11" s="3">
        <v>0</v>
      </c>
      <c r="E11" s="4">
        <f t="shared" si="5"/>
        <v>97.62</v>
      </c>
      <c r="F11" s="4">
        <f t="shared" si="3"/>
        <v>47.684371178655553</v>
      </c>
      <c r="G11" s="4">
        <f t="shared" si="0"/>
        <v>259.18300337414428</v>
      </c>
      <c r="H11" s="4">
        <f t="shared" si="1"/>
        <v>1667.9428879568497</v>
      </c>
    </row>
    <row r="12" spans="1:11" x14ac:dyDescent="0.25">
      <c r="A12">
        <v>2033</v>
      </c>
      <c r="B12" s="1">
        <f t="shared" si="4"/>
        <v>6.4353868357219648</v>
      </c>
      <c r="C12" s="2">
        <f t="shared" si="2"/>
        <v>97.62</v>
      </c>
      <c r="D12" s="3">
        <v>0</v>
      </c>
      <c r="E12" s="4">
        <f t="shared" si="5"/>
        <v>97.62</v>
      </c>
      <c r="F12" s="4">
        <f t="shared" si="3"/>
        <v>41.795399402800911</v>
      </c>
      <c r="G12" s="4">
        <f t="shared" si="0"/>
        <v>268.96956311052662</v>
      </c>
      <c r="H12" s="4">
        <f t="shared" si="1"/>
        <v>1999.8927487618978</v>
      </c>
    </row>
    <row r="13" spans="1:11" x14ac:dyDescent="0.25">
      <c r="A13">
        <v>2034</v>
      </c>
      <c r="B13" s="1">
        <f t="shared" si="4"/>
        <v>7.4353868357219648</v>
      </c>
      <c r="C13" s="2">
        <f t="shared" si="2"/>
        <v>97.62</v>
      </c>
      <c r="D13" s="3">
        <v>0</v>
      </c>
      <c r="E13" s="4">
        <f t="shared" si="5"/>
        <v>97.62</v>
      </c>
      <c r="F13" s="4">
        <f t="shared" si="3"/>
        <v>36.633709705321152</v>
      </c>
      <c r="G13" s="4">
        <f t="shared" si="0"/>
        <v>272.38580288660489</v>
      </c>
      <c r="H13" s="4">
        <f t="shared" si="1"/>
        <v>2297.6796159072246</v>
      </c>
    </row>
    <row r="14" spans="1:11" x14ac:dyDescent="0.25">
      <c r="A14">
        <v>2035</v>
      </c>
      <c r="B14" s="1">
        <f t="shared" si="4"/>
        <v>8.4353868357219639</v>
      </c>
      <c r="C14" s="2">
        <f t="shared" si="2"/>
        <v>97.62</v>
      </c>
      <c r="D14" s="3">
        <v>0</v>
      </c>
      <c r="E14" s="4">
        <f t="shared" si="5"/>
        <v>97.62</v>
      </c>
      <c r="F14" s="4">
        <f t="shared" si="3"/>
        <v>32.109483482620007</v>
      </c>
      <c r="G14" s="4">
        <f t="shared" si="0"/>
        <v>270.85591427112467</v>
      </c>
      <c r="H14" s="4">
        <f t="shared" si="1"/>
        <v>2555.6303278912064</v>
      </c>
    </row>
    <row r="15" spans="1:11" x14ac:dyDescent="0.25">
      <c r="A15">
        <v>2036</v>
      </c>
      <c r="B15" s="1">
        <f t="shared" si="4"/>
        <v>9.4353868357219639</v>
      </c>
      <c r="C15" s="2">
        <f t="shared" si="2"/>
        <v>97.62</v>
      </c>
      <c r="D15" s="3">
        <v>0</v>
      </c>
      <c r="E15" s="4">
        <f>C15+D15</f>
        <v>97.62</v>
      </c>
      <c r="F15" s="4">
        <f t="shared" si="3"/>
        <v>28.143994638110268</v>
      </c>
      <c r="G15" s="4">
        <f t="shared" si="0"/>
        <v>265.54947651305514</v>
      </c>
      <c r="H15" s="4">
        <f t="shared" si="1"/>
        <v>2771.1115114371946</v>
      </c>
    </row>
    <row r="16" spans="1:11" x14ac:dyDescent="0.25">
      <c r="A16">
        <v>2037</v>
      </c>
      <c r="B16" s="1">
        <f t="shared" si="4"/>
        <v>10.435386835721964</v>
      </c>
      <c r="C16" s="2">
        <f>48.81</f>
        <v>48.81</v>
      </c>
      <c r="D16" s="3">
        <v>1000</v>
      </c>
      <c r="E16" s="4">
        <f>C16+D16</f>
        <v>1048.81</v>
      </c>
      <c r="F16" s="4">
        <f t="shared" si="3"/>
        <v>265.03069501139498</v>
      </c>
      <c r="G16" s="4">
        <f t="shared" si="0"/>
        <v>2765.6978257841538</v>
      </c>
      <c r="H16" s="4">
        <f t="shared" si="1"/>
        <v>31626.824508556969</v>
      </c>
    </row>
    <row r="18" spans="6:8" x14ac:dyDescent="0.25">
      <c r="F18" s="4">
        <f>SUM(F5:F16)</f>
        <v>811.64999973399131</v>
      </c>
      <c r="G18" s="4">
        <f>SUM(G5:G16)</f>
        <v>4885.7281240514221</v>
      </c>
      <c r="H18" s="4">
        <f>SUM(H5:H16)</f>
        <v>46108.88269838041</v>
      </c>
    </row>
    <row r="20" spans="6:8" x14ac:dyDescent="0.25">
      <c r="F20" t="s">
        <v>6</v>
      </c>
      <c r="G20">
        <f>G18/F18</f>
        <v>6.0195011712593631</v>
      </c>
    </row>
    <row r="21" spans="6:8" x14ac:dyDescent="0.25">
      <c r="F21" t="s">
        <v>37</v>
      </c>
      <c r="G21">
        <f>-G20/(1.1233)</f>
        <v>-5.3587653977204335</v>
      </c>
    </row>
    <row r="22" spans="6:8" x14ac:dyDescent="0.25">
      <c r="F22" t="s">
        <v>26</v>
      </c>
      <c r="H22">
        <f>H18/F18</f>
        <v>56.808824879556525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A789-0EDA-4158-A9EA-FE81E93B62AD}">
  <dimension ref="A1:H19"/>
  <sheetViews>
    <sheetView topLeftCell="A10" zoomScale="145" zoomScaleNormal="145" workbookViewId="0">
      <selection activeCell="D19" sqref="D19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7109375" bestFit="1" customWidth="1"/>
    <col min="5" max="5" width="12.28515625" bestFit="1" customWidth="1"/>
    <col min="6" max="6" width="12.140625" bestFit="1" customWidth="1"/>
    <col min="7" max="7" width="13.28515625" bestFit="1" customWidth="1"/>
  </cols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7" x14ac:dyDescent="0.25">
      <c r="A2" s="1">
        <v>1</v>
      </c>
      <c r="B2" s="2">
        <v>100</v>
      </c>
      <c r="C2" s="3">
        <v>0</v>
      </c>
      <c r="D2" s="4">
        <f>B2+C2</f>
        <v>100</v>
      </c>
      <c r="E2" s="4">
        <f>D2/(1.08)^A2</f>
        <v>92.592592592592581</v>
      </c>
      <c r="F2" s="4">
        <f>E2*A2</f>
        <v>92.592592592592581</v>
      </c>
      <c r="G2" s="4">
        <f>E2*A2*(A2+1)</f>
        <v>185.18518518518516</v>
      </c>
    </row>
    <row r="3" spans="1:7" x14ac:dyDescent="0.25">
      <c r="A3" s="1">
        <v>2</v>
      </c>
      <c r="B3" s="2">
        <v>100</v>
      </c>
      <c r="C3" s="3">
        <v>0</v>
      </c>
      <c r="D3" s="4">
        <f t="shared" ref="D3:D9" si="0">B3+C3</f>
        <v>100</v>
      </c>
      <c r="E3" s="4">
        <f t="shared" ref="E3:E9" si="1">D3/(1.08)^A3</f>
        <v>85.733882030178322</v>
      </c>
      <c r="F3" s="4">
        <f t="shared" ref="F3:F9" si="2">E3*A3</f>
        <v>171.46776406035664</v>
      </c>
      <c r="G3" s="4">
        <f t="shared" ref="G3:G9" si="3">E3*A3*(A3+1)</f>
        <v>514.4032921810699</v>
      </c>
    </row>
    <row r="4" spans="1:7" x14ac:dyDescent="0.25">
      <c r="A4" s="1">
        <v>3</v>
      </c>
      <c r="B4" s="2">
        <v>100</v>
      </c>
      <c r="C4" s="3">
        <v>0</v>
      </c>
      <c r="D4" s="4">
        <f t="shared" si="0"/>
        <v>100</v>
      </c>
      <c r="E4" s="4">
        <f t="shared" si="1"/>
        <v>79.383224102016953</v>
      </c>
      <c r="F4" s="4">
        <f t="shared" si="2"/>
        <v>238.14967230605086</v>
      </c>
      <c r="G4" s="4">
        <f t="shared" si="3"/>
        <v>952.59868922420344</v>
      </c>
    </row>
    <row r="5" spans="1:7" x14ac:dyDescent="0.25">
      <c r="A5" s="1">
        <v>4</v>
      </c>
      <c r="B5" s="2">
        <v>100</v>
      </c>
      <c r="C5" s="3">
        <v>0</v>
      </c>
      <c r="D5" s="4">
        <f t="shared" si="0"/>
        <v>100</v>
      </c>
      <c r="E5" s="4">
        <f t="shared" si="1"/>
        <v>73.50298527964533</v>
      </c>
      <c r="F5" s="4">
        <f t="shared" si="2"/>
        <v>294.01194111858132</v>
      </c>
      <c r="G5" s="4">
        <f t="shared" si="3"/>
        <v>1470.0597055929065</v>
      </c>
    </row>
    <row r="6" spans="1:7" x14ac:dyDescent="0.25">
      <c r="A6" s="1">
        <v>5</v>
      </c>
      <c r="B6" s="2">
        <v>100</v>
      </c>
      <c r="C6" s="3">
        <v>0</v>
      </c>
      <c r="D6" s="4">
        <f t="shared" si="0"/>
        <v>100</v>
      </c>
      <c r="E6" s="4">
        <f t="shared" si="1"/>
        <v>68.058319703375304</v>
      </c>
      <c r="F6" s="4">
        <f t="shared" si="2"/>
        <v>340.29159851687655</v>
      </c>
      <c r="G6" s="4">
        <f t="shared" si="3"/>
        <v>2041.7495911012593</v>
      </c>
    </row>
    <row r="7" spans="1:7" x14ac:dyDescent="0.25">
      <c r="A7" s="1">
        <v>6</v>
      </c>
      <c r="B7" s="2">
        <v>100</v>
      </c>
      <c r="C7" s="3">
        <v>0</v>
      </c>
      <c r="D7" s="4">
        <f t="shared" si="0"/>
        <v>100</v>
      </c>
      <c r="E7" s="4">
        <f t="shared" si="1"/>
        <v>63.016962688310457</v>
      </c>
      <c r="F7" s="4">
        <f t="shared" si="2"/>
        <v>378.10177612986274</v>
      </c>
      <c r="G7" s="4">
        <f t="shared" si="3"/>
        <v>2646.7124329090393</v>
      </c>
    </row>
    <row r="8" spans="1:7" x14ac:dyDescent="0.25">
      <c r="A8" s="1">
        <v>7</v>
      </c>
      <c r="B8" s="2">
        <v>100</v>
      </c>
      <c r="C8" s="3">
        <v>0</v>
      </c>
      <c r="D8" s="4">
        <f t="shared" si="0"/>
        <v>100</v>
      </c>
      <c r="E8" s="4">
        <f t="shared" si="1"/>
        <v>58.349039526213382</v>
      </c>
      <c r="F8" s="4">
        <f t="shared" si="2"/>
        <v>408.44327668349365</v>
      </c>
      <c r="G8" s="4">
        <f t="shared" si="3"/>
        <v>3267.5462134679492</v>
      </c>
    </row>
    <row r="9" spans="1:7" x14ac:dyDescent="0.25">
      <c r="A9" s="1">
        <v>8</v>
      </c>
      <c r="B9" s="2">
        <v>100</v>
      </c>
      <c r="C9" s="3">
        <v>1000</v>
      </c>
      <c r="D9" s="4">
        <f t="shared" si="0"/>
        <v>1100</v>
      </c>
      <c r="E9" s="4">
        <f t="shared" si="1"/>
        <v>594.29577295217337</v>
      </c>
      <c r="F9" s="4">
        <f t="shared" si="2"/>
        <v>4754.3661836173869</v>
      </c>
      <c r="G9" s="4">
        <f t="shared" si="3"/>
        <v>42789.29565255648</v>
      </c>
    </row>
    <row r="10" spans="1:7" x14ac:dyDescent="0.25">
      <c r="B10" s="1"/>
    </row>
    <row r="11" spans="1:7" x14ac:dyDescent="0.25">
      <c r="B11" s="1"/>
      <c r="E11" s="4">
        <f>SUM(E2:E9)</f>
        <v>1114.9327788745056</v>
      </c>
      <c r="F11" s="4">
        <f>SUM(F2:F9)</f>
        <v>6677.4248050252008</v>
      </c>
      <c r="G11" s="4">
        <f>SUM(G2:G9)</f>
        <v>53867.550762218088</v>
      </c>
    </row>
    <row r="12" spans="1:7" x14ac:dyDescent="0.25">
      <c r="B12" s="1"/>
    </row>
    <row r="13" spans="1:7" x14ac:dyDescent="0.25">
      <c r="B13" s="1"/>
      <c r="E13" t="s">
        <v>6</v>
      </c>
      <c r="F13" s="7">
        <f>F11/E11</f>
        <v>5.989082868086343</v>
      </c>
    </row>
    <row r="14" spans="1:7" x14ac:dyDescent="0.25">
      <c r="E14" t="s">
        <v>26</v>
      </c>
      <c r="G14" s="7">
        <f>G11/E11</f>
        <v>48.31461751137671</v>
      </c>
    </row>
    <row r="15" spans="1:7" x14ac:dyDescent="0.25">
      <c r="E15" t="s">
        <v>8</v>
      </c>
      <c r="F15" s="7">
        <f>-F13/1.08</f>
        <v>-5.5454471000799472</v>
      </c>
    </row>
    <row r="17" spans="4:8" x14ac:dyDescent="0.25">
      <c r="D17" s="13">
        <f>(F17-$E$11)/$E$11</f>
        <v>-0.10308494023337188</v>
      </c>
      <c r="E17" t="s">
        <v>35</v>
      </c>
      <c r="F17" s="3">
        <v>1000</v>
      </c>
    </row>
    <row r="18" spans="4:8" x14ac:dyDescent="0.25">
      <c r="D18" s="13">
        <f t="shared" ref="D18:D19" si="4">(F18-$E$11)/$E$11</f>
        <v>-0.11090894200159898</v>
      </c>
      <c r="E18" t="s">
        <v>6</v>
      </c>
      <c r="F18" s="4">
        <f>E11+F15*2%*E11</f>
        <v>991.27676396663151</v>
      </c>
      <c r="G18" s="4">
        <f>F18-F17</f>
        <v>-8.7232360333684937</v>
      </c>
      <c r="H18" t="s">
        <v>30</v>
      </c>
    </row>
    <row r="19" spans="4:8" x14ac:dyDescent="0.25">
      <c r="D19" s="13">
        <f t="shared" si="4"/>
        <v>-0.10124601849932367</v>
      </c>
      <c r="E19" t="s">
        <v>33</v>
      </c>
      <c r="F19" s="4">
        <f>F18+(G14/2)*(0.02)^2*E11</f>
        <v>1002.0502741190751</v>
      </c>
      <c r="G19" s="4">
        <f>F19-F17</f>
        <v>2.0502741190750839</v>
      </c>
      <c r="H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 1 = Cupom</vt:lpstr>
      <vt:lpstr>Ex 1 = Vencimento</vt:lpstr>
      <vt:lpstr>Exemplo 2</vt:lpstr>
      <vt:lpstr>Exemplo 2 + 3</vt:lpstr>
      <vt:lpstr>Exercício</vt:lpstr>
      <vt:lpstr>Convexidade</vt:lpstr>
      <vt:lpstr>Estimando a curva</vt:lpstr>
      <vt:lpstr>Exercicio NTN-F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2024-07-16T23:59:42Z</dcterms:created>
  <dcterms:modified xsi:type="dcterms:W3CDTF">2026-09-09T01:04:32Z</dcterms:modified>
</cp:coreProperties>
</file>