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COPPEAD Renda Fixa\"/>
    </mc:Choice>
  </mc:AlternateContent>
  <xr:revisionPtr revIDLastSave="0" documentId="13_ncr:1_{127B62DD-2185-48E3-92A0-829C9859A7F7}" xr6:coauthVersionLast="47" xr6:coauthVersionMax="47" xr10:uidLastSave="{00000000-0000-0000-0000-000000000000}"/>
  <bookViews>
    <workbookView xWindow="-120" yWindow="-120" windowWidth="20640" windowHeight="11760" activeTab="4" xr2:uid="{7B5783BC-5664-4CE5-8616-5A120AC9E1EA}"/>
  </bookViews>
  <sheets>
    <sheet name="Sheet1" sheetId="1" r:id="rId1"/>
    <sheet name="Sheet2" sheetId="2" r:id="rId2"/>
    <sheet name="Sheet3" sheetId="5" r:id="rId3"/>
    <sheet name="Sheet4" sheetId="4" r:id="rId4"/>
    <sheet name="Sheet5" sheetId="6" r:id="rId5"/>
  </sheets>
  <definedNames>
    <definedName name="solver_adj" localSheetId="0" hidden="1">Sheet1!$L$1</definedName>
    <definedName name="solver_adj" localSheetId="1" hidden="1">Sheet2!$B$10</definedName>
    <definedName name="solver_adj" localSheetId="4" hidden="1">Sheet5!$B$1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)</definedName>
    <definedName name="solver_cvg" localSheetId="1" hidden="1">"""""""0,0001"""""""</definedName>
    <definedName name="solver_cvg" localSheetId="4" hidden="1">"""""""0,0001"""""""</definedName>
    <definedName name="solver_drv" localSheetId="0" hidden="1">1</definedName>
    <definedName name="solver_drv" localSheetId="1" hidden="1">1</definedName>
    <definedName name="solver_drv" localSheetId="4" hidden="1">2</definedName>
    <definedName name="solver_eng" localSheetId="0" hidden="1">1</definedName>
    <definedName name="solver_eng" localSheetId="1" hidden="1">1</definedName>
    <definedName name="solver_eng" localSheetId="4" hidden="1">1</definedName>
    <definedName name="solver_est" localSheetId="0" hidden="1">1</definedName>
    <definedName name="solver_est" localSheetId="1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4" hidden="1">2147483647</definedName>
    <definedName name="solver_lhs1" localSheetId="0" hidden="1">Sheet1!$L$9</definedName>
    <definedName name="solver_lhs1" localSheetId="1" hidden="1">Sheet2!$B$13</definedName>
    <definedName name="solver_lhs1" localSheetId="4" hidden="1">Sheet5!$B$9</definedName>
    <definedName name="solver_mip" localSheetId="0" hidden="1">2147483647</definedName>
    <definedName name="solver_mip" localSheetId="1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4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mrt" localSheetId="1" hidden="1">"""""""0,075"""""""</definedName>
    <definedName name="solver_mrt" localSheetId="4" hidden="1">"""""""0,075"""""""</definedName>
    <definedName name="solver_msl" localSheetId="0" hidden="1">2</definedName>
    <definedName name="solver_msl" localSheetId="1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4" hidden="1">2147483647</definedName>
    <definedName name="solver_num" localSheetId="0" hidden="1">1</definedName>
    <definedName name="solver_num" localSheetId="1" hidden="1">1</definedName>
    <definedName name="solver_num" localSheetId="4" hidden="1">1</definedName>
    <definedName name="solver_nwt" localSheetId="0" hidden="1">1</definedName>
    <definedName name="solver_nwt" localSheetId="1" hidden="1">1</definedName>
    <definedName name="solver_nwt" localSheetId="4" hidden="1">1</definedName>
    <definedName name="solver_opt" localSheetId="0" hidden="1">Sheet1!$L$9</definedName>
    <definedName name="solver_opt" localSheetId="1" hidden="1">Sheet2!$B$13</definedName>
    <definedName name="solver_opt" localSheetId="4" hidden="1">Sheet5!$B$9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pre" localSheetId="1" hidden="1">"""""""0,000001"""""""</definedName>
    <definedName name="solver_pre" localSheetId="4" hidden="1">"""""""0,000001"""""""</definedName>
    <definedName name="solver_rbv" localSheetId="0" hidden="1">1</definedName>
    <definedName name="solver_rbv" localSheetId="1" hidden="1">1</definedName>
    <definedName name="solver_rbv" localSheetId="4" hidden="1">2</definedName>
    <definedName name="solver_rel1" localSheetId="0" hidden="1">2</definedName>
    <definedName name="solver_rel1" localSheetId="1" hidden="1">2</definedName>
    <definedName name="solver_rel1" localSheetId="4" hidden="1">2</definedName>
    <definedName name="solver_rhs1" localSheetId="0" hidden="1">Sheet1!$M$9</definedName>
    <definedName name="solver_rhs1" localSheetId="1" hidden="1">Sheet2!$B$14</definedName>
    <definedName name="solver_rhs1" localSheetId="4" hidden="1">Sheet5!$C$9</definedName>
    <definedName name="solver_rlx" localSheetId="0" hidden="1">2</definedName>
    <definedName name="solver_rlx" localSheetId="1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4" hidden="1">2</definedName>
    <definedName name="solver_sho" localSheetId="0" hidden="1">2</definedName>
    <definedName name="solver_sho" localSheetId="1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4" hidden="1">2147483647</definedName>
    <definedName name="solver_tol" localSheetId="0" hidden="1">1</definedName>
    <definedName name="solver_tol" localSheetId="1" hidden="1">1</definedName>
    <definedName name="solver_tol" localSheetId="4" hidden="1">1</definedName>
    <definedName name="solver_typ" localSheetId="0" hidden="1">1</definedName>
    <definedName name="solver_typ" localSheetId="1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7" i="6" s="1"/>
  <c r="B6" i="6"/>
  <c r="C8" i="4"/>
  <c r="B8" i="4"/>
  <c r="C7" i="4"/>
  <c r="B7" i="4"/>
  <c r="B5" i="4"/>
  <c r="B2" i="4"/>
  <c r="C12" i="2"/>
  <c r="B12" i="2"/>
  <c r="L7" i="1"/>
  <c r="L6" i="1"/>
  <c r="C9" i="1"/>
  <c r="B14" i="2"/>
  <c r="D12" i="2"/>
  <c r="E12" i="2"/>
  <c r="F12" i="2"/>
  <c r="G12" i="2"/>
  <c r="H12" i="2"/>
  <c r="C7" i="2"/>
  <c r="D7" i="2"/>
  <c r="E7" i="2"/>
  <c r="F7" i="2"/>
  <c r="G7" i="2"/>
  <c r="H7" i="2"/>
  <c r="B7" i="2"/>
  <c r="D4" i="2"/>
  <c r="C4" i="2"/>
  <c r="B4" i="2"/>
  <c r="H3" i="2"/>
  <c r="C3" i="2"/>
  <c r="D3" i="2"/>
  <c r="E3" i="2"/>
  <c r="F3" i="2"/>
  <c r="G3" i="2"/>
  <c r="B3" i="2"/>
  <c r="E2" i="2"/>
  <c r="F2" i="2" s="1"/>
  <c r="D2" i="2"/>
  <c r="C2" i="2"/>
  <c r="B2" i="2"/>
  <c r="B7" i="1"/>
  <c r="B6" i="1"/>
  <c r="B9" i="6" l="1"/>
  <c r="B9" i="1"/>
  <c r="B13" i="2"/>
  <c r="L9" i="1"/>
</calcChain>
</file>

<file path=xl/sharedStrings.xml><?xml version="1.0" encoding="utf-8"?>
<sst xmlns="http://schemas.openxmlformats.org/spreadsheetml/2006/main" count="35" uniqueCount="19">
  <si>
    <t>VF</t>
  </si>
  <si>
    <t>Cupom</t>
  </si>
  <si>
    <t>tempo</t>
  </si>
  <si>
    <t>YTM</t>
  </si>
  <si>
    <t>VP Face</t>
  </si>
  <si>
    <t>VP Cupons</t>
  </si>
  <si>
    <t>Total</t>
  </si>
  <si>
    <t>A</t>
  </si>
  <si>
    <t>B</t>
  </si>
  <si>
    <t>C</t>
  </si>
  <si>
    <t>FC</t>
  </si>
  <si>
    <t>VP</t>
  </si>
  <si>
    <t>Soma VP</t>
  </si>
  <si>
    <t>Soma dos Preços</t>
  </si>
  <si>
    <t>Ano 0</t>
  </si>
  <si>
    <t>VM</t>
  </si>
  <si>
    <t>Ano 10</t>
  </si>
  <si>
    <t>Rentab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</si>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</sst>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44" fontId="0" fillId="0" borderId="0" xfId="1" applyFont="1"/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0" xfId="0" applyFill="1"/>
    <xf numFmtId="10" fontId="0" fillId="2" borderId="0" xfId="0" applyNumberFormat="1" applyFill="1"/>
    <xf numFmtId="44" fontId="0" fillId="0" borderId="1" xfId="0" applyNumberFormat="1" applyBorder="1"/>
    <xf numFmtId="0" fontId="0" fillId="3" borderId="1" xfId="0" applyFill="1" applyBorder="1"/>
    <xf numFmtId="44" fontId="0" fillId="3" borderId="1" xfId="0" applyNumberFormat="1" applyFill="1" applyBorder="1"/>
    <xf numFmtId="44" fontId="0" fillId="3" borderId="1" xfId="1" applyFont="1" applyFill="1" applyBorder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A239-4CA3-421B-BD05-5893684D9A32}">
  <dimension ref="A1:Q9"/>
  <sheetViews>
    <sheetView topLeftCell="H1" zoomScale="205" zoomScaleNormal="205" workbookViewId="0">
      <selection activeCell="K1" sqref="K1:M9"/>
    </sheetView>
  </sheetViews>
  <sheetFormatPr defaultRowHeight="15" x14ac:dyDescent="0.25"/>
  <cols>
    <col min="1" max="1" width="10.42578125" bestFit="1" customWidth="1"/>
    <col min="11" max="11" width="10.42578125" bestFit="1" customWidth="1"/>
    <col min="12" max="12" width="12" bestFit="1" customWidth="1"/>
    <col min="15" max="15" width="10.42578125" bestFit="1" customWidth="1"/>
  </cols>
  <sheetData>
    <row r="1" spans="1:17" x14ac:dyDescent="0.25">
      <c r="A1" t="s">
        <v>3</v>
      </c>
      <c r="B1" s="1">
        <v>0.10504547993066078</v>
      </c>
      <c r="C1" s="1"/>
      <c r="D1" s="1"/>
      <c r="E1" s="1"/>
      <c r="F1" s="1"/>
      <c r="G1" s="1"/>
      <c r="H1" s="1"/>
      <c r="I1" s="1"/>
      <c r="K1" t="s">
        <v>3</v>
      </c>
      <c r="L1" s="1">
        <v>0.12380233799753355</v>
      </c>
      <c r="P1" s="1"/>
      <c r="Q1" s="1"/>
    </row>
    <row r="2" spans="1:17" x14ac:dyDescent="0.25">
      <c r="A2" t="s">
        <v>0</v>
      </c>
      <c r="B2">
        <v>100</v>
      </c>
      <c r="K2" t="s">
        <v>0</v>
      </c>
      <c r="L2">
        <v>1000</v>
      </c>
    </row>
    <row r="3" spans="1:17" x14ac:dyDescent="0.25">
      <c r="A3" t="s">
        <v>1</v>
      </c>
      <c r="B3">
        <v>7</v>
      </c>
      <c r="K3" t="s">
        <v>1</v>
      </c>
      <c r="L3">
        <v>100</v>
      </c>
    </row>
    <row r="4" spans="1:17" x14ac:dyDescent="0.25">
      <c r="A4" t="s">
        <v>2</v>
      </c>
      <c r="B4">
        <v>12</v>
      </c>
      <c r="K4" t="s">
        <v>2</v>
      </c>
      <c r="L4">
        <v>5</v>
      </c>
    </row>
    <row r="6" spans="1:17" x14ac:dyDescent="0.25">
      <c r="A6" t="s">
        <v>4</v>
      </c>
      <c r="B6">
        <f>(B2/((1+B1)^B4))</f>
        <v>30.160474531401732</v>
      </c>
      <c r="K6" t="s">
        <v>4</v>
      </c>
      <c r="L6">
        <f>(L2/((1+L1)^L4))</f>
        <v>557.89226949315491</v>
      </c>
    </row>
    <row r="7" spans="1:17" x14ac:dyDescent="0.25">
      <c r="A7" t="s">
        <v>5</v>
      </c>
      <c r="B7">
        <f>B3*((1-(1/((1+B1)^B4)))/B1)</f>
        <v>46.539525413457987</v>
      </c>
      <c r="K7" t="s">
        <v>5</v>
      </c>
      <c r="L7">
        <f>L3*((1-(1/((1+L1)^L4)))/L1)</f>
        <v>357.10773936729117</v>
      </c>
    </row>
    <row r="9" spans="1:17" x14ac:dyDescent="0.25">
      <c r="A9" t="s">
        <v>6</v>
      </c>
      <c r="B9">
        <f>B6+B7</f>
        <v>76.699999944859712</v>
      </c>
      <c r="C9">
        <f>100-23.3</f>
        <v>76.7</v>
      </c>
      <c r="K9" t="s">
        <v>6</v>
      </c>
      <c r="L9">
        <f>L6+L7</f>
        <v>915.00000886044609</v>
      </c>
      <c r="M9">
        <v>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B554-5C5C-4495-AC2A-14BB5A3B1329}">
  <dimension ref="A1:H14"/>
  <sheetViews>
    <sheetView zoomScale="160" zoomScaleNormal="160" workbookViewId="0">
      <selection activeCell="B12" sqref="B12:H12"/>
    </sheetView>
  </sheetViews>
  <sheetFormatPr defaultRowHeight="15" x14ac:dyDescent="0.25"/>
  <cols>
    <col min="1" max="1" width="16.28515625" bestFit="1" customWidth="1"/>
    <col min="2" max="2" width="13.28515625" bestFit="1" customWidth="1"/>
    <col min="3" max="3" width="12.140625" bestFit="1" customWidth="1"/>
    <col min="4" max="4" width="13.28515625" bestFit="1" customWidth="1"/>
    <col min="5" max="5" width="12.140625" bestFit="1" customWidth="1"/>
    <col min="6" max="6" width="13.28515625" bestFit="1" customWidth="1"/>
    <col min="7" max="7" width="12.140625" bestFit="1" customWidth="1"/>
    <col min="8" max="8" width="13.28515625" bestFit="1" customWidth="1"/>
  </cols>
  <sheetData>
    <row r="1" spans="1:8" x14ac:dyDescent="0.25">
      <c r="A1" s="4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</row>
    <row r="2" spans="1:8" x14ac:dyDescent="0.25">
      <c r="A2" s="4" t="s">
        <v>7</v>
      </c>
      <c r="B2" s="5">
        <f>10000*8%</f>
        <v>800</v>
      </c>
      <c r="C2" s="5">
        <f>10000*8%</f>
        <v>800</v>
      </c>
      <c r="D2" s="5">
        <f>10000*8%</f>
        <v>800</v>
      </c>
      <c r="E2" s="5">
        <f>10000*8%</f>
        <v>800</v>
      </c>
      <c r="F2" s="5">
        <f>E2+10000</f>
        <v>10800</v>
      </c>
      <c r="G2" s="5"/>
      <c r="H2" s="5"/>
    </row>
    <row r="3" spans="1:8" x14ac:dyDescent="0.25">
      <c r="A3" s="4" t="s">
        <v>8</v>
      </c>
      <c r="B3" s="5">
        <f>20000*10%</f>
        <v>2000</v>
      </c>
      <c r="C3" s="5">
        <f t="shared" ref="C3:G3" si="0">20000*10%</f>
        <v>2000</v>
      </c>
      <c r="D3" s="5">
        <f t="shared" si="0"/>
        <v>2000</v>
      </c>
      <c r="E3" s="5">
        <f t="shared" si="0"/>
        <v>2000</v>
      </c>
      <c r="F3" s="5">
        <f t="shared" si="0"/>
        <v>2000</v>
      </c>
      <c r="G3" s="5">
        <f t="shared" si="0"/>
        <v>2000</v>
      </c>
      <c r="H3" s="5">
        <f>20000*10%+20000</f>
        <v>22000</v>
      </c>
    </row>
    <row r="4" spans="1:8" x14ac:dyDescent="0.25">
      <c r="A4" s="4" t="s">
        <v>9</v>
      </c>
      <c r="B4" s="5">
        <f>30000*6%</f>
        <v>1800</v>
      </c>
      <c r="C4" s="5">
        <f t="shared" ref="C4" si="1">30000*6%</f>
        <v>1800</v>
      </c>
      <c r="D4" s="5">
        <f>30000*6%+30000</f>
        <v>31800</v>
      </c>
      <c r="E4" s="5"/>
      <c r="F4" s="5"/>
      <c r="G4" s="5"/>
      <c r="H4" s="5"/>
    </row>
    <row r="5" spans="1:8" x14ac:dyDescent="0.25">
      <c r="B5" s="2"/>
      <c r="C5" s="2"/>
      <c r="D5" s="2"/>
      <c r="E5" s="2"/>
      <c r="F5" s="2"/>
      <c r="G5" s="2"/>
      <c r="H5" s="2"/>
    </row>
    <row r="6" spans="1:8" x14ac:dyDescent="0.25">
      <c r="B6" s="2"/>
      <c r="C6" s="2"/>
      <c r="D6" s="2"/>
      <c r="E6" s="2"/>
      <c r="F6" s="2"/>
      <c r="G6" s="2"/>
      <c r="H6" s="2"/>
    </row>
    <row r="7" spans="1:8" x14ac:dyDescent="0.25">
      <c r="A7" s="7" t="s">
        <v>10</v>
      </c>
      <c r="B7" s="3">
        <f>SUM(B2:B4)</f>
        <v>4600</v>
      </c>
      <c r="C7" s="3">
        <f t="shared" ref="C7:H7" si="2">SUM(C2:C4)</f>
        <v>4600</v>
      </c>
      <c r="D7" s="3">
        <f t="shared" si="2"/>
        <v>34600</v>
      </c>
      <c r="E7" s="3">
        <f t="shared" si="2"/>
        <v>2800</v>
      </c>
      <c r="F7" s="3">
        <f t="shared" si="2"/>
        <v>12800</v>
      </c>
      <c r="G7" s="3">
        <f t="shared" si="2"/>
        <v>2000</v>
      </c>
      <c r="H7" s="3">
        <f t="shared" si="2"/>
        <v>22000</v>
      </c>
    </row>
    <row r="10" spans="1:8" x14ac:dyDescent="0.25">
      <c r="A10" s="8" t="s">
        <v>3</v>
      </c>
      <c r="B10" s="9">
        <v>9.5407130327184231E-2</v>
      </c>
    </row>
    <row r="12" spans="1:8" x14ac:dyDescent="0.25">
      <c r="A12" s="7" t="s">
        <v>11</v>
      </c>
      <c r="B12" s="10">
        <f>B7/(1+$B$10)^B1</f>
        <v>4199.3518872074883</v>
      </c>
      <c r="C12" s="10">
        <f>C7/(1+$B$10)^C1</f>
        <v>3833.5991896941509</v>
      </c>
      <c r="D12" s="10">
        <f t="shared" ref="C12:H12" si="3">D7/(1+$B$10)^D1</f>
        <v>26323.850043693637</v>
      </c>
      <c r="E12" s="10">
        <f t="shared" si="3"/>
        <v>1944.714163148687</v>
      </c>
      <c r="F12" s="10">
        <f t="shared" si="3"/>
        <v>8115.81524581125</v>
      </c>
      <c r="G12" s="10">
        <f t="shared" si="3"/>
        <v>1157.6482360300536</v>
      </c>
      <c r="H12" s="10">
        <f t="shared" si="3"/>
        <v>11625.020728619018</v>
      </c>
    </row>
    <row r="13" spans="1:8" x14ac:dyDescent="0.25">
      <c r="A13" s="11" t="s">
        <v>12</v>
      </c>
      <c r="B13" s="12">
        <f>SUM(B12:H12)</f>
        <v>57199.99949420429</v>
      </c>
    </row>
    <row r="14" spans="1:8" x14ac:dyDescent="0.25">
      <c r="A14" s="11" t="s">
        <v>13</v>
      </c>
      <c r="B14" s="13">
        <f>9200+20000+28000</f>
        <v>57200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B0D-F9CD-4E92-8266-40131E4359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859C-BD1A-4AC2-B0A6-A7E822A67A62}">
  <dimension ref="A1:C8"/>
  <sheetViews>
    <sheetView zoomScale="180" zoomScaleNormal="180" workbookViewId="0">
      <selection activeCell="C8" sqref="C8"/>
    </sheetView>
  </sheetViews>
  <sheetFormatPr defaultRowHeight="15" x14ac:dyDescent="0.25"/>
  <sheetData>
    <row r="1" spans="1:3" x14ac:dyDescent="0.25">
      <c r="A1" t="s">
        <v>14</v>
      </c>
    </row>
    <row r="2" spans="1:3" x14ac:dyDescent="0.25">
      <c r="A2" t="s">
        <v>15</v>
      </c>
      <c r="B2">
        <f>1000/1.1^40</f>
        <v>22.094928152179936</v>
      </c>
    </row>
    <row r="4" spans="1:3" x14ac:dyDescent="0.25">
      <c r="A4" t="s">
        <v>16</v>
      </c>
    </row>
    <row r="5" spans="1:3" x14ac:dyDescent="0.25">
      <c r="A5" t="s">
        <v>15</v>
      </c>
      <c r="B5">
        <f>1000/1.09^30</f>
        <v>75.371136128043148</v>
      </c>
    </row>
    <row r="7" spans="1:3" x14ac:dyDescent="0.25">
      <c r="A7" t="s">
        <v>17</v>
      </c>
      <c r="B7">
        <f>B5/B2</f>
        <v>3.4112415124828934</v>
      </c>
      <c r="C7" s="14">
        <f>B7-1</f>
        <v>2.4112415124828934</v>
      </c>
    </row>
    <row r="8" spans="1:3" x14ac:dyDescent="0.25">
      <c r="A8" t="s">
        <v>18</v>
      </c>
      <c r="B8">
        <f>B7^(1/10)</f>
        <v>1.1305538331574043</v>
      </c>
      <c r="C8" s="14">
        <f>B8-1</f>
        <v>0.13055383315740432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4B57-6875-4977-AA62-AD224BFFC38C}">
  <dimension ref="A1:C9"/>
  <sheetViews>
    <sheetView tabSelected="1" workbookViewId="0">
      <selection activeCell="C10" sqref="C10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3</v>
      </c>
      <c r="B1" s="1">
        <v>8.4243994043756487E-2</v>
      </c>
    </row>
    <row r="2" spans="1:3" x14ac:dyDescent="0.25">
      <c r="A2" t="s">
        <v>0</v>
      </c>
      <c r="B2">
        <v>11</v>
      </c>
    </row>
    <row r="3" spans="1:3" x14ac:dyDescent="0.25">
      <c r="A3" t="s">
        <v>1</v>
      </c>
      <c r="B3">
        <f>9%*B2</f>
        <v>0.99</v>
      </c>
    </row>
    <row r="4" spans="1:3" x14ac:dyDescent="0.25">
      <c r="A4" t="s">
        <v>2</v>
      </c>
      <c r="B4">
        <v>5</v>
      </c>
    </row>
    <row r="6" spans="1:3" x14ac:dyDescent="0.25">
      <c r="A6" t="s">
        <v>4</v>
      </c>
      <c r="B6">
        <f>(B2/((1+B1)^B4))</f>
        <v>7.3410394759108382</v>
      </c>
    </row>
    <row r="7" spans="1:3" x14ac:dyDescent="0.25">
      <c r="A7" t="s">
        <v>5</v>
      </c>
      <c r="B7">
        <f>B3*((1-(1/((1+B1)^B4)))/B1)</f>
        <v>3.9089605247939954</v>
      </c>
    </row>
    <row r="9" spans="1:3" x14ac:dyDescent="0.25">
      <c r="A9" t="s">
        <v>6</v>
      </c>
      <c r="B9">
        <f>B6+B7</f>
        <v>11.250000000704834</v>
      </c>
      <c r="C9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2024-07-23T15:37:57Z</dcterms:created>
  <dcterms:modified xsi:type="dcterms:W3CDTF">2026-09-04T00:51:37Z</dcterms:modified>
</cp:coreProperties>
</file>