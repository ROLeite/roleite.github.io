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Alumni COPPEAD Renda Fixa\"/>
    </mc:Choice>
  </mc:AlternateContent>
  <xr:revisionPtr revIDLastSave="0" documentId="8_{BFBE3200-6AEF-4140-893B-18C7F14FD4E3}" xr6:coauthVersionLast="47" xr6:coauthVersionMax="47" xr10:uidLastSave="{00000000-0000-0000-0000-000000000000}"/>
  <bookViews>
    <workbookView xWindow="-120" yWindow="-120" windowWidth="20640" windowHeight="11760" xr2:uid="{F993A359-9F59-4002-800B-EB92E6B863A4}"/>
  </bookViews>
  <sheets>
    <sheet name="Exemplo DI" sheetId="6" r:id="rId1"/>
    <sheet name="Exercício Hora 7" sheetId="4" r:id="rId2"/>
    <sheet name="Exercício Hora 8" sheetId="5" r:id="rId3"/>
  </sheets>
  <definedNames>
    <definedName name="solver_adj" localSheetId="2" hidden="1">'Exercício Hora 8'!$D$11</definedName>
    <definedName name="solver_cvg" localSheetId="2" hidden="1">"0,0001"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"0,075"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'Exercício Hora 8'!$D$12</definedName>
    <definedName name="solver_pre" localSheetId="2" hidden="1">"0,000001"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741.24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C7" i="5"/>
  <c r="C3" i="5"/>
  <c r="E7" i="4"/>
  <c r="E8" i="4"/>
  <c r="E9" i="4"/>
  <c r="E6" i="4"/>
  <c r="C5" i="4"/>
  <c r="C9" i="6"/>
  <c r="C12" i="6"/>
  <c r="D9" i="6"/>
  <c r="C6" i="6"/>
  <c r="C5" i="6"/>
  <c r="C11" i="6"/>
  <c r="C6" i="4"/>
</calcChain>
</file>

<file path=xl/sharedStrings.xml><?xml version="1.0" encoding="utf-8"?>
<sst xmlns="http://schemas.openxmlformats.org/spreadsheetml/2006/main" count="15" uniqueCount="12">
  <si>
    <t>Preço</t>
  </si>
  <si>
    <t>du</t>
  </si>
  <si>
    <t>a)</t>
  </si>
  <si>
    <t>b)</t>
  </si>
  <si>
    <t>c)</t>
  </si>
  <si>
    <t>a com IR</t>
  </si>
  <si>
    <t>30 dias</t>
  </si>
  <si>
    <t>Retorno</t>
  </si>
  <si>
    <t>Anual</t>
  </si>
  <si>
    <t>https://www.infomoney.com.br/mercados/falas-de-galipolo-sao-aprovadas-pelo-mercado-e-juros-futuros-caem-entenda-por-que/</t>
  </si>
  <si>
    <t>DI1F26</t>
  </si>
  <si>
    <t>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</si>
</sst>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0" applyNumberFormat="1"/>
    <xf numFmtId="10" fontId="0" fillId="0" borderId="0" xfId="2" applyNumberFormat="1" applyFont="1"/>
    <xf numFmtId="44" fontId="0" fillId="0" borderId="0" xfId="1" applyFont="1"/>
    <xf numFmtId="17" fontId="0" fillId="0" borderId="0" xfId="1" applyNumberFormat="1" applyFont="1"/>
    <xf numFmtId="14" fontId="0" fillId="0" borderId="0" xfId="0" applyNumberFormat="1"/>
    <xf numFmtId="164" fontId="0" fillId="0" borderId="0" xfId="0" applyNumberFormat="1"/>
    <xf numFmtId="10" fontId="0" fillId="0" borderId="0" xfId="2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312C-C0A2-4367-9524-42758E573308}">
  <dimension ref="A1:D12"/>
  <sheetViews>
    <sheetView tabSelected="1" zoomScale="190" zoomScaleNormal="190" workbookViewId="0">
      <selection activeCell="C12" sqref="C12"/>
    </sheetView>
  </sheetViews>
  <sheetFormatPr defaultRowHeight="15" x14ac:dyDescent="0.25"/>
  <cols>
    <col min="1" max="2" width="10.42578125" bestFit="1" customWidth="1"/>
    <col min="3" max="3" width="14.28515625" bestFit="1" customWidth="1"/>
  </cols>
  <sheetData>
    <row r="1" spans="1:4" x14ac:dyDescent="0.25">
      <c r="A1" t="s">
        <v>9</v>
      </c>
    </row>
    <row r="3" spans="1:4" x14ac:dyDescent="0.25">
      <c r="B3" t="s">
        <v>10</v>
      </c>
      <c r="C3" s="6">
        <v>0.12332</v>
      </c>
      <c r="D3" s="6">
        <v>0.123</v>
      </c>
    </row>
    <row r="5" spans="1:4" x14ac:dyDescent="0.25">
      <c r="A5" s="5">
        <v>45573</v>
      </c>
      <c r="B5" s="5">
        <v>46023</v>
      </c>
      <c r="C5">
        <f>B5-A5</f>
        <v>450</v>
      </c>
    </row>
    <row r="6" spans="1:4" x14ac:dyDescent="0.25">
      <c r="C6">
        <f>C5/365</f>
        <v>1.2328767123287672</v>
      </c>
      <c r="D6">
        <v>1.2328767123287672</v>
      </c>
    </row>
    <row r="9" spans="1:4" x14ac:dyDescent="0.25">
      <c r="B9" t="s">
        <v>11</v>
      </c>
      <c r="C9">
        <f>100000/((1+C3)^C6)</f>
        <v>86643.387124678455</v>
      </c>
      <c r="D9">
        <f>100000/((1+D3)^D6)</f>
        <v>86673.826777958791</v>
      </c>
    </row>
    <row r="11" spans="1:4" x14ac:dyDescent="0.25">
      <c r="C11">
        <f>D9-C9</f>
        <v>30.439653280336643</v>
      </c>
    </row>
    <row r="12" spans="1:4" x14ac:dyDescent="0.25">
      <c r="C12" s="3">
        <f>C11*10000</f>
        <v>304396.53280336643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61A8-D681-4204-8E15-D4D8BE8675FD}">
  <dimension ref="B3:G9"/>
  <sheetViews>
    <sheetView zoomScale="175" zoomScaleNormal="175" workbookViewId="0">
      <selection activeCell="E8" sqref="E8"/>
    </sheetView>
  </sheetViews>
  <sheetFormatPr defaultRowHeight="15" x14ac:dyDescent="0.25"/>
  <cols>
    <col min="2" max="2" width="13.28515625" bestFit="1" customWidth="1"/>
    <col min="3" max="3" width="11" bestFit="1" customWidth="1"/>
    <col min="5" max="5" width="18" bestFit="1" customWidth="1"/>
  </cols>
  <sheetData>
    <row r="3" spans="2:7" x14ac:dyDescent="0.25">
      <c r="B3" s="4"/>
      <c r="C3" s="5"/>
    </row>
    <row r="4" spans="2:7" x14ac:dyDescent="0.25">
      <c r="B4" t="s">
        <v>1</v>
      </c>
      <c r="C4">
        <v>60</v>
      </c>
    </row>
    <row r="5" spans="2:7" x14ac:dyDescent="0.25">
      <c r="B5" s="1">
        <v>0.105</v>
      </c>
      <c r="C5">
        <f>100000/((1+B5)^($C$4/252))</f>
        <v>97650.764589124068</v>
      </c>
    </row>
    <row r="6" spans="2:7" x14ac:dyDescent="0.25">
      <c r="B6" s="1">
        <v>0.10580000000000001</v>
      </c>
      <c r="C6">
        <f>100000/((1+B6)^($C$4/252))</f>
        <v>97633.939418141104</v>
      </c>
      <c r="E6" s="3">
        <f>(C5-C6)*1000</f>
        <v>16825.170982963755</v>
      </c>
      <c r="F6" t="s">
        <v>2</v>
      </c>
    </row>
    <row r="7" spans="2:7" x14ac:dyDescent="0.25">
      <c r="E7" s="3">
        <f>0.8*E6</f>
        <v>13460.136786371004</v>
      </c>
      <c r="F7" t="s">
        <v>5</v>
      </c>
      <c r="G7" s="2"/>
    </row>
    <row r="8" spans="2:7" x14ac:dyDescent="0.25">
      <c r="E8" s="3">
        <f>((C5*1.107^(60/252))-100000)*0.85*1000</f>
        <v>36604.806793120224</v>
      </c>
      <c r="F8" t="s">
        <v>3</v>
      </c>
    </row>
    <row r="9" spans="2:7" x14ac:dyDescent="0.25">
      <c r="E9" s="3">
        <f>((C5*1.104^(60/252))-100000)*1000</f>
        <v>-21554.512747985427</v>
      </c>
      <c r="F9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D4A3-AF98-4BB8-8321-395EE10FA93D}">
  <dimension ref="B3:D11"/>
  <sheetViews>
    <sheetView zoomScale="175" zoomScaleNormal="175" workbookViewId="0">
      <selection activeCell="C3" sqref="C3"/>
    </sheetView>
  </sheetViews>
  <sheetFormatPr defaultRowHeight="15" x14ac:dyDescent="0.25"/>
  <sheetData>
    <row r="3" spans="2:4" x14ac:dyDescent="0.25">
      <c r="B3" t="s">
        <v>0</v>
      </c>
      <c r="C3">
        <f>1000/(1.1088)^(((252*3)-1)/252)</f>
        <v>733.86865271126351</v>
      </c>
    </row>
    <row r="4" spans="2:4" x14ac:dyDescent="0.25">
      <c r="C4">
        <v>733.86</v>
      </c>
      <c r="D4" t="s">
        <v>2</v>
      </c>
    </row>
    <row r="6" spans="2:4" x14ac:dyDescent="0.25">
      <c r="B6" t="s">
        <v>6</v>
      </c>
      <c r="C6">
        <v>741.24</v>
      </c>
    </row>
    <row r="7" spans="2:4" x14ac:dyDescent="0.25">
      <c r="B7" t="s">
        <v>7</v>
      </c>
      <c r="C7" s="2">
        <f>(C6/C4)-1</f>
        <v>1.0056414029923966E-2</v>
      </c>
      <c r="D7" t="s">
        <v>3</v>
      </c>
    </row>
    <row r="9" spans="2:4" x14ac:dyDescent="0.25">
      <c r="B9" t="s">
        <v>8</v>
      </c>
      <c r="C9" s="2">
        <f>((1+C7)^(252/30))-1</f>
        <v>8.7685399832990951E-2</v>
      </c>
      <c r="D9" t="s">
        <v>4</v>
      </c>
    </row>
    <row r="11" spans="2:4" x14ac:dyDescent="0.25">
      <c r="D11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Exemplo DI</vt:lpstr>
      <vt:lpstr>Exercício Hora 7</vt:lpstr>
      <vt:lpstr>Exercício Hora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</dc:creator>
  <cp:lastModifiedBy>Rodrigo de Oliveira Leite</cp:lastModifiedBy>
  <dcterms:created xsi:type="dcterms:W3CDTF">2024-08-29T21:37:57Z</dcterms:created>
  <dcterms:modified xsi:type="dcterms:W3CDTF">2026-09-16T00:52:22Z</dcterms:modified>
</cp:coreProperties>
</file>