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drigo\Dropbox\Alumni COPPEAD Renda Fixa\"/>
    </mc:Choice>
  </mc:AlternateContent>
  <xr:revisionPtr revIDLastSave="0" documentId="8_{DB2D8AAA-9038-42E7-9C56-FCEEC573EEEF}" xr6:coauthVersionLast="47" xr6:coauthVersionMax="47" xr10:uidLastSave="{00000000-0000-0000-0000-000000000000}"/>
  <bookViews>
    <workbookView xWindow="-120" yWindow="-120" windowWidth="20640" windowHeight="11760" firstSheet="1" activeTab="4" xr2:uid="{30314963-0900-44DF-AF3D-5DA9A0B87539}"/>
  </bookViews>
  <sheets>
    <sheet name="Hora 5 - Exercicio 1" sheetId="1" r:id="rId1"/>
    <sheet name="Hora 5 - Exercicio 2" sheetId="2" r:id="rId2"/>
    <sheet name="Hora 6 - Exercicio 1" sheetId="3" r:id="rId3"/>
    <sheet name="Hora 6 - Exercício 2" sheetId="4" r:id="rId4"/>
    <sheet name="Hora 6 - Exercício 3" sheetId="5" r:id="rId5"/>
  </sheets>
  <definedNames>
    <definedName name="solver_adj" localSheetId="2" hidden="1">'Hora 6 - Exercicio 1'!$D$6</definedName>
    <definedName name="solver_adj" localSheetId="3" hidden="1">'Hora 6 - Exercício 2'!$E$3</definedName>
    <definedName name="solver_cvg" localSheetId="2" hidden="1">_xlfn._LONGTEXT(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0,0001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)</definedName>
    <definedName name="solver_cvg" localSheetId="3" hidden="1">"0,0001"</definedName>
    <definedName name="solver_drv" localSheetId="2" hidden="1">1</definedName>
    <definedName name="solver_drv" localSheetId="3" hidden="1">1</definedName>
    <definedName name="solver_eng" localSheetId="2" hidden="1">1</definedName>
    <definedName name="solver_eng" localSheetId="3" hidden="1">1</definedName>
    <definedName name="solver_est" localSheetId="2" hidden="1">1</definedName>
    <definedName name="solver_est" localSheetId="3" hidden="1">1</definedName>
    <definedName name="solver_itr" localSheetId="2" hidden="1">2147483647</definedName>
    <definedName name="solver_itr" localSheetId="3" hidden="1">2147483647</definedName>
    <definedName name="solver_lhs1" localSheetId="3" hidden="1">'Hora 6 - Exercício 2'!$B$7</definedName>
    <definedName name="solver_mip" localSheetId="2" hidden="1">2147483647</definedName>
    <definedName name="solver_mip" localSheetId="3" hidden="1">2147483647</definedName>
    <definedName name="solver_mni" localSheetId="2" hidden="1">30</definedName>
    <definedName name="solver_mni" localSheetId="3" hidden="1">30</definedName>
    <definedName name="solver_mrt" localSheetId="2" hidden="1">_xlfn._LONGTEXT(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0,075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)</definedName>
    <definedName name="solver_mrt" localSheetId="3" hidden="1">"0,075"</definedName>
    <definedName name="solver_msl" localSheetId="2" hidden="1">2</definedName>
    <definedName name="solver_msl" localSheetId="3" hidden="1">2</definedName>
    <definedName name="solver_neg" localSheetId="2" hidden="1">1</definedName>
    <definedName name="solver_neg" localSheetId="3" hidden="1">1</definedName>
    <definedName name="solver_nod" localSheetId="2" hidden="1">2147483647</definedName>
    <definedName name="solver_nod" localSheetId="3" hidden="1">2147483647</definedName>
    <definedName name="solver_num" localSheetId="2" hidden="1">0</definedName>
    <definedName name="solver_num" localSheetId="3" hidden="1">1</definedName>
    <definedName name="solver_nwt" localSheetId="2" hidden="1">1</definedName>
    <definedName name="solver_nwt" localSheetId="3" hidden="1">1</definedName>
    <definedName name="solver_opt" localSheetId="2" hidden="1">'Hora 6 - Exercicio 1'!$E$6</definedName>
    <definedName name="solver_opt" localSheetId="3" hidden="1">'Hora 6 - Exercício 2'!$B$7</definedName>
    <definedName name="solver_pre" localSheetId="2" hidden="1">_xlfn._LONGTEXT(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0,000001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)</definedName>
    <definedName name="solver_pre" localSheetId="3" hidden="1">"0,000001"</definedName>
    <definedName name="solver_rbv" localSheetId="2" hidden="1">1</definedName>
    <definedName name="solver_rbv" localSheetId="3" hidden="1">1</definedName>
    <definedName name="solver_rel1" localSheetId="3" hidden="1">2</definedName>
    <definedName name="solver_rhs1" localSheetId="3" hidden="1">'Hora 6 - Exercício 2'!$B$8</definedName>
    <definedName name="solver_rlx" localSheetId="2" hidden="1">2</definedName>
    <definedName name="solver_rlx" localSheetId="3" hidden="1">2</definedName>
    <definedName name="solver_rsd" localSheetId="2" hidden="1">0</definedName>
    <definedName name="solver_rsd" localSheetId="3" hidden="1">0</definedName>
    <definedName name="solver_scl" localSheetId="2" hidden="1">1</definedName>
    <definedName name="solver_scl" localSheetId="3" hidden="1">1</definedName>
    <definedName name="solver_sho" localSheetId="2" hidden="1">2</definedName>
    <definedName name="solver_sho" localSheetId="3" hidden="1">2</definedName>
    <definedName name="solver_ssz" localSheetId="2" hidden="1">100</definedName>
    <definedName name="solver_ssz" localSheetId="3" hidden="1">100</definedName>
    <definedName name="solver_tim" localSheetId="2" hidden="1">2147483647</definedName>
    <definedName name="solver_tim" localSheetId="3" hidden="1">2147483647</definedName>
    <definedName name="solver_tol" localSheetId="2" hidden="1">1</definedName>
    <definedName name="solver_tol" localSheetId="3" hidden="1">0.01</definedName>
    <definedName name="solver_typ" localSheetId="2" hidden="1">3</definedName>
    <definedName name="solver_typ" localSheetId="3" hidden="1">1</definedName>
    <definedName name="solver_val" localSheetId="2" hidden="1">102</definedName>
    <definedName name="solver_val" localSheetId="3" hidden="1">0</definedName>
    <definedName name="solver_ver" localSheetId="2" hidden="1">3</definedName>
    <definedName name="solver_ver" localSheetId="3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5" i="5" l="1"/>
  <c r="D5" i="5"/>
  <c r="C5" i="5"/>
  <c r="E6" i="3"/>
  <c r="E5" i="4"/>
  <c r="D5" i="4"/>
  <c r="C5" i="4"/>
  <c r="B5" i="4"/>
  <c r="E5" i="3"/>
  <c r="E4" i="3"/>
  <c r="E3" i="3"/>
  <c r="E2" i="3"/>
  <c r="D2" i="2"/>
  <c r="D11" i="2"/>
  <c r="D10" i="2"/>
  <c r="D9" i="2"/>
  <c r="D8" i="2"/>
  <c r="D7" i="2"/>
  <c r="D6" i="2"/>
  <c r="D5" i="2"/>
  <c r="D4" i="2"/>
  <c r="D3" i="2"/>
  <c r="D3" i="1"/>
  <c r="B7" i="4" l="1"/>
  <c r="D4" i="1"/>
  <c r="E3" i="1"/>
  <c r="F3" i="1" s="1"/>
  <c r="G3" i="1" s="1"/>
  <c r="E2" i="1"/>
  <c r="F2" i="1" s="1"/>
  <c r="G2" i="1" s="1"/>
  <c r="D5" i="1"/>
  <c r="E4" i="1"/>
  <c r="F4" i="1" s="1"/>
  <c r="G4" i="1" s="1"/>
  <c r="D6" i="1" l="1"/>
  <c r="E5" i="1"/>
  <c r="F5" i="1" s="1"/>
  <c r="G5" i="1" s="1"/>
  <c r="E6" i="1" l="1"/>
  <c r="F6" i="1" s="1"/>
  <c r="G6" i="1" s="1"/>
  <c r="D7" i="1"/>
  <c r="E7" i="1" l="1"/>
  <c r="F7" i="1" s="1"/>
  <c r="G7" i="1" s="1"/>
  <c r="D8" i="1"/>
  <c r="D9" i="1" l="1"/>
  <c r="E8" i="1"/>
  <c r="F8" i="1" s="1"/>
  <c r="G8" i="1" s="1"/>
  <c r="E9" i="1" l="1"/>
  <c r="F9" i="1" s="1"/>
  <c r="G9" i="1" s="1"/>
  <c r="D10" i="1"/>
  <c r="D11" i="1" l="1"/>
  <c r="E10" i="1"/>
  <c r="F10" i="1" s="1"/>
  <c r="G10" i="1" s="1"/>
  <c r="E11" i="1" l="1"/>
  <c r="F11" i="1" s="1"/>
  <c r="G11" i="1" s="1"/>
  <c r="D12" i="1"/>
  <c r="E12" i="1" s="1"/>
  <c r="F12" i="1" s="1"/>
  <c r="G12" i="1" s="1"/>
</calcChain>
</file>

<file path=xl/sharedStrings.xml><?xml version="1.0" encoding="utf-8"?>
<sst xmlns="http://schemas.openxmlformats.org/spreadsheetml/2006/main" count="38" uniqueCount="22">
  <si>
    <t>LTN</t>
  </si>
  <si>
    <t>Vencimento</t>
  </si>
  <si>
    <t>Preço</t>
  </si>
  <si>
    <t>Hoje</t>
  </si>
  <si>
    <t>dif</t>
  </si>
  <si>
    <t>ano</t>
  </si>
  <si>
    <t>Taxa</t>
  </si>
  <si>
    <t xml:space="preserve">ano </t>
  </si>
  <si>
    <t>VP</t>
  </si>
  <si>
    <t>taxa cupom</t>
  </si>
  <si>
    <t>rn</t>
  </si>
  <si>
    <t>valor</t>
  </si>
  <si>
    <t>6 meses</t>
  </si>
  <si>
    <t>12 meses</t>
  </si>
  <si>
    <t xml:space="preserve">18 meses </t>
  </si>
  <si>
    <t>24 meses</t>
  </si>
  <si>
    <t>taxa</t>
  </si>
  <si>
    <t>FC</t>
  </si>
  <si>
    <t>r1</t>
  </si>
  <si>
    <t>r2</t>
  </si>
  <si>
    <t>r3</t>
  </si>
  <si>
    <t>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</si>
</sst>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14" fontId="0" fillId="0" borderId="0" xfId="0" applyNumberFormat="1"/>
    <xf numFmtId="44" fontId="0" fillId="0" borderId="0" xfId="1" applyFont="1"/>
    <xf numFmtId="0" fontId="0" fillId="0" borderId="0" xfId="0" applyAlignment="1">
      <alignment horizontal="center"/>
    </xf>
    <xf numFmtId="10" fontId="0" fillId="0" borderId="0" xfId="2" applyNumberFormat="1" applyFont="1"/>
    <xf numFmtId="10" fontId="0" fillId="0" borderId="0" xfId="0" applyNumberFormat="1"/>
    <xf numFmtId="10" fontId="0" fillId="0" borderId="0" xfId="2" applyNumberFormat="1" applyFont="1" applyAlignment="1">
      <alignment horizontal="center"/>
    </xf>
    <xf numFmtId="9" fontId="0" fillId="0" borderId="0" xfId="0" applyNumberFormat="1" applyAlignment="1">
      <alignment horizontal="center"/>
    </xf>
    <xf numFmtId="44" fontId="0" fillId="0" borderId="0" xfId="1" applyNumberFormat="1" applyFont="1"/>
    <xf numFmtId="10" fontId="0" fillId="0" borderId="0" xfId="0" applyNumberFormat="1" applyAlignment="1">
      <alignment horizontal="center"/>
    </xf>
    <xf numFmtId="10" fontId="0" fillId="2" borderId="0" xfId="2" applyNumberFormat="1" applyFont="1" applyFill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'Hora 5 - Exercicio 1'!$E$2:$E$12</c:f>
              <c:numCache>
                <c:formatCode>General</c:formatCode>
                <c:ptCount val="11"/>
                <c:pt idx="0">
                  <c:v>203</c:v>
                </c:pt>
                <c:pt idx="1">
                  <c:v>294</c:v>
                </c:pt>
                <c:pt idx="2">
                  <c:v>386</c:v>
                </c:pt>
                <c:pt idx="3">
                  <c:v>478</c:v>
                </c:pt>
                <c:pt idx="4">
                  <c:v>569</c:v>
                </c:pt>
                <c:pt idx="5">
                  <c:v>660</c:v>
                </c:pt>
                <c:pt idx="6">
                  <c:v>752</c:v>
                </c:pt>
                <c:pt idx="7">
                  <c:v>844</c:v>
                </c:pt>
                <c:pt idx="8">
                  <c:v>1025</c:v>
                </c:pt>
                <c:pt idx="9">
                  <c:v>1209</c:v>
                </c:pt>
                <c:pt idx="10">
                  <c:v>1939</c:v>
                </c:pt>
              </c:numCache>
            </c:numRef>
          </c:cat>
          <c:val>
            <c:numRef>
              <c:f>'Hora 5 - Exercicio 1'!$G$2:$G$12</c:f>
              <c:numCache>
                <c:formatCode>0.00%</c:formatCode>
                <c:ptCount val="11"/>
                <c:pt idx="0">
                  <c:v>0.13704628567013932</c:v>
                </c:pt>
                <c:pt idx="1">
                  <c:v>0.13587193271478593</c:v>
                </c:pt>
                <c:pt idx="2">
                  <c:v>0.13884272045030643</c:v>
                </c:pt>
                <c:pt idx="3">
                  <c:v>0.13943554542162873</c:v>
                </c:pt>
                <c:pt idx="4">
                  <c:v>0.14021018147036823</c:v>
                </c:pt>
                <c:pt idx="5">
                  <c:v>0.1400002531792488</c:v>
                </c:pt>
                <c:pt idx="6">
                  <c:v>0.14166924956302784</c:v>
                </c:pt>
                <c:pt idx="7">
                  <c:v>0.14150649960919437</c:v>
                </c:pt>
                <c:pt idx="8">
                  <c:v>0.1428636759633779</c:v>
                </c:pt>
                <c:pt idx="9">
                  <c:v>0.14328589124490998</c:v>
                </c:pt>
                <c:pt idx="10">
                  <c:v>0.14533836238497178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2C1-45DD-BBB3-DD8AE640B5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921920"/>
        <c:axId val="1332325040"/>
      </c:lineChart>
      <c:catAx>
        <c:axId val="135921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32325040"/>
        <c:crosses val="autoZero"/>
        <c:auto val="1"/>
        <c:lblAlgn val="ctr"/>
        <c:lblOffset val="100"/>
        <c:noMultiLvlLbl val="0"/>
      </c:catAx>
      <c:valAx>
        <c:axId val="1332325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5921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'Hora 5 - Exercicio 2'!$D$2:$D$11</c:f>
              <c:numCache>
                <c:formatCode>0.00%</c:formatCode>
                <c:ptCount val="10"/>
                <c:pt idx="0">
                  <c:v>0.11000111000111001</c:v>
                </c:pt>
                <c:pt idx="1">
                  <c:v>9.9997525008353128E-2</c:v>
                </c:pt>
                <c:pt idx="2">
                  <c:v>9.0001637468319906E-2</c:v>
                </c:pt>
                <c:pt idx="3">
                  <c:v>8.9998157915331056E-2</c:v>
                </c:pt>
                <c:pt idx="4">
                  <c:v>9.0000464992816998E-2</c:v>
                </c:pt>
                <c:pt idx="5">
                  <c:v>9.4998927024498414E-2</c:v>
                </c:pt>
                <c:pt idx="6">
                  <c:v>9.9999423752693106E-2</c:v>
                </c:pt>
                <c:pt idx="7">
                  <c:v>9.9999227836387927E-2</c:v>
                </c:pt>
                <c:pt idx="8">
                  <c:v>9.9999313632318065E-2</c:v>
                </c:pt>
                <c:pt idx="9">
                  <c:v>0.10000093851703906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BF1-45B1-8672-AD1BDAA9FE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054160"/>
        <c:axId val="1332275120"/>
      </c:lineChart>
      <c:catAx>
        <c:axId val="1360541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32275120"/>
        <c:crosses val="autoZero"/>
        <c:auto val="1"/>
        <c:lblAlgn val="ctr"/>
        <c:lblOffset val="100"/>
        <c:noMultiLvlLbl val="0"/>
      </c:catAx>
      <c:valAx>
        <c:axId val="1332275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6054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256761</xdr:colOff>
      <xdr:row>0</xdr:row>
      <xdr:rowOff>74544</xdr:rowOff>
    </xdr:from>
    <xdr:to>
      <xdr:col>14</xdr:col>
      <xdr:colOff>538370</xdr:colOff>
      <xdr:row>14</xdr:row>
      <xdr:rowOff>150744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B09AFB-4EC1-55FD-8C9F-9550941AF0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123825</xdr:rowOff>
    </xdr:from>
    <xdr:to>
      <xdr:col>12</xdr:col>
      <xdr:colOff>304800</xdr:colOff>
      <xdr:row>15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4A6244-F272-642D-AD85-E615F844E3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AE664-885E-43F2-A7BC-DE015D9AA170}">
  <dimension ref="A1:G12"/>
  <sheetViews>
    <sheetView zoomScale="115" zoomScaleNormal="115" workbookViewId="0">
      <selection activeCell="B2" sqref="B2:B12"/>
    </sheetView>
  </sheetViews>
  <sheetFormatPr defaultRowHeight="15" x14ac:dyDescent="0.25"/>
  <cols>
    <col min="2" max="2" width="11.28515625" bestFit="1" customWidth="1"/>
    <col min="3" max="3" width="12.140625" style="2" bestFit="1" customWidth="1"/>
    <col min="4" max="4" width="11.28515625" bestFit="1" customWidth="1"/>
  </cols>
  <sheetData>
    <row r="1" spans="1:7" x14ac:dyDescent="0.25"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7" x14ac:dyDescent="0.25">
      <c r="A2" t="s">
        <v>0</v>
      </c>
      <c r="B2" s="1">
        <v>46478</v>
      </c>
      <c r="C2" s="2">
        <v>931.06110200000001</v>
      </c>
      <c r="D2" s="1">
        <v>46275</v>
      </c>
      <c r="E2" s="3">
        <f t="shared" ref="E2:E12" si="0">B2-D2</f>
        <v>203</v>
      </c>
      <c r="F2">
        <f t="shared" ref="F2:F12" si="1">E2/365</f>
        <v>0.55616438356164388</v>
      </c>
      <c r="G2" s="4">
        <f t="shared" ref="G2:G12" si="2">(1000/C2)^(1/F2)-1</f>
        <v>0.13704628567013932</v>
      </c>
    </row>
    <row r="3" spans="1:7" x14ac:dyDescent="0.25">
      <c r="A3" t="s">
        <v>0</v>
      </c>
      <c r="B3" s="1">
        <v>46569</v>
      </c>
      <c r="C3" s="2">
        <v>902.47115699999995</v>
      </c>
      <c r="D3" s="1">
        <f t="shared" ref="D3:D12" si="3">D2</f>
        <v>46275</v>
      </c>
      <c r="E3" s="3">
        <f t="shared" si="0"/>
        <v>294</v>
      </c>
      <c r="F3">
        <f t="shared" si="1"/>
        <v>0.80547945205479454</v>
      </c>
      <c r="G3" s="4">
        <f t="shared" si="2"/>
        <v>0.13587193271478593</v>
      </c>
    </row>
    <row r="4" spans="1:7" x14ac:dyDescent="0.25">
      <c r="A4" t="s">
        <v>0</v>
      </c>
      <c r="B4" s="1">
        <v>46661</v>
      </c>
      <c r="C4" s="2">
        <v>871.54065500000002</v>
      </c>
      <c r="D4" s="1">
        <f t="shared" si="3"/>
        <v>46275</v>
      </c>
      <c r="E4" s="3">
        <f t="shared" si="0"/>
        <v>386</v>
      </c>
      <c r="F4">
        <f t="shared" si="1"/>
        <v>1.0575342465753426</v>
      </c>
      <c r="G4" s="4">
        <f t="shared" si="2"/>
        <v>0.13884272045030643</v>
      </c>
    </row>
    <row r="5" spans="1:7" x14ac:dyDescent="0.25">
      <c r="A5" t="s">
        <v>0</v>
      </c>
      <c r="B5" s="1">
        <v>46753</v>
      </c>
      <c r="C5" s="2">
        <v>842.86827400000004</v>
      </c>
      <c r="D5" s="1">
        <f t="shared" si="3"/>
        <v>46275</v>
      </c>
      <c r="E5" s="3">
        <f t="shared" si="0"/>
        <v>478</v>
      </c>
      <c r="F5">
        <f t="shared" si="1"/>
        <v>1.3095890410958904</v>
      </c>
      <c r="G5" s="4">
        <f t="shared" si="2"/>
        <v>0.13943554542162873</v>
      </c>
    </row>
    <row r="6" spans="1:7" x14ac:dyDescent="0.25">
      <c r="A6" t="s">
        <v>0</v>
      </c>
      <c r="B6" s="1">
        <v>46844</v>
      </c>
      <c r="C6" s="2">
        <v>815.015714</v>
      </c>
      <c r="D6" s="1">
        <f t="shared" si="3"/>
        <v>46275</v>
      </c>
      <c r="E6" s="3">
        <f t="shared" si="0"/>
        <v>569</v>
      </c>
      <c r="F6">
        <f t="shared" si="1"/>
        <v>1.558904109589041</v>
      </c>
      <c r="G6" s="4">
        <f t="shared" si="2"/>
        <v>0.14021018147036823</v>
      </c>
    </row>
    <row r="7" spans="1:7" x14ac:dyDescent="0.25">
      <c r="A7" t="s">
        <v>0</v>
      </c>
      <c r="B7" s="1">
        <v>46935</v>
      </c>
      <c r="C7" s="2">
        <v>789.04792499999996</v>
      </c>
      <c r="D7" s="1">
        <f t="shared" si="3"/>
        <v>46275</v>
      </c>
      <c r="E7" s="3">
        <f t="shared" si="0"/>
        <v>660</v>
      </c>
      <c r="F7">
        <f t="shared" si="1"/>
        <v>1.8082191780821917</v>
      </c>
      <c r="G7" s="4">
        <f t="shared" si="2"/>
        <v>0.1400002531792488</v>
      </c>
    </row>
    <row r="8" spans="1:7" x14ac:dyDescent="0.25">
      <c r="A8" t="s">
        <v>0</v>
      </c>
      <c r="B8" s="1">
        <v>47027</v>
      </c>
      <c r="C8" s="2">
        <v>761.11662799999999</v>
      </c>
      <c r="D8" s="1">
        <f t="shared" si="3"/>
        <v>46275</v>
      </c>
      <c r="E8" s="3">
        <f t="shared" si="0"/>
        <v>752</v>
      </c>
      <c r="F8">
        <f t="shared" si="1"/>
        <v>2.0602739726027397</v>
      </c>
      <c r="G8" s="4">
        <f t="shared" si="2"/>
        <v>0.14166924956302784</v>
      </c>
    </row>
    <row r="9" spans="1:7" x14ac:dyDescent="0.25">
      <c r="A9" t="s">
        <v>0</v>
      </c>
      <c r="B9" s="1">
        <v>47119</v>
      </c>
      <c r="C9" s="2">
        <v>736.361491</v>
      </c>
      <c r="D9" s="1">
        <f t="shared" si="3"/>
        <v>46275</v>
      </c>
      <c r="E9" s="3">
        <f t="shared" si="0"/>
        <v>844</v>
      </c>
      <c r="F9">
        <f t="shared" si="1"/>
        <v>2.3123287671232875</v>
      </c>
      <c r="G9" s="4">
        <f t="shared" si="2"/>
        <v>0.14150649960919437</v>
      </c>
    </row>
    <row r="10" spans="1:7" x14ac:dyDescent="0.25">
      <c r="A10" t="s">
        <v>0</v>
      </c>
      <c r="B10" s="1">
        <v>47300</v>
      </c>
      <c r="C10" s="2">
        <v>687.28826800000002</v>
      </c>
      <c r="D10" s="1">
        <f t="shared" si="3"/>
        <v>46275</v>
      </c>
      <c r="E10" s="3">
        <f t="shared" si="0"/>
        <v>1025</v>
      </c>
      <c r="F10">
        <f t="shared" si="1"/>
        <v>2.8082191780821919</v>
      </c>
      <c r="G10" s="4">
        <f t="shared" si="2"/>
        <v>0.1428636759633779</v>
      </c>
    </row>
    <row r="11" spans="1:7" x14ac:dyDescent="0.25">
      <c r="A11" t="s">
        <v>0</v>
      </c>
      <c r="B11" s="1">
        <v>47484</v>
      </c>
      <c r="C11" s="2">
        <v>641.75910199999998</v>
      </c>
      <c r="D11" s="1">
        <f t="shared" si="3"/>
        <v>46275</v>
      </c>
      <c r="E11" s="3">
        <f t="shared" si="0"/>
        <v>1209</v>
      </c>
      <c r="F11">
        <f t="shared" si="1"/>
        <v>3.3123287671232875</v>
      </c>
      <c r="G11" s="4">
        <f t="shared" si="2"/>
        <v>0.14328589124490998</v>
      </c>
    </row>
    <row r="12" spans="1:7" x14ac:dyDescent="0.25">
      <c r="A12" t="s">
        <v>0</v>
      </c>
      <c r="B12" s="1">
        <v>48214</v>
      </c>
      <c r="C12" s="2">
        <v>486.322362</v>
      </c>
      <c r="D12" s="1">
        <f t="shared" si="3"/>
        <v>46275</v>
      </c>
      <c r="E12" s="3">
        <f t="shared" si="0"/>
        <v>1939</v>
      </c>
      <c r="F12">
        <f t="shared" si="1"/>
        <v>5.3123287671232875</v>
      </c>
      <c r="G12" s="4">
        <f t="shared" si="2"/>
        <v>0.14533836238497178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169E1-BADD-4B97-B367-23D4CDAABD23}">
  <dimension ref="A1:D11"/>
  <sheetViews>
    <sheetView zoomScale="145" zoomScaleNormal="145" workbookViewId="0">
      <selection activeCell="D3" sqref="D3"/>
    </sheetView>
  </sheetViews>
  <sheetFormatPr defaultRowHeight="15" x14ac:dyDescent="0.25"/>
  <cols>
    <col min="1" max="1" width="11.42578125" bestFit="1" customWidth="1"/>
    <col min="2" max="2" width="10.7109375" bestFit="1" customWidth="1"/>
  </cols>
  <sheetData>
    <row r="1" spans="1:4" x14ac:dyDescent="0.25">
      <c r="A1" s="3" t="s">
        <v>1</v>
      </c>
      <c r="B1" t="s">
        <v>2</v>
      </c>
      <c r="D1" t="s">
        <v>6</v>
      </c>
    </row>
    <row r="2" spans="1:4" x14ac:dyDescent="0.25">
      <c r="A2" s="3">
        <v>1</v>
      </c>
      <c r="B2" s="2">
        <v>900.9</v>
      </c>
      <c r="D2" s="4">
        <f>((1000/B2)^(1/A2))-1</f>
        <v>0.11000111000111001</v>
      </c>
    </row>
    <row r="3" spans="1:4" x14ac:dyDescent="0.25">
      <c r="A3" s="3">
        <v>2</v>
      </c>
      <c r="B3" s="2">
        <v>826.45</v>
      </c>
      <c r="D3" s="4">
        <f>((1000/B3)^(1/A3))-1</f>
        <v>9.9997525008353128E-2</v>
      </c>
    </row>
    <row r="4" spans="1:4" x14ac:dyDescent="0.25">
      <c r="A4" s="3">
        <v>3</v>
      </c>
      <c r="B4" s="2">
        <v>772.18</v>
      </c>
      <c r="D4" s="4">
        <f>((1000/B4)^(1/A4))-1</f>
        <v>9.0001637468319906E-2</v>
      </c>
    </row>
    <row r="5" spans="1:4" x14ac:dyDescent="0.25">
      <c r="A5" s="3">
        <v>4</v>
      </c>
      <c r="B5" s="2">
        <v>708.43</v>
      </c>
      <c r="D5" s="4">
        <f t="shared" ref="D5:D11" si="0">((1000/B5)^(1/A5))-1</f>
        <v>8.9998157915331056E-2</v>
      </c>
    </row>
    <row r="6" spans="1:4" x14ac:dyDescent="0.25">
      <c r="A6" s="3">
        <v>5</v>
      </c>
      <c r="B6" s="2">
        <v>649.92999999999995</v>
      </c>
      <c r="D6" s="4">
        <f t="shared" si="0"/>
        <v>9.0000464992816998E-2</v>
      </c>
    </row>
    <row r="7" spans="1:4" x14ac:dyDescent="0.25">
      <c r="A7" s="3">
        <v>6</v>
      </c>
      <c r="B7" s="2">
        <v>580.12</v>
      </c>
      <c r="D7" s="4">
        <f t="shared" si="0"/>
        <v>9.4998927024498414E-2</v>
      </c>
    </row>
    <row r="8" spans="1:4" x14ac:dyDescent="0.25">
      <c r="A8" s="3">
        <v>7</v>
      </c>
      <c r="B8" s="2">
        <v>513.16</v>
      </c>
      <c r="D8" s="4">
        <f t="shared" si="0"/>
        <v>9.9999423752693106E-2</v>
      </c>
    </row>
    <row r="9" spans="1:4" x14ac:dyDescent="0.25">
      <c r="A9" s="3">
        <v>8</v>
      </c>
      <c r="B9" s="2">
        <v>466.51</v>
      </c>
      <c r="D9" s="4">
        <f t="shared" si="0"/>
        <v>9.9999227836387927E-2</v>
      </c>
    </row>
    <row r="10" spans="1:4" x14ac:dyDescent="0.25">
      <c r="A10" s="3">
        <v>9</v>
      </c>
      <c r="B10" s="2">
        <v>424.1</v>
      </c>
      <c r="D10" s="4">
        <f t="shared" si="0"/>
        <v>9.9999313632318065E-2</v>
      </c>
    </row>
    <row r="11" spans="1:4" x14ac:dyDescent="0.25">
      <c r="A11" s="3">
        <v>10</v>
      </c>
      <c r="B11" s="2">
        <v>385.54</v>
      </c>
      <c r="D11" s="4">
        <f t="shared" si="0"/>
        <v>0.10000093851703906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0ADA8-55BB-4416-9032-712B958ABE3F}">
  <dimension ref="A1:E6"/>
  <sheetViews>
    <sheetView zoomScale="190" zoomScaleNormal="190" workbookViewId="0">
      <selection activeCell="E7" sqref="E7"/>
    </sheetView>
  </sheetViews>
  <sheetFormatPr defaultRowHeight="15" x14ac:dyDescent="0.25"/>
  <cols>
    <col min="3" max="3" width="11.28515625" bestFit="1" customWidth="1"/>
    <col min="5" max="5" width="10.7109375" bestFit="1" customWidth="1"/>
  </cols>
  <sheetData>
    <row r="1" spans="1:5" x14ac:dyDescent="0.25">
      <c r="A1" s="3" t="s">
        <v>7</v>
      </c>
      <c r="B1" s="3" t="s">
        <v>8</v>
      </c>
      <c r="C1" s="3" t="s">
        <v>9</v>
      </c>
      <c r="D1" s="6" t="s">
        <v>10</v>
      </c>
      <c r="E1" s="3" t="s">
        <v>11</v>
      </c>
    </row>
    <row r="2" spans="1:5" x14ac:dyDescent="0.25">
      <c r="A2" s="3">
        <v>1</v>
      </c>
      <c r="B2" s="3">
        <v>95</v>
      </c>
      <c r="C2" s="7">
        <v>0</v>
      </c>
      <c r="D2" s="6">
        <v>5.2631589661928019E-2</v>
      </c>
      <c r="E2" s="8">
        <f>100/(1+D2)</f>
        <v>94.999999033011008</v>
      </c>
    </row>
    <row r="3" spans="1:5" x14ac:dyDescent="0.25">
      <c r="A3" s="3">
        <v>2</v>
      </c>
      <c r="B3" s="3">
        <v>98</v>
      </c>
      <c r="C3" s="7">
        <v>0.05</v>
      </c>
      <c r="D3" s="6">
        <v>6.1133999721459824E-2</v>
      </c>
      <c r="E3" s="8">
        <f>(5/(1+D2))+105/((1+D3)^A3)</f>
        <v>97.99999966721721</v>
      </c>
    </row>
    <row r="4" spans="1:5" x14ac:dyDescent="0.25">
      <c r="A4" s="3">
        <v>3</v>
      </c>
      <c r="B4" s="3">
        <v>99</v>
      </c>
      <c r="C4" s="7">
        <v>0.06</v>
      </c>
      <c r="D4" s="6">
        <v>6.411379640651288E-2</v>
      </c>
      <c r="E4" s="8">
        <f>(6/(1+D2))+(6/((1+D3)^2))+(106/((1+D4)^A4))</f>
        <v>98.999999709818695</v>
      </c>
    </row>
    <row r="5" spans="1:5" x14ac:dyDescent="0.25">
      <c r="A5" s="3">
        <v>4</v>
      </c>
      <c r="B5" s="3">
        <v>100</v>
      </c>
      <c r="C5" s="7">
        <v>7.0000000000000007E-2</v>
      </c>
      <c r="D5" s="6">
        <v>7.1004747376501379E-2</v>
      </c>
      <c r="E5" s="8">
        <f>(7/(1+D2))+(7/((1+D3)^2))+(7/((1+D4)^3))+(107/((1+D5)^4))</f>
        <v>99.9999998543055</v>
      </c>
    </row>
    <row r="6" spans="1:5" x14ac:dyDescent="0.25">
      <c r="A6" s="3">
        <v>5</v>
      </c>
      <c r="B6" s="3">
        <v>102</v>
      </c>
      <c r="C6" s="7">
        <v>0.09</v>
      </c>
      <c r="D6" s="6">
        <v>8.9063791115961577E-2</v>
      </c>
      <c r="E6" s="8">
        <f>(9/(1+D2))+(9/((1+D3)^2))+(9/((1+D4)^3))+(9/((1+D5)^4))+(109/((1+D6)^5))</f>
        <v>101.99999961118183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9E20A-B2AB-457D-9173-515A0D7060D6}">
  <dimension ref="A1:E8"/>
  <sheetViews>
    <sheetView zoomScale="205" zoomScaleNormal="205" workbookViewId="0">
      <selection activeCell="B4" sqref="B4"/>
    </sheetView>
  </sheetViews>
  <sheetFormatPr defaultRowHeight="15" x14ac:dyDescent="0.25"/>
  <sheetData>
    <row r="1" spans="1:5" x14ac:dyDescent="0.25">
      <c r="B1" s="3" t="s">
        <v>12</v>
      </c>
      <c r="C1" s="3" t="s">
        <v>13</v>
      </c>
      <c r="D1" s="3" t="s">
        <v>14</v>
      </c>
      <c r="E1" s="3" t="s">
        <v>15</v>
      </c>
    </row>
    <row r="2" spans="1:5" x14ac:dyDescent="0.25">
      <c r="B2" s="3">
        <v>0.5</v>
      </c>
      <c r="C2" s="3">
        <v>1</v>
      </c>
      <c r="D2" s="3">
        <v>1.5</v>
      </c>
      <c r="E2" s="3">
        <v>2</v>
      </c>
    </row>
    <row r="3" spans="1:5" x14ac:dyDescent="0.25">
      <c r="A3" t="s">
        <v>16</v>
      </c>
      <c r="B3" s="9">
        <v>0.11037</v>
      </c>
      <c r="C3" s="9">
        <v>0.111111</v>
      </c>
      <c r="D3" s="9">
        <v>0.11272</v>
      </c>
      <c r="E3" s="10">
        <v>0.1141372701917205</v>
      </c>
    </row>
    <row r="4" spans="1:5" x14ac:dyDescent="0.25">
      <c r="A4" t="s">
        <v>17</v>
      </c>
      <c r="B4" s="3">
        <v>6</v>
      </c>
      <c r="C4" s="3">
        <v>6</v>
      </c>
      <c r="D4" s="3">
        <v>6</v>
      </c>
      <c r="E4" s="3">
        <v>106</v>
      </c>
    </row>
    <row r="5" spans="1:5" x14ac:dyDescent="0.25">
      <c r="A5" t="s">
        <v>8</v>
      </c>
      <c r="B5" s="3">
        <f>B4/((1+B3)^B2)</f>
        <v>5.6939990537428464</v>
      </c>
      <c r="C5" s="3">
        <f t="shared" ref="C5:E5" si="0">C4/((1+C3)^C2)</f>
        <v>5.4000005400000539</v>
      </c>
      <c r="D5" s="3">
        <f t="shared" si="0"/>
        <v>5.111782998558402</v>
      </c>
      <c r="E5" s="3">
        <f t="shared" si="0"/>
        <v>85.394216899568306</v>
      </c>
    </row>
    <row r="6" spans="1:5" x14ac:dyDescent="0.25">
      <c r="B6" s="3"/>
      <c r="C6" s="3"/>
      <c r="D6" s="3"/>
      <c r="E6" s="3"/>
    </row>
    <row r="7" spans="1:5" x14ac:dyDescent="0.25">
      <c r="A7" t="s">
        <v>8</v>
      </c>
      <c r="B7" s="3">
        <f>SUM(B5:E5)</f>
        <v>101.59999949186961</v>
      </c>
      <c r="C7" s="3"/>
      <c r="D7" s="3"/>
      <c r="E7" s="3"/>
    </row>
    <row r="8" spans="1:5" x14ac:dyDescent="0.25">
      <c r="A8" t="s">
        <v>2</v>
      </c>
      <c r="B8" s="3">
        <v>101.6</v>
      </c>
      <c r="C8" s="3"/>
      <c r="D8" s="3"/>
      <c r="E8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08D1F-1279-4382-9B6E-2B9108C7AAB1}">
  <dimension ref="A1:E5"/>
  <sheetViews>
    <sheetView tabSelected="1" zoomScale="205" zoomScaleNormal="205" workbookViewId="0">
      <selection activeCell="E6" sqref="E6"/>
    </sheetView>
  </sheetViews>
  <sheetFormatPr defaultRowHeight="15" x14ac:dyDescent="0.25"/>
  <sheetData>
    <row r="1" spans="1:5" x14ac:dyDescent="0.25">
      <c r="B1" t="s">
        <v>18</v>
      </c>
      <c r="C1" t="s">
        <v>19</v>
      </c>
      <c r="D1" t="s">
        <v>20</v>
      </c>
      <c r="E1" t="s">
        <v>21</v>
      </c>
    </row>
    <row r="2" spans="1:5" x14ac:dyDescent="0.25">
      <c r="B2">
        <v>21</v>
      </c>
      <c r="C2">
        <v>42</v>
      </c>
      <c r="D2">
        <v>63</v>
      </c>
      <c r="E2">
        <v>126</v>
      </c>
    </row>
    <row r="3" spans="1:5" x14ac:dyDescent="0.25">
      <c r="A3" t="s">
        <v>16</v>
      </c>
      <c r="B3" s="5">
        <v>8.5000000000000006E-2</v>
      </c>
      <c r="C3" s="5">
        <v>9.2999999999999999E-2</v>
      </c>
      <c r="D3" s="5">
        <v>9.8000000000000004E-2</v>
      </c>
      <c r="E3" s="5">
        <v>0.10199999999999999</v>
      </c>
    </row>
    <row r="5" spans="1:5" x14ac:dyDescent="0.25">
      <c r="C5" s="4">
        <f>(((1+C3)^(C2/252))/((1+B3)^(B2/252)))^(252/(C2-B2))-1</f>
        <v>0.101058986175113</v>
      </c>
      <c r="D5" s="4">
        <f>(((1+D3)^(D2/252))/((1+C3)^(C2/252)))^(252/(D2-C2))-1</f>
        <v>0.10806872311448967</v>
      </c>
      <c r="E5" s="4">
        <f>(((1+E3)^(E2/252))/((1+D3)^(D2/252)))^(252/(E2-D2))-1</f>
        <v>0.10601457194899799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Hora 5 - Exercicio 1</vt:lpstr>
      <vt:lpstr>Hora 5 - Exercicio 2</vt:lpstr>
      <vt:lpstr>Hora 6 - Exercicio 1</vt:lpstr>
      <vt:lpstr>Hora 6 - Exercício 2</vt:lpstr>
      <vt:lpstr>Hora 6 - Exercício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de Oliveira Leite</dc:creator>
  <cp:lastModifiedBy>Rodrigo de Oliveira Leite</cp:lastModifiedBy>
  <dcterms:created xsi:type="dcterms:W3CDTF">2026-09-10T23:23:23Z</dcterms:created>
  <dcterms:modified xsi:type="dcterms:W3CDTF">2026-09-11T00:49:12Z</dcterms:modified>
</cp:coreProperties>
</file>